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grand projet 2\"/>
    </mc:Choice>
  </mc:AlternateContent>
  <xr:revisionPtr revIDLastSave="0" documentId="13_ncr:1_{DB8C3C59-4E2A-4346-BA47-DC3869450755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comite 1" sheetId="2" r:id="rId1"/>
    <sheet name="Indicateur1" sheetId="4" r:id="rId2"/>
    <sheet name="Indicateur2" sheetId="5" r:id="rId3"/>
    <sheet name="Indicateur3" sheetId="6" r:id="rId4"/>
    <sheet name="prevision1" sheetId="7" state="hidden" r:id="rId5"/>
    <sheet name="prevision2" sheetId="8" state="hidden" r:id="rId6"/>
    <sheet name="prevision3" sheetId="9" state="hidden" r:id="rId7"/>
  </sheets>
  <definedNames>
    <definedName name="Comite1">'comite 1'!$C$9</definedName>
    <definedName name="commentaire1">'comite 1'!$C$9</definedName>
    <definedName name="Segment_Country_name">#N/A</definedName>
    <definedName name="切片器_Country_name">#N/A</definedName>
    <definedName name="切片器_Country_name1">#N/A</definedName>
  </definedNames>
  <calcPr calcId="191029"/>
  <pivotCaches>
    <pivotCache cacheId="0" r:id="rId8"/>
    <pivotCache cacheId="1" r:id="rId9"/>
    <pivotCache cacheId="2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4" i="7" l="1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33" i="7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32" i="8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34" i="9"/>
  <c r="I35" i="9" l="1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34" i="9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32" i="8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33" i="7"/>
  <c r="J80" i="9" l="1"/>
  <c r="D80" i="9"/>
  <c r="J94" i="9"/>
  <c r="J88" i="8"/>
  <c r="E88" i="8"/>
  <c r="J100" i="8"/>
  <c r="E101" i="8"/>
  <c r="J90" i="7"/>
  <c r="D90" i="7"/>
  <c r="J102" i="7"/>
  <c r="D103" i="7"/>
  <c r="J101" i="8" l="1"/>
  <c r="J97" i="7"/>
  <c r="E98" i="8"/>
  <c r="D94" i="9"/>
  <c r="D81" i="9"/>
  <c r="D83" i="9"/>
  <c r="D85" i="9"/>
  <c r="D87" i="9"/>
  <c r="D89" i="9"/>
  <c r="D91" i="9"/>
  <c r="D93" i="9"/>
  <c r="J81" i="9"/>
  <c r="J83" i="9"/>
  <c r="J85" i="9"/>
  <c r="J87" i="9"/>
  <c r="J89" i="9"/>
  <c r="J91" i="9"/>
  <c r="J93" i="9"/>
  <c r="D82" i="9"/>
  <c r="D84" i="9"/>
  <c r="D86" i="9"/>
  <c r="D88" i="9"/>
  <c r="D90" i="9"/>
  <c r="D92" i="9"/>
  <c r="J82" i="9"/>
  <c r="J84" i="9"/>
  <c r="J86" i="9"/>
  <c r="J88" i="9"/>
  <c r="J90" i="9"/>
  <c r="J92" i="9"/>
  <c r="E92" i="8"/>
  <c r="E96" i="8"/>
  <c r="E100" i="8"/>
  <c r="J90" i="8"/>
  <c r="J94" i="8"/>
  <c r="J98" i="8"/>
  <c r="E89" i="8"/>
  <c r="E91" i="8"/>
  <c r="E93" i="8"/>
  <c r="E95" i="8"/>
  <c r="E97" i="8"/>
  <c r="E99" i="8"/>
  <c r="E90" i="8"/>
  <c r="E94" i="8"/>
  <c r="J92" i="8"/>
  <c r="J96" i="8"/>
  <c r="J89" i="8"/>
  <c r="J91" i="8"/>
  <c r="J93" i="8"/>
  <c r="J95" i="8"/>
  <c r="J97" i="8"/>
  <c r="J99" i="8"/>
  <c r="J93" i="7"/>
  <c r="J99" i="7"/>
  <c r="J101" i="7"/>
  <c r="J103" i="7"/>
  <c r="D92" i="7"/>
  <c r="D94" i="7"/>
  <c r="D96" i="7"/>
  <c r="D98" i="7"/>
  <c r="D100" i="7"/>
  <c r="D102" i="7"/>
  <c r="J95" i="7"/>
  <c r="J92" i="7"/>
  <c r="J94" i="7"/>
  <c r="J96" i="7"/>
  <c r="J98" i="7"/>
  <c r="J100" i="7"/>
  <c r="J91" i="7"/>
  <c r="D91" i="7"/>
  <c r="D93" i="7"/>
  <c r="D95" i="7"/>
  <c r="D97" i="7"/>
  <c r="D99" i="7"/>
  <c r="D101" i="7"/>
</calcChain>
</file>

<file path=xl/sharedStrings.xml><?xml version="1.0" encoding="utf-8"?>
<sst xmlns="http://schemas.openxmlformats.org/spreadsheetml/2006/main" count="9870" uniqueCount="48">
  <si>
    <t>Indicateurs économiques</t>
  </si>
  <si>
    <t>Country name:</t>
  </si>
  <si>
    <t>Sri Lanka</t>
  </si>
  <si>
    <t>Commentaire</t>
    <phoneticPr fontId="0" type="noConversion"/>
  </si>
  <si>
    <t>Country name</t>
  </si>
  <si>
    <t>Indicator name</t>
  </si>
  <si>
    <t>Data</t>
  </si>
  <si>
    <t>Year</t>
  </si>
  <si>
    <t>Graphique Croisé Dynamique</t>
    <phoneticPr fontId="0" type="noConversion"/>
  </si>
  <si>
    <t>Tableau Croisé Dynamique</t>
    <phoneticPr fontId="0" type="noConversion"/>
  </si>
  <si>
    <t>Burundi</t>
  </si>
  <si>
    <t>Exports of goods and services (% of GDP)</t>
    <phoneticPr fontId="0" type="noConversion"/>
  </si>
  <si>
    <t>Somme:Data</t>
  </si>
  <si>
    <t>Cameroon</t>
  </si>
  <si>
    <t>Exports of goods and services (% of GDP)</t>
  </si>
  <si>
    <t>Comoros</t>
  </si>
  <si>
    <t>Chad</t>
  </si>
  <si>
    <t>Djibouti</t>
  </si>
  <si>
    <t>Ethiopia</t>
  </si>
  <si>
    <t>Guinea</t>
  </si>
  <si>
    <t>Haiti</t>
  </si>
  <si>
    <t>Kenya</t>
  </si>
  <si>
    <t>Kosovo</t>
  </si>
  <si>
    <t>Liberia</t>
  </si>
  <si>
    <t>Madagascar</t>
  </si>
  <si>
    <t>Malawi</t>
  </si>
  <si>
    <t>Mali</t>
  </si>
  <si>
    <t>Moldova</t>
  </si>
  <si>
    <t>Mozambique</t>
  </si>
  <si>
    <t>Myanmar</t>
  </si>
  <si>
    <t xml:space="preserve">Prévision de tendance </t>
    <phoneticPr fontId="0" type="noConversion"/>
  </si>
  <si>
    <t>Nepal</t>
  </si>
  <si>
    <t>Nicaragua</t>
  </si>
  <si>
    <t>Niger</t>
  </si>
  <si>
    <t>Rwanda</t>
  </si>
  <si>
    <t>Sao Tome and Principe</t>
  </si>
  <si>
    <t>Tajikistan</t>
  </si>
  <si>
    <t>Tanzania</t>
  </si>
  <si>
    <t>Uganda</t>
  </si>
  <si>
    <t>Zambia</t>
  </si>
  <si>
    <t>Zimbabwe</t>
  </si>
  <si>
    <t>GDP growth (annual %)</t>
    <phoneticPr fontId="0" type="noConversion"/>
  </si>
  <si>
    <t>GDP growth (annual %)</t>
  </si>
  <si>
    <t>IBRD loans and IDA credits (DOD, current US$)</t>
    <phoneticPr fontId="0" type="noConversion"/>
  </si>
  <si>
    <t>IBRD loans and IDA credits (DOD, current US$)</t>
  </si>
  <si>
    <t>Indicateur: Exports of goods and services (% of GDP)</t>
    <phoneticPr fontId="14" type="noConversion"/>
  </si>
  <si>
    <t xml:space="preserve">Indicateur: GDP growth (annual %) </t>
    <phoneticPr fontId="14" type="noConversion"/>
  </si>
  <si>
    <t>Indicateur: IBRD loans and IDA credits (DOD, current US$)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</si>
</sst>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b/>
      <sz val="12"/>
      <color theme="0"/>
      <name val="Arial"/>
      <family val="2"/>
    </font>
    <font>
      <b/>
      <sz val="11"/>
      <name val="Arial"/>
      <family val="2"/>
    </font>
    <font>
      <sz val="12"/>
      <color indexed="8"/>
      <name val="宋体"/>
      <family val="3"/>
      <charset val="134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9"/>
      <name val="宋体"/>
      <family val="3"/>
      <charset val="134"/>
    </font>
    <font>
      <sz val="11"/>
      <name val="Arial"/>
      <family val="2"/>
    </font>
    <font>
      <sz val="11"/>
      <color theme="1"/>
      <name val="等线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4506668294322"/>
        <bgColor indexed="64"/>
      </patternFill>
    </fill>
  </fills>
  <borders count="18">
    <border>
      <left/>
      <right/>
      <top/>
      <bottom/>
      <diagonal/>
    </border>
    <border>
      <left style="double">
        <color theme="7" tint="0.39994506668294322"/>
      </left>
      <right style="double">
        <color theme="7" tint="0.39991454817346722"/>
      </right>
      <top/>
      <bottom style="double">
        <color theme="7" tint="0.399945066682943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7" tint="0.39994506668294322"/>
      </bottom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/>
      <right/>
      <top style="thin">
        <color theme="7" tint="0.39994506668294322"/>
      </top>
      <bottom/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/>
      <right/>
      <top style="thin">
        <color theme="7" tint="0.39991454817346722"/>
      </top>
      <bottom style="thin">
        <color theme="7" tint="0.39991454817346722"/>
      </bottom>
      <diagonal/>
    </border>
    <border>
      <left/>
      <right/>
      <top style="thin">
        <color theme="7" tint="0.39991454817346722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/>
      <right/>
      <top/>
      <bottom style="thin">
        <color theme="7" tint="0.39991454817346722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</borders>
  <cellStyleXfs count="4">
    <xf numFmtId="0" fontId="0" fillId="0" borderId="0"/>
    <xf numFmtId="0" fontId="5" fillId="0" borderId="0">
      <alignment vertical="center"/>
    </xf>
    <xf numFmtId="0" fontId="8" fillId="0" borderId="0"/>
    <xf numFmtId="0" fontId="8" fillId="0" borderId="0"/>
  </cellStyleXfs>
  <cellXfs count="67">
    <xf numFmtId="0" fontId="0" fillId="0" borderId="0" xfId="0"/>
    <xf numFmtId="0" fontId="5" fillId="0" borderId="0" xfId="1">
      <alignment vertical="center"/>
    </xf>
    <xf numFmtId="0" fontId="3" fillId="3" borderId="0" xfId="1" applyFont="1" applyFill="1">
      <alignment vertical="center"/>
    </xf>
    <xf numFmtId="0" fontId="5" fillId="4" borderId="0" xfId="1" applyFill="1" applyAlignment="1">
      <alignment horizontal="right" vertical="center"/>
    </xf>
    <xf numFmtId="0" fontId="7" fillId="3" borderId="0" xfId="1" applyFont="1" applyFill="1">
      <alignment vertical="center"/>
    </xf>
    <xf numFmtId="0" fontId="2" fillId="0" borderId="0" xfId="1" applyFont="1" applyAlignment="1">
      <alignment horizontal="center" vertical="center"/>
    </xf>
    <xf numFmtId="0" fontId="9" fillId="5" borderId="0" xfId="2" applyFont="1" applyFill="1" applyAlignment="1" applyProtection="1">
      <alignment horizontal="center" vertical="center"/>
      <protection hidden="1"/>
    </xf>
    <xf numFmtId="0" fontId="9" fillId="0" borderId="0" xfId="2" applyFont="1" applyAlignment="1" applyProtection="1">
      <alignment horizontal="center" vertical="center"/>
      <protection hidden="1"/>
    </xf>
    <xf numFmtId="0" fontId="7" fillId="3" borderId="1" xfId="1" applyFont="1" applyFill="1" applyBorder="1">
      <alignment vertical="center"/>
    </xf>
    <xf numFmtId="0" fontId="7" fillId="0" borderId="0" xfId="1" applyFont="1">
      <alignment vertical="center"/>
    </xf>
    <xf numFmtId="0" fontId="1" fillId="0" borderId="0" xfId="1" applyFont="1">
      <alignment vertical="center"/>
    </xf>
    <xf numFmtId="0" fontId="10" fillId="6" borderId="2" xfId="2" applyFont="1" applyFill="1" applyBorder="1" applyAlignment="1" applyProtection="1">
      <alignment horizontal="center" vertical="center" wrapText="1"/>
      <protection hidden="1"/>
    </xf>
    <xf numFmtId="0" fontId="10" fillId="0" borderId="2" xfId="2" applyFont="1" applyBorder="1" applyAlignment="1" applyProtection="1">
      <alignment horizontal="center" vertical="center" wrapText="1"/>
      <protection hidden="1"/>
    </xf>
    <xf numFmtId="0" fontId="10" fillId="0" borderId="0" xfId="2" applyFont="1" applyAlignment="1" applyProtection="1">
      <alignment horizontal="center" vertical="center" wrapText="1"/>
      <protection hidden="1"/>
    </xf>
    <xf numFmtId="0" fontId="10" fillId="6" borderId="2" xfId="3" applyFont="1" applyFill="1" applyBorder="1" applyAlignment="1" applyProtection="1">
      <alignment horizontal="center" vertical="center" wrapText="1"/>
      <protection hidden="1"/>
    </xf>
    <xf numFmtId="0" fontId="10" fillId="0" borderId="2" xfId="3" applyFont="1" applyBorder="1" applyAlignment="1" applyProtection="1">
      <alignment horizontal="center" vertical="center" wrapText="1"/>
      <protection hidden="1"/>
    </xf>
    <xf numFmtId="0" fontId="10" fillId="0" borderId="0" xfId="3" applyFont="1" applyAlignment="1" applyProtection="1">
      <alignment horizontal="center" vertical="center" wrapText="1"/>
      <protection hidden="1"/>
    </xf>
    <xf numFmtId="0" fontId="10" fillId="6" borderId="2" xfId="3" applyFont="1" applyFill="1" applyBorder="1" applyAlignment="1">
      <alignment horizontal="center" vertical="center" wrapText="1"/>
    </xf>
    <xf numFmtId="0" fontId="10" fillId="0" borderId="2" xfId="3" applyFont="1" applyBorder="1" applyAlignment="1">
      <alignment horizontal="center" vertical="center" wrapText="1"/>
    </xf>
    <xf numFmtId="0" fontId="10" fillId="0" borderId="0" xfId="3" applyFont="1" applyAlignment="1">
      <alignment horizontal="center" vertical="center" wrapText="1"/>
    </xf>
    <xf numFmtId="0" fontId="9" fillId="5" borderId="0" xfId="2" applyFont="1" applyFill="1" applyAlignment="1">
      <alignment horizontal="center" vertical="center"/>
    </xf>
    <xf numFmtId="0" fontId="10" fillId="6" borderId="2" xfId="2" applyFont="1" applyFill="1" applyBorder="1" applyAlignment="1">
      <alignment horizontal="center" vertical="center" wrapText="1"/>
    </xf>
    <xf numFmtId="0" fontId="10" fillId="0" borderId="2" xfId="2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/>
    </xf>
    <xf numFmtId="0" fontId="12" fillId="7" borderId="9" xfId="1" applyFont="1" applyFill="1" applyBorder="1">
      <alignment vertical="center"/>
    </xf>
    <xf numFmtId="0" fontId="5" fillId="6" borderId="0" xfId="1" applyFill="1" applyAlignment="1">
      <alignment horizontal="left" vertical="center"/>
    </xf>
    <xf numFmtId="0" fontId="12" fillId="7" borderId="9" xfId="1" applyFont="1" applyFill="1" applyBorder="1" applyAlignment="1">
      <alignment horizontal="right" vertical="center"/>
    </xf>
    <xf numFmtId="0" fontId="12" fillId="7" borderId="10" xfId="1" applyFont="1" applyFill="1" applyBorder="1">
      <alignment vertical="center"/>
    </xf>
    <xf numFmtId="0" fontId="12" fillId="7" borderId="10" xfId="1" applyFont="1" applyFill="1" applyBorder="1" applyAlignment="1">
      <alignment horizontal="right" vertical="center"/>
    </xf>
    <xf numFmtId="0" fontId="12" fillId="3" borderId="11" xfId="1" applyFont="1" applyFill="1" applyBorder="1">
      <alignment vertical="center"/>
    </xf>
    <xf numFmtId="0" fontId="12" fillId="3" borderId="10" xfId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12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5" fillId="0" borderId="0" xfId="1" applyBorder="1" applyAlignment="1">
      <alignment vertical="center" wrapText="1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right"/>
    </xf>
    <xf numFmtId="0" fontId="0" fillId="0" borderId="3" xfId="0" applyNumberFormat="1" applyFill="1" applyBorder="1"/>
    <xf numFmtId="0" fontId="0" fillId="0" borderId="4" xfId="0" applyNumberFormat="1" applyFill="1" applyBorder="1"/>
    <xf numFmtId="0" fontId="0" fillId="0" borderId="5" xfId="0" applyNumberFormat="1" applyFill="1" applyBorder="1"/>
    <xf numFmtId="0" fontId="6" fillId="2" borderId="0" xfId="1" applyFont="1" applyFill="1" applyAlignment="1">
      <alignment horizontal="center" vertical="center"/>
    </xf>
    <xf numFmtId="0" fontId="7" fillId="3" borderId="0" xfId="1" applyFont="1" applyFill="1">
      <alignment vertical="center"/>
    </xf>
    <xf numFmtId="0" fontId="1" fillId="0" borderId="0" xfId="1" applyFont="1">
      <alignment vertical="center"/>
    </xf>
    <xf numFmtId="0" fontId="11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0" fillId="0" borderId="6" xfId="0" applyFill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12" xfId="0" applyNumberFormat="1" applyBorder="1"/>
    <xf numFmtId="0" fontId="0" fillId="0" borderId="12" xfId="0" applyFill="1" applyBorder="1" applyAlignment="1">
      <alignment horizontal="right"/>
    </xf>
    <xf numFmtId="0" fontId="0" fillId="0" borderId="3" xfId="0" applyFill="1" applyBorder="1"/>
    <xf numFmtId="0" fontId="0" fillId="0" borderId="4" xfId="0" applyFill="1" applyBorder="1"/>
    <xf numFmtId="0" fontId="0" fillId="0" borderId="4" xfId="0" applyFill="1" applyBorder="1" applyAlignment="1">
      <alignment horizontal="right"/>
    </xf>
    <xf numFmtId="0" fontId="0" fillId="0" borderId="4" xfId="0" applyNumberFormat="1" applyBorder="1"/>
    <xf numFmtId="0" fontId="0" fillId="0" borderId="5" xfId="0" applyNumberFormat="1" applyBorder="1"/>
    <xf numFmtId="0" fontId="16" fillId="0" borderId="13" xfId="1" applyFont="1" applyBorder="1" applyAlignment="1">
      <alignment vertical="center" wrapText="1"/>
    </xf>
    <xf numFmtId="0" fontId="5" fillId="0" borderId="14" xfId="1" applyBorder="1" applyAlignment="1">
      <alignment vertical="center" wrapText="1"/>
    </xf>
    <xf numFmtId="0" fontId="5" fillId="0" borderId="13" xfId="1" applyBorder="1" applyAlignment="1">
      <alignment vertical="center" wrapText="1"/>
    </xf>
    <xf numFmtId="0" fontId="5" fillId="0" borderId="13" xfId="1" applyBorder="1">
      <alignment vertical="center"/>
    </xf>
    <xf numFmtId="0" fontId="5" fillId="0" borderId="0" xfId="1" applyBorder="1">
      <alignment vertical="center"/>
    </xf>
    <xf numFmtId="0" fontId="5" fillId="0" borderId="14" xfId="1" applyBorder="1">
      <alignment vertical="center"/>
    </xf>
    <xf numFmtId="0" fontId="5" fillId="0" borderId="15" xfId="1" applyBorder="1">
      <alignment vertical="center"/>
    </xf>
    <xf numFmtId="0" fontId="5" fillId="0" borderId="16" xfId="1" applyBorder="1">
      <alignment vertical="center"/>
    </xf>
    <xf numFmtId="0" fontId="5" fillId="0" borderId="17" xfId="1" applyBorder="1">
      <alignment vertical="center"/>
    </xf>
  </cellXfs>
  <cellStyles count="4">
    <cellStyle name="Normal 2" xfId="1" xr:uid="{00000000-0005-0000-0000-000001000000}"/>
    <cellStyle name="常规" xfId="0" builtinId="0"/>
    <cellStyle name="常规_Sheet1" xfId="3" xr:uid="{00000000-0005-0000-0000-000002000000}"/>
    <cellStyle name="常规_Sheet1_1" xfId="2" xr:uid="{00000000-0005-0000-0000-000003000000}"/>
  </cellStyles>
  <dxfs count="636"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solid">
          <bgColor theme="7" tint="0.3999450666829432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border>
        <top/>
        <horizontal style="thin">
          <color theme="7" tint="0.39991454817346722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right"/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4506668294322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right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vertical style="thin">
          <color theme="7" tint="0.39994506668294322"/>
        </vertical>
        <horizontal style="thin">
          <color theme="7" tint="0.39994506668294322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horizontal="right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IBRD loans and IDA credits (DOD, current US$)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prevision3!$H$34:$H$94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prevision3!$I$34:$I$94</c:f>
              <c:numCache>
                <c:formatCode>General</c:formatCode>
                <c:ptCount val="61"/>
                <c:pt idx="0">
                  <c:v>37239000</c:v>
                </c:pt>
                <c:pt idx="1">
                  <c:v>46779000</c:v>
                </c:pt>
                <c:pt idx="2">
                  <c:v>76419000</c:v>
                </c:pt>
                <c:pt idx="3">
                  <c:v>113195000</c:v>
                </c:pt>
                <c:pt idx="4">
                  <c:v>136797000</c:v>
                </c:pt>
                <c:pt idx="5">
                  <c:v>187125000</c:v>
                </c:pt>
                <c:pt idx="6">
                  <c:v>264084000</c:v>
                </c:pt>
                <c:pt idx="7">
                  <c:v>313743000</c:v>
                </c:pt>
                <c:pt idx="8">
                  <c:v>368253000</c:v>
                </c:pt>
                <c:pt idx="9">
                  <c:v>422638000</c:v>
                </c:pt>
                <c:pt idx="10">
                  <c:v>528280000</c:v>
                </c:pt>
                <c:pt idx="11">
                  <c:v>585511000</c:v>
                </c:pt>
                <c:pt idx="12">
                  <c:v>742262000</c:v>
                </c:pt>
                <c:pt idx="13">
                  <c:v>840297000</c:v>
                </c:pt>
                <c:pt idx="14">
                  <c:v>946065000</c:v>
                </c:pt>
                <c:pt idx="15">
                  <c:v>1159344000</c:v>
                </c:pt>
                <c:pt idx="16">
                  <c:v>1382122000</c:v>
                </c:pt>
                <c:pt idx="17">
                  <c:v>1681417000</c:v>
                </c:pt>
                <c:pt idx="18">
                  <c:v>1645746000</c:v>
                </c:pt>
                <c:pt idx="19">
                  <c:v>1782109000</c:v>
                </c:pt>
                <c:pt idx="20">
                  <c:v>2056036000</c:v>
                </c:pt>
                <c:pt idx="21">
                  <c:v>2153454000</c:v>
                </c:pt>
                <c:pt idx="22">
                  <c:v>2066801000</c:v>
                </c:pt>
                <c:pt idx="23">
                  <c:v>2197331000</c:v>
                </c:pt>
                <c:pt idx="24">
                  <c:v>2290075000</c:v>
                </c:pt>
                <c:pt idx="25">
                  <c:v>2411887000</c:v>
                </c:pt>
                <c:pt idx="26">
                  <c:v>2374843000</c:v>
                </c:pt>
                <c:pt idx="27">
                  <c:v>2245323000</c:v>
                </c:pt>
                <c:pt idx="28">
                  <c:v>2364431000</c:v>
                </c:pt>
                <c:pt idx="29">
                  <c:v>2310621000</c:v>
                </c:pt>
                <c:pt idx="30">
                  <c:v>2309409000</c:v>
                </c:pt>
                <c:pt idx="31">
                  <c:v>2286842000</c:v>
                </c:pt>
                <c:pt idx="32">
                  <c:v>2459856000</c:v>
                </c:pt>
                <c:pt idx="33">
                  <c:v>2741964000</c:v>
                </c:pt>
                <c:pt idx="34">
                  <c:v>2882726000</c:v>
                </c:pt>
                <c:pt idx="35">
                  <c:v>2663224000</c:v>
                </c:pt>
                <c:pt idx="36">
                  <c:v>2764089000</c:v>
                </c:pt>
                <c:pt idx="37">
                  <c:v>2968119000</c:v>
                </c:pt>
                <c:pt idx="38">
                  <c:v>3050475000</c:v>
                </c:pt>
                <c:pt idx="39">
                  <c:v>3156096000</c:v>
                </c:pt>
                <c:pt idx="40">
                  <c:v>3237614000</c:v>
                </c:pt>
                <c:pt idx="41">
                  <c:v>3388428000</c:v>
                </c:pt>
                <c:pt idx="42">
                  <c:v>3585785000</c:v>
                </c:pt>
                <c:pt idx="43">
                  <c:v>3982522000</c:v>
                </c:pt>
                <c:pt idx="44">
                  <c:v>4199127000</c:v>
                </c:pt>
                <c:pt idx="45">
                  <c:v>4381759000</c:v>
                </c:pt>
                <c:pt idx="46">
                  <c:v>4567712000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9-40C8-9736-A92E7CB9FD4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prevision3!$H$34:$H$94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prevision3!$J$34:$J$94</c:f>
              <c:numCache>
                <c:formatCode>General</c:formatCode>
                <c:ptCount val="61"/>
                <c:pt idx="46">
                  <c:v>4567712000</c:v>
                </c:pt>
                <c:pt idx="47">
                  <c:v>4129309770.5827942</c:v>
                </c:pt>
                <c:pt idx="48">
                  <c:v>4221261530.5272827</c:v>
                </c:pt>
                <c:pt idx="49">
                  <c:v>4313213290.4717712</c:v>
                </c:pt>
                <c:pt idx="50">
                  <c:v>4405165050.4162598</c:v>
                </c:pt>
                <c:pt idx="51">
                  <c:v>4497116810.3607788</c:v>
                </c:pt>
                <c:pt idx="52">
                  <c:v>4589068570.3052673</c:v>
                </c:pt>
                <c:pt idx="53">
                  <c:v>4681020330.2497559</c:v>
                </c:pt>
                <c:pt idx="54">
                  <c:v>4772972090.1942444</c:v>
                </c:pt>
                <c:pt idx="55">
                  <c:v>4864923850.1387329</c:v>
                </c:pt>
                <c:pt idx="56">
                  <c:v>4956875610.083252</c:v>
                </c:pt>
                <c:pt idx="57">
                  <c:v>5048827370.0277405</c:v>
                </c:pt>
                <c:pt idx="58">
                  <c:v>5140779129.972229</c:v>
                </c:pt>
                <c:pt idx="59">
                  <c:v>5232730889.9167175</c:v>
                </c:pt>
                <c:pt idx="60">
                  <c:v>5324682649.8612366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B9-40C8-9736-A92E7CB9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447936"/>
        <c:axId val="468448264"/>
      </c:lineChart>
      <c:catAx>
        <c:axId val="4684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448264"/>
        <c:crosses val="autoZero"/>
        <c:auto val="1"/>
        <c:lblAlgn val="ctr"/>
        <c:lblOffset val="100"/>
        <c:noMultiLvlLbl val="0"/>
      </c:catAx>
      <c:valAx>
        <c:axId val="46844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44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GDP growth (annual %) 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prevision2!$H$32:$H$101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prevision2!$I$32:$I$101</c:f>
              <c:numCache>
                <c:formatCode>General</c:formatCode>
                <c:ptCount val="70"/>
                <c:pt idx="0">
                  <c:v>-7.77463490412923</c:v>
                </c:pt>
                <c:pt idx="1">
                  <c:v>9.4573587417501308</c:v>
                </c:pt>
                <c:pt idx="2">
                  <c:v>8.7783402162304895</c:v>
                </c:pt>
                <c:pt idx="3">
                  <c:v>4.96446728796285</c:v>
                </c:pt>
                <c:pt idx="4">
                  <c:v>2.0090941708295098</c:v>
                </c:pt>
                <c:pt idx="5">
                  <c:v>14.728566401776</c:v>
                </c:pt>
                <c:pt idx="6">
                  <c:v>3.3612320322510501</c:v>
                </c:pt>
                <c:pt idx="7">
                  <c:v>7.9826899695325704</c:v>
                </c:pt>
                <c:pt idx="8">
                  <c:v>7.9592244560822802</c:v>
                </c:pt>
                <c:pt idx="9">
                  <c:v>-4.6554469135628302</c:v>
                </c:pt>
                <c:pt idx="10">
                  <c:v>22.173891928008501</c:v>
                </c:pt>
                <c:pt idx="11">
                  <c:v>17.082429345007299</c:v>
                </c:pt>
                <c:pt idx="12">
                  <c:v>5.8965802146441497</c:v>
                </c:pt>
                <c:pt idx="13">
                  <c:v>4.0656173472308597</c:v>
                </c:pt>
                <c:pt idx="14">
                  <c:v>0.88220317844796603</c:v>
                </c:pt>
                <c:pt idx="15">
                  <c:v>2.1539644974098602</c:v>
                </c:pt>
                <c:pt idx="16">
                  <c:v>9.4537978493697903</c:v>
                </c:pt>
                <c:pt idx="17">
                  <c:v>6.9124935466745496</c:v>
                </c:pt>
                <c:pt idx="18">
                  <c:v>7.6152260415942399</c:v>
                </c:pt>
                <c:pt idx="19">
                  <c:v>5.5919762065950396</c:v>
                </c:pt>
                <c:pt idx="20">
                  <c:v>3.7735441966441998</c:v>
                </c:pt>
                <c:pt idx="21">
                  <c:v>1.50647825447521</c:v>
                </c:pt>
                <c:pt idx="22">
                  <c:v>1.30905024171788</c:v>
                </c:pt>
                <c:pt idx="23">
                  <c:v>1.7552169769687</c:v>
                </c:pt>
                <c:pt idx="24">
                  <c:v>4.3005618195017101</c:v>
                </c:pt>
                <c:pt idx="25">
                  <c:v>7.17755539087368</c:v>
                </c:pt>
                <c:pt idx="26">
                  <c:v>5.9371074461072801</c:v>
                </c:pt>
                <c:pt idx="27">
                  <c:v>6.2031838198845897</c:v>
                </c:pt>
                <c:pt idx="28">
                  <c:v>4.6903487681229699</c:v>
                </c:pt>
                <c:pt idx="29">
                  <c:v>4.1920509742158503</c:v>
                </c:pt>
                <c:pt idx="30">
                  <c:v>1.43834679108514</c:v>
                </c:pt>
                <c:pt idx="31">
                  <c:v>-0.79949395992763095</c:v>
                </c:pt>
                <c:pt idx="32">
                  <c:v>0.353197256372624</c:v>
                </c:pt>
                <c:pt idx="33">
                  <c:v>2.6327845185903298</c:v>
                </c:pt>
                <c:pt idx="34">
                  <c:v>4.4062165258050801</c:v>
                </c:pt>
                <c:pt idx="35">
                  <c:v>4.1468392671670999</c:v>
                </c:pt>
                <c:pt idx="36">
                  <c:v>0.47490192048410101</c:v>
                </c:pt>
                <c:pt idx="37">
                  <c:v>3.2902137230934598</c:v>
                </c:pt>
                <c:pt idx="38">
                  <c:v>2.3053885959187301</c:v>
                </c:pt>
                <c:pt idx="39">
                  <c:v>0.59969539161363605</c:v>
                </c:pt>
                <c:pt idx="40">
                  <c:v>3.7799064962898701</c:v>
                </c:pt>
                <c:pt idx="41">
                  <c:v>0.54685952999452103</c:v>
                </c:pt>
                <c:pt idx="42">
                  <c:v>2.9324755461927299</c:v>
                </c:pt>
                <c:pt idx="43">
                  <c:v>5.1042997756893396</c:v>
                </c:pt>
                <c:pt idx="44">
                  <c:v>5.9066660816801297</c:v>
                </c:pt>
                <c:pt idx="45">
                  <c:v>6.4724942986248202</c:v>
                </c:pt>
                <c:pt idx="46">
                  <c:v>6.8507297706313803</c:v>
                </c:pt>
                <c:pt idx="47">
                  <c:v>0.23228274566594101</c:v>
                </c:pt>
                <c:pt idx="48">
                  <c:v>3.30693981534758</c:v>
                </c:pt>
                <c:pt idx="49">
                  <c:v>8.4056992242171908</c:v>
                </c:pt>
                <c:pt idx="50">
                  <c:v>6.1082637197964997</c:v>
                </c:pt>
                <c:pt idx="51">
                  <c:v>4.5632091307111997</c:v>
                </c:pt>
                <c:pt idx="52">
                  <c:v>5.8786894770261702</c:v>
                </c:pt>
                <c:pt idx="53">
                  <c:v>5.3571167781201199</c:v>
                </c:pt>
                <c:pt idx="54">
                  <c:v>5.7185071313351399</c:v>
                </c:pt>
                <c:pt idx="55">
                  <c:v>5.8691928491103198</c:v>
                </c:pt>
                <c:pt idx="56">
                  <c:v>4.8854444803254999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E-45D1-9E23-3D6D862882A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prevision2!$H$32:$H$101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prevision2!$J$32:$J$101</c:f>
              <c:numCache>
                <c:formatCode>General</c:formatCode>
                <c:ptCount val="70"/>
                <c:pt idx="56">
                  <c:v>4.8854444803254999</c:v>
                </c:pt>
                <c:pt idx="57">
                  <c:v>3.6819021702692112</c:v>
                </c:pt>
                <c:pt idx="58">
                  <c:v>3.6453730639910304</c:v>
                </c:pt>
                <c:pt idx="59">
                  <c:v>3.6088439577128497</c:v>
                </c:pt>
                <c:pt idx="60">
                  <c:v>3.572314851434669</c:v>
                </c:pt>
                <c:pt idx="61">
                  <c:v>3.5357857451564882</c:v>
                </c:pt>
                <c:pt idx="62">
                  <c:v>3.4992566388783075</c:v>
                </c:pt>
                <c:pt idx="63">
                  <c:v>3.4627275326001268</c:v>
                </c:pt>
                <c:pt idx="64">
                  <c:v>3.426198426321946</c:v>
                </c:pt>
                <c:pt idx="65">
                  <c:v>3.3896693200437653</c:v>
                </c:pt>
                <c:pt idx="66">
                  <c:v>3.3531402137655846</c:v>
                </c:pt>
                <c:pt idx="67">
                  <c:v>3.3166111074874038</c:v>
                </c:pt>
                <c:pt idx="68">
                  <c:v>3.2800820012092231</c:v>
                </c:pt>
                <c:pt idx="69">
                  <c:v>3.2435528949310424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4E-45D1-9E23-3D6D86288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601656"/>
        <c:axId val="505403560"/>
      </c:lineChart>
      <c:catAx>
        <c:axId val="51660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403560"/>
        <c:crosses val="autoZero"/>
        <c:auto val="1"/>
        <c:lblAlgn val="ctr"/>
        <c:lblOffset val="100"/>
        <c:noMultiLvlLbl val="0"/>
      </c:catAx>
      <c:valAx>
        <c:axId val="50540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60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Exports of goods and services (% of GDP)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prevision1!$H$33:$H$103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prevision1!$I$33:$I$103</c:f>
              <c:numCache>
                <c:formatCode>General</c:formatCode>
                <c:ptCount val="71"/>
                <c:pt idx="0">
                  <c:v>31.095746519435</c:v>
                </c:pt>
                <c:pt idx="1">
                  <c:v>32.717169681453797</c:v>
                </c:pt>
                <c:pt idx="2">
                  <c:v>32.037809261394798</c:v>
                </c:pt>
                <c:pt idx="3">
                  <c:v>32.032947656704003</c:v>
                </c:pt>
                <c:pt idx="4">
                  <c:v>33.389413153894701</c:v>
                </c:pt>
                <c:pt idx="5">
                  <c:v>31.397315206878599</c:v>
                </c:pt>
                <c:pt idx="6">
                  <c:v>32.411633516273902</c:v>
                </c:pt>
                <c:pt idx="7">
                  <c:v>28.464334393457499</c:v>
                </c:pt>
                <c:pt idx="8">
                  <c:v>29.4008110568567</c:v>
                </c:pt>
                <c:pt idx="9">
                  <c:v>29.5286550830373</c:v>
                </c:pt>
                <c:pt idx="10">
                  <c:v>29.825725561415201</c:v>
                </c:pt>
                <c:pt idx="11">
                  <c:v>28.639355102812001</c:v>
                </c:pt>
                <c:pt idx="12">
                  <c:v>26.5878288599522</c:v>
                </c:pt>
                <c:pt idx="13">
                  <c:v>27.393834680632999</c:v>
                </c:pt>
                <c:pt idx="14">
                  <c:v>33.675883850287498</c:v>
                </c:pt>
                <c:pt idx="15">
                  <c:v>29.823685969750201</c:v>
                </c:pt>
                <c:pt idx="16">
                  <c:v>32.450471243808501</c:v>
                </c:pt>
                <c:pt idx="17">
                  <c:v>34.958868756384803</c:v>
                </c:pt>
                <c:pt idx="18">
                  <c:v>28.935518336561401</c:v>
                </c:pt>
                <c:pt idx="19">
                  <c:v>25.753154235687902</c:v>
                </c:pt>
                <c:pt idx="20">
                  <c:v>29.516964217512001</c:v>
                </c:pt>
                <c:pt idx="21">
                  <c:v>30.4598813209494</c:v>
                </c:pt>
                <c:pt idx="22">
                  <c:v>26.657465998935201</c:v>
                </c:pt>
                <c:pt idx="23">
                  <c:v>25.949932405436702</c:v>
                </c:pt>
                <c:pt idx="24">
                  <c:v>26.749892652163901</c:v>
                </c:pt>
                <c:pt idx="25">
                  <c:v>25.2989329600959</c:v>
                </c:pt>
                <c:pt idx="26">
                  <c:v>25.848355272679601</c:v>
                </c:pt>
                <c:pt idx="27">
                  <c:v>21.305221347435602</c:v>
                </c:pt>
                <c:pt idx="28">
                  <c:v>22.3712135609168</c:v>
                </c:pt>
                <c:pt idx="29">
                  <c:v>23.0330294282825</c:v>
                </c:pt>
                <c:pt idx="30">
                  <c:v>25.692605964936401</c:v>
                </c:pt>
                <c:pt idx="31">
                  <c:v>27.0416323240194</c:v>
                </c:pt>
                <c:pt idx="32">
                  <c:v>26.260374190635101</c:v>
                </c:pt>
                <c:pt idx="33">
                  <c:v>38.903630169804202</c:v>
                </c:pt>
                <c:pt idx="34">
                  <c:v>37.0402808384151</c:v>
                </c:pt>
                <c:pt idx="35">
                  <c:v>32.5917012190029</c:v>
                </c:pt>
                <c:pt idx="36">
                  <c:v>25.2006019494243</c:v>
                </c:pt>
                <c:pt idx="37">
                  <c:v>22.686387351634998</c:v>
                </c:pt>
                <c:pt idx="38">
                  <c:v>20.1692608275285</c:v>
                </c:pt>
                <c:pt idx="39">
                  <c:v>20.8327351985075</c:v>
                </c:pt>
                <c:pt idx="40">
                  <c:v>21.587571141762499</c:v>
                </c:pt>
                <c:pt idx="41">
                  <c:v>22.931576364336699</c:v>
                </c:pt>
                <c:pt idx="42">
                  <c:v>24.897972614700201</c:v>
                </c:pt>
                <c:pt idx="43">
                  <c:v>24.086815305420998</c:v>
                </c:pt>
                <c:pt idx="44">
                  <c:v>26.610258575297301</c:v>
                </c:pt>
                <c:pt idx="45">
                  <c:v>28.5090302142012</c:v>
                </c:pt>
                <c:pt idx="46">
                  <c:v>22.984939644186099</c:v>
                </c:pt>
                <c:pt idx="47">
                  <c:v>21.918991293369899</c:v>
                </c:pt>
                <c:pt idx="48">
                  <c:v>22.674057553226699</c:v>
                </c:pt>
                <c:pt idx="49">
                  <c:v>20.032629252907402</c:v>
                </c:pt>
                <c:pt idx="50">
                  <c:v>20.656983247274301</c:v>
                </c:pt>
                <c:pt idx="51">
                  <c:v>21.625194710111401</c:v>
                </c:pt>
                <c:pt idx="52">
                  <c:v>22.261822198698301</c:v>
                </c:pt>
                <c:pt idx="53">
                  <c:v>19.9253882154437</c:v>
                </c:pt>
                <c:pt idx="54">
                  <c:v>18.296980919547899</c:v>
                </c:pt>
                <c:pt idx="55">
                  <c:v>16.592443318291</c:v>
                </c:pt>
                <c:pt idx="56">
                  <c:v>13.971218534802899</c:v>
                </c:pt>
                <c:pt idx="57">
                  <c:v>13.931212921092699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8-4034-A13B-8C5B7F858C0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prevision1!$H$33:$H$103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prevision1!$J$33:$J$103</c:f>
              <c:numCache>
                <c:formatCode>General</c:formatCode>
                <c:ptCount val="71"/>
                <c:pt idx="57">
                  <c:v>13.931212921092699</c:v>
                </c:pt>
                <c:pt idx="58">
                  <c:v>19.833145696850693</c:v>
                </c:pt>
                <c:pt idx="59">
                  <c:v>19.609049305208544</c:v>
                </c:pt>
                <c:pt idx="60">
                  <c:v>19.384952913566394</c:v>
                </c:pt>
                <c:pt idx="61">
                  <c:v>19.160856521924245</c:v>
                </c:pt>
                <c:pt idx="62">
                  <c:v>18.936760130282096</c:v>
                </c:pt>
                <c:pt idx="63">
                  <c:v>18.712663738639947</c:v>
                </c:pt>
                <c:pt idx="64">
                  <c:v>18.488567346997741</c:v>
                </c:pt>
                <c:pt idx="65">
                  <c:v>18.264470955355591</c:v>
                </c:pt>
                <c:pt idx="66">
                  <c:v>18.040374563713442</c:v>
                </c:pt>
                <c:pt idx="67">
                  <c:v>17.816278172071293</c:v>
                </c:pt>
                <c:pt idx="68">
                  <c:v>17.592181780429144</c:v>
                </c:pt>
                <c:pt idx="69">
                  <c:v>17.368085388786994</c:v>
                </c:pt>
                <c:pt idx="70">
                  <c:v>17.143988997144845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E8-4034-A13B-8C5B7F858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49880"/>
        <c:axId val="517054800"/>
      </c:lineChart>
      <c:catAx>
        <c:axId val="51704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7054800"/>
        <c:crosses val="autoZero"/>
        <c:auto val="1"/>
        <c:lblAlgn val="ctr"/>
        <c:lblOffset val="100"/>
        <c:noMultiLvlLbl val="0"/>
      </c:catAx>
      <c:valAx>
        <c:axId val="51705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704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8999379327970309E-2"/>
                  <c:y val="-0.207550662750228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prevision1!$B$33:$B$103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prevision1!$C$33:$C$103</c:f>
              <c:numCache>
                <c:formatCode>General</c:formatCode>
                <c:ptCount val="71"/>
                <c:pt idx="0">
                  <c:v>31.095746519435</c:v>
                </c:pt>
                <c:pt idx="1">
                  <c:v>32.717169681453797</c:v>
                </c:pt>
                <c:pt idx="2">
                  <c:v>32.037809261394798</c:v>
                </c:pt>
                <c:pt idx="3">
                  <c:v>32.032947656704003</c:v>
                </c:pt>
                <c:pt idx="4">
                  <c:v>33.389413153894701</c:v>
                </c:pt>
                <c:pt idx="5">
                  <c:v>31.397315206878599</c:v>
                </c:pt>
                <c:pt idx="6">
                  <c:v>32.411633516273902</c:v>
                </c:pt>
                <c:pt idx="7">
                  <c:v>28.464334393457499</c:v>
                </c:pt>
                <c:pt idx="8">
                  <c:v>29.4008110568567</c:v>
                </c:pt>
                <c:pt idx="9">
                  <c:v>29.5286550830373</c:v>
                </c:pt>
                <c:pt idx="10">
                  <c:v>29.825725561415201</c:v>
                </c:pt>
                <c:pt idx="11">
                  <c:v>28.639355102812001</c:v>
                </c:pt>
                <c:pt idx="12">
                  <c:v>26.5878288599522</c:v>
                </c:pt>
                <c:pt idx="13">
                  <c:v>27.393834680632999</c:v>
                </c:pt>
                <c:pt idx="14">
                  <c:v>33.675883850287498</c:v>
                </c:pt>
                <c:pt idx="15">
                  <c:v>29.823685969750201</c:v>
                </c:pt>
                <c:pt idx="16">
                  <c:v>32.450471243808501</c:v>
                </c:pt>
                <c:pt idx="17">
                  <c:v>34.958868756384803</c:v>
                </c:pt>
                <c:pt idx="18">
                  <c:v>28.935518336561401</c:v>
                </c:pt>
                <c:pt idx="19">
                  <c:v>25.753154235687902</c:v>
                </c:pt>
                <c:pt idx="20">
                  <c:v>29.516964217512001</c:v>
                </c:pt>
                <c:pt idx="21">
                  <c:v>30.4598813209494</c:v>
                </c:pt>
                <c:pt idx="22">
                  <c:v>26.657465998935201</c:v>
                </c:pt>
                <c:pt idx="23">
                  <c:v>25.949932405436702</c:v>
                </c:pt>
                <c:pt idx="24">
                  <c:v>26.749892652163901</c:v>
                </c:pt>
                <c:pt idx="25">
                  <c:v>25.2989329600959</c:v>
                </c:pt>
                <c:pt idx="26">
                  <c:v>25.848355272679601</c:v>
                </c:pt>
                <c:pt idx="27">
                  <c:v>21.305221347435602</c:v>
                </c:pt>
                <c:pt idx="28">
                  <c:v>22.3712135609168</c:v>
                </c:pt>
                <c:pt idx="29">
                  <c:v>23.0330294282825</c:v>
                </c:pt>
                <c:pt idx="30">
                  <c:v>25.692605964936401</c:v>
                </c:pt>
                <c:pt idx="31">
                  <c:v>27.0416323240194</c:v>
                </c:pt>
                <c:pt idx="32">
                  <c:v>26.260374190635101</c:v>
                </c:pt>
                <c:pt idx="33">
                  <c:v>38.903630169804202</c:v>
                </c:pt>
                <c:pt idx="34">
                  <c:v>37.0402808384151</c:v>
                </c:pt>
                <c:pt idx="35">
                  <c:v>32.5917012190029</c:v>
                </c:pt>
                <c:pt idx="36">
                  <c:v>25.2006019494243</c:v>
                </c:pt>
                <c:pt idx="37">
                  <c:v>22.686387351634998</c:v>
                </c:pt>
                <c:pt idx="38">
                  <c:v>20.1692608275285</c:v>
                </c:pt>
                <c:pt idx="39">
                  <c:v>20.8327351985075</c:v>
                </c:pt>
                <c:pt idx="40">
                  <c:v>21.587571141762499</c:v>
                </c:pt>
                <c:pt idx="41">
                  <c:v>22.931576364336699</c:v>
                </c:pt>
                <c:pt idx="42">
                  <c:v>24.897972614700201</c:v>
                </c:pt>
                <c:pt idx="43">
                  <c:v>24.086815305420998</c:v>
                </c:pt>
                <c:pt idx="44">
                  <c:v>26.610258575297301</c:v>
                </c:pt>
                <c:pt idx="45">
                  <c:v>28.5090302142012</c:v>
                </c:pt>
                <c:pt idx="46">
                  <c:v>22.984939644186099</c:v>
                </c:pt>
                <c:pt idx="47">
                  <c:v>21.918991293369899</c:v>
                </c:pt>
                <c:pt idx="48">
                  <c:v>22.674057553226699</c:v>
                </c:pt>
                <c:pt idx="49">
                  <c:v>20.032629252907402</c:v>
                </c:pt>
                <c:pt idx="50">
                  <c:v>20.656983247274301</c:v>
                </c:pt>
                <c:pt idx="51">
                  <c:v>21.625194710111401</c:v>
                </c:pt>
                <c:pt idx="52">
                  <c:v>22.261822198698301</c:v>
                </c:pt>
                <c:pt idx="53">
                  <c:v>19.9253882154437</c:v>
                </c:pt>
                <c:pt idx="54">
                  <c:v>18.296980919547899</c:v>
                </c:pt>
                <c:pt idx="55">
                  <c:v>16.592443318291</c:v>
                </c:pt>
                <c:pt idx="56">
                  <c:v>13.971218534802899</c:v>
                </c:pt>
                <c:pt idx="57">
                  <c:v>13.931212921092699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95-40D6-BF4F-6F0B3576451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prevision1!$B$33:$B$103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prevision1!$D$33:$D$103</c:f>
              <c:numCache>
                <c:formatCode>General</c:formatCode>
                <c:ptCount val="71"/>
                <c:pt idx="57">
                  <c:v>13.931212921092699</c:v>
                </c:pt>
                <c:pt idx="58">
                  <c:v>19.833145696850693</c:v>
                </c:pt>
                <c:pt idx="59">
                  <c:v>19.609049305208544</c:v>
                </c:pt>
                <c:pt idx="60">
                  <c:v>19.384952913566394</c:v>
                </c:pt>
                <c:pt idx="61">
                  <c:v>19.160856521924245</c:v>
                </c:pt>
                <c:pt idx="62">
                  <c:v>18.936760130282096</c:v>
                </c:pt>
                <c:pt idx="63">
                  <c:v>18.712663738639947</c:v>
                </c:pt>
                <c:pt idx="64">
                  <c:v>18.488567346997741</c:v>
                </c:pt>
                <c:pt idx="65">
                  <c:v>18.264470955355591</c:v>
                </c:pt>
                <c:pt idx="66">
                  <c:v>18.040374563713442</c:v>
                </c:pt>
                <c:pt idx="67">
                  <c:v>17.816278172071293</c:v>
                </c:pt>
                <c:pt idx="68">
                  <c:v>17.592181780429144</c:v>
                </c:pt>
                <c:pt idx="69">
                  <c:v>17.368085388786994</c:v>
                </c:pt>
                <c:pt idx="70">
                  <c:v>17.143988997144845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95-40D6-BF4F-6F0B3576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106480"/>
        <c:axId val="511106152"/>
      </c:lineChart>
      <c:catAx>
        <c:axId val="51110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1106152"/>
        <c:crosses val="autoZero"/>
        <c:auto val="1"/>
        <c:lblAlgn val="ctr"/>
        <c:lblOffset val="100"/>
        <c:noMultiLvlLbl val="0"/>
      </c:catAx>
      <c:valAx>
        <c:axId val="51110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110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economique.xlsm]Indicateur1!数据透视表2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Exports of goods and services (% of GDP)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Indicateur1!$K$5:$K$6</c:f>
              <c:strCache>
                <c:ptCount val="1"/>
                <c:pt idx="0">
                  <c:v>Kenya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Indicateur1!$J$7:$J$64</c:f>
              <c:strCache>
                <c:ptCount val="58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</c:strCache>
            </c:strRef>
          </c:cat>
          <c:val>
            <c:numRef>
              <c:f>Indicateur1!$K$7:$K$64</c:f>
              <c:numCache>
                <c:formatCode>General</c:formatCode>
                <c:ptCount val="58"/>
                <c:pt idx="0">
                  <c:v>31.095746519435</c:v>
                </c:pt>
                <c:pt idx="1">
                  <c:v>32.717169681453797</c:v>
                </c:pt>
                <c:pt idx="2">
                  <c:v>32.037809261394798</c:v>
                </c:pt>
                <c:pt idx="3">
                  <c:v>32.032947656704003</c:v>
                </c:pt>
                <c:pt idx="4">
                  <c:v>33.389413153894701</c:v>
                </c:pt>
                <c:pt idx="5">
                  <c:v>31.397315206878599</c:v>
                </c:pt>
                <c:pt idx="6">
                  <c:v>32.411633516273902</c:v>
                </c:pt>
                <c:pt idx="7">
                  <c:v>28.464334393457499</c:v>
                </c:pt>
                <c:pt idx="8">
                  <c:v>29.4008110568567</c:v>
                </c:pt>
                <c:pt idx="9">
                  <c:v>29.5286550830373</c:v>
                </c:pt>
                <c:pt idx="10">
                  <c:v>29.825725561415201</c:v>
                </c:pt>
                <c:pt idx="11">
                  <c:v>28.639355102812001</c:v>
                </c:pt>
                <c:pt idx="12">
                  <c:v>26.5878288599522</c:v>
                </c:pt>
                <c:pt idx="13">
                  <c:v>27.393834680632999</c:v>
                </c:pt>
                <c:pt idx="14">
                  <c:v>33.675883850287498</c:v>
                </c:pt>
                <c:pt idx="15">
                  <c:v>29.823685969750201</c:v>
                </c:pt>
                <c:pt idx="16">
                  <c:v>32.450471243808501</c:v>
                </c:pt>
                <c:pt idx="17">
                  <c:v>34.958868756384803</c:v>
                </c:pt>
                <c:pt idx="18">
                  <c:v>28.935518336561401</c:v>
                </c:pt>
                <c:pt idx="19">
                  <c:v>25.753154235687902</c:v>
                </c:pt>
                <c:pt idx="20">
                  <c:v>29.516964217512001</c:v>
                </c:pt>
                <c:pt idx="21">
                  <c:v>30.4598813209494</c:v>
                </c:pt>
                <c:pt idx="22">
                  <c:v>26.657465998935201</c:v>
                </c:pt>
                <c:pt idx="23">
                  <c:v>25.949932405436702</c:v>
                </c:pt>
                <c:pt idx="24">
                  <c:v>26.749892652163901</c:v>
                </c:pt>
                <c:pt idx="25">
                  <c:v>25.2989329600959</c:v>
                </c:pt>
                <c:pt idx="26">
                  <c:v>25.848355272679601</c:v>
                </c:pt>
                <c:pt idx="27">
                  <c:v>21.305221347435602</c:v>
                </c:pt>
                <c:pt idx="28">
                  <c:v>22.3712135609168</c:v>
                </c:pt>
                <c:pt idx="29">
                  <c:v>23.0330294282825</c:v>
                </c:pt>
                <c:pt idx="30">
                  <c:v>25.692605964936401</c:v>
                </c:pt>
                <c:pt idx="31">
                  <c:v>27.0416323240194</c:v>
                </c:pt>
                <c:pt idx="32">
                  <c:v>26.260374190635101</c:v>
                </c:pt>
                <c:pt idx="33">
                  <c:v>38.903630169804202</c:v>
                </c:pt>
                <c:pt idx="34">
                  <c:v>37.0402808384151</c:v>
                </c:pt>
                <c:pt idx="35">
                  <c:v>32.5917012190029</c:v>
                </c:pt>
                <c:pt idx="36">
                  <c:v>25.2006019494243</c:v>
                </c:pt>
                <c:pt idx="37">
                  <c:v>22.686387351634998</c:v>
                </c:pt>
                <c:pt idx="38">
                  <c:v>20.1692608275285</c:v>
                </c:pt>
                <c:pt idx="39">
                  <c:v>20.8327351985075</c:v>
                </c:pt>
                <c:pt idx="40">
                  <c:v>21.587571141762499</c:v>
                </c:pt>
                <c:pt idx="41">
                  <c:v>22.931576364336699</c:v>
                </c:pt>
                <c:pt idx="42">
                  <c:v>24.897972614700201</c:v>
                </c:pt>
                <c:pt idx="43">
                  <c:v>24.086815305420998</c:v>
                </c:pt>
                <c:pt idx="44">
                  <c:v>26.610258575297301</c:v>
                </c:pt>
                <c:pt idx="45">
                  <c:v>28.5090302142012</c:v>
                </c:pt>
                <c:pt idx="46">
                  <c:v>22.984939644186099</c:v>
                </c:pt>
                <c:pt idx="47">
                  <c:v>21.918991293369899</c:v>
                </c:pt>
                <c:pt idx="48">
                  <c:v>22.674057553226699</c:v>
                </c:pt>
                <c:pt idx="49">
                  <c:v>20.032629252907402</c:v>
                </c:pt>
                <c:pt idx="50">
                  <c:v>20.656983247274301</c:v>
                </c:pt>
                <c:pt idx="51">
                  <c:v>21.625194710111401</c:v>
                </c:pt>
                <c:pt idx="52">
                  <c:v>22.261822198698301</c:v>
                </c:pt>
                <c:pt idx="53">
                  <c:v>19.9253882154437</c:v>
                </c:pt>
                <c:pt idx="54">
                  <c:v>18.296980919547899</c:v>
                </c:pt>
                <c:pt idx="55">
                  <c:v>16.592443318291</c:v>
                </c:pt>
                <c:pt idx="56">
                  <c:v>13.971218534802899</c:v>
                </c:pt>
                <c:pt idx="57">
                  <c:v>13.931212921092699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1-4D66-9C4A-1E061B006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180808"/>
        <c:axId val="485173920"/>
      </c:lineChart>
      <c:catAx>
        <c:axId val="48518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5173920"/>
        <c:crosses val="autoZero"/>
        <c:auto val="1"/>
        <c:lblAlgn val="ctr"/>
        <c:lblOffset val="100"/>
        <c:noMultiLvlLbl val="0"/>
      </c:catAx>
      <c:valAx>
        <c:axId val="48517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518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8533245844269466E-2"/>
                  <c:y val="-0.192664041994750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prevision2!$C$32:$C$101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prevision2!$D$32:$D$101</c:f>
              <c:numCache>
                <c:formatCode>General</c:formatCode>
                <c:ptCount val="70"/>
                <c:pt idx="0">
                  <c:v>-7.77463490412923</c:v>
                </c:pt>
                <c:pt idx="1">
                  <c:v>9.4573587417501308</c:v>
                </c:pt>
                <c:pt idx="2">
                  <c:v>8.7783402162304895</c:v>
                </c:pt>
                <c:pt idx="3">
                  <c:v>4.96446728796285</c:v>
                </c:pt>
                <c:pt idx="4">
                  <c:v>2.0090941708295098</c:v>
                </c:pt>
                <c:pt idx="5">
                  <c:v>14.728566401776</c:v>
                </c:pt>
                <c:pt idx="6">
                  <c:v>3.3612320322510501</c:v>
                </c:pt>
                <c:pt idx="7">
                  <c:v>7.9826899695325704</c:v>
                </c:pt>
                <c:pt idx="8">
                  <c:v>7.9592244560822802</c:v>
                </c:pt>
                <c:pt idx="9">
                  <c:v>-4.6554469135628302</c:v>
                </c:pt>
                <c:pt idx="10">
                  <c:v>22.173891928008501</c:v>
                </c:pt>
                <c:pt idx="11">
                  <c:v>17.082429345007299</c:v>
                </c:pt>
                <c:pt idx="12">
                  <c:v>5.8965802146441497</c:v>
                </c:pt>
                <c:pt idx="13">
                  <c:v>4.0656173472308597</c:v>
                </c:pt>
                <c:pt idx="14">
                  <c:v>0.88220317844796603</c:v>
                </c:pt>
                <c:pt idx="15">
                  <c:v>2.1539644974098602</c:v>
                </c:pt>
                <c:pt idx="16">
                  <c:v>9.4537978493697903</c:v>
                </c:pt>
                <c:pt idx="17">
                  <c:v>6.9124935466745496</c:v>
                </c:pt>
                <c:pt idx="18">
                  <c:v>7.6152260415942399</c:v>
                </c:pt>
                <c:pt idx="19">
                  <c:v>5.5919762065950396</c:v>
                </c:pt>
                <c:pt idx="20">
                  <c:v>3.7735441966441998</c:v>
                </c:pt>
                <c:pt idx="21">
                  <c:v>1.50647825447521</c:v>
                </c:pt>
                <c:pt idx="22">
                  <c:v>1.30905024171788</c:v>
                </c:pt>
                <c:pt idx="23">
                  <c:v>1.7552169769687</c:v>
                </c:pt>
                <c:pt idx="24">
                  <c:v>4.3005618195017101</c:v>
                </c:pt>
                <c:pt idx="25">
                  <c:v>7.17755539087368</c:v>
                </c:pt>
                <c:pt idx="26">
                  <c:v>5.9371074461072801</c:v>
                </c:pt>
                <c:pt idx="27">
                  <c:v>6.2031838198845897</c:v>
                </c:pt>
                <c:pt idx="28">
                  <c:v>4.6903487681229699</c:v>
                </c:pt>
                <c:pt idx="29">
                  <c:v>4.1920509742158503</c:v>
                </c:pt>
                <c:pt idx="30">
                  <c:v>1.43834679108514</c:v>
                </c:pt>
                <c:pt idx="31">
                  <c:v>-0.79949395992763095</c:v>
                </c:pt>
                <c:pt idx="32">
                  <c:v>0.353197256372624</c:v>
                </c:pt>
                <c:pt idx="33">
                  <c:v>2.6327845185903298</c:v>
                </c:pt>
                <c:pt idx="34">
                  <c:v>4.4062165258050801</c:v>
                </c:pt>
                <c:pt idx="35">
                  <c:v>4.1468392671670999</c:v>
                </c:pt>
                <c:pt idx="36">
                  <c:v>0.47490192048410101</c:v>
                </c:pt>
                <c:pt idx="37">
                  <c:v>3.2902137230934598</c:v>
                </c:pt>
                <c:pt idx="38">
                  <c:v>2.3053885959187301</c:v>
                </c:pt>
                <c:pt idx="39">
                  <c:v>0.59969539161363605</c:v>
                </c:pt>
                <c:pt idx="40">
                  <c:v>3.7799064962898701</c:v>
                </c:pt>
                <c:pt idx="41">
                  <c:v>0.54685952999452103</c:v>
                </c:pt>
                <c:pt idx="42">
                  <c:v>2.9324755461927299</c:v>
                </c:pt>
                <c:pt idx="43">
                  <c:v>5.1042997756893396</c:v>
                </c:pt>
                <c:pt idx="44">
                  <c:v>5.9066660816801297</c:v>
                </c:pt>
                <c:pt idx="45">
                  <c:v>6.4724942986248202</c:v>
                </c:pt>
                <c:pt idx="46">
                  <c:v>6.8507297706313803</c:v>
                </c:pt>
                <c:pt idx="47">
                  <c:v>0.23228274566594101</c:v>
                </c:pt>
                <c:pt idx="48">
                  <c:v>3.30693981534758</c:v>
                </c:pt>
                <c:pt idx="49">
                  <c:v>8.4056992242171908</c:v>
                </c:pt>
                <c:pt idx="50">
                  <c:v>6.1082637197964997</c:v>
                </c:pt>
                <c:pt idx="51">
                  <c:v>4.5632091307111997</c:v>
                </c:pt>
                <c:pt idx="52">
                  <c:v>5.8786894770261702</c:v>
                </c:pt>
                <c:pt idx="53">
                  <c:v>5.3571167781201199</c:v>
                </c:pt>
                <c:pt idx="54">
                  <c:v>5.7185071313351399</c:v>
                </c:pt>
                <c:pt idx="55">
                  <c:v>5.8691928491103198</c:v>
                </c:pt>
                <c:pt idx="56">
                  <c:v>4.8854444803254999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7-4AEB-9F65-FE3AC1B27D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prevision2!$C$32:$C$101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prevision2!$E$32:$E$101</c:f>
              <c:numCache>
                <c:formatCode>General</c:formatCode>
                <c:ptCount val="70"/>
                <c:pt idx="56">
                  <c:v>4.8854444803254999</c:v>
                </c:pt>
                <c:pt idx="57">
                  <c:v>3.6819021702692112</c:v>
                </c:pt>
                <c:pt idx="58">
                  <c:v>3.6453730639910304</c:v>
                </c:pt>
                <c:pt idx="59">
                  <c:v>3.6088439577128497</c:v>
                </c:pt>
                <c:pt idx="60">
                  <c:v>3.572314851434669</c:v>
                </c:pt>
                <c:pt idx="61">
                  <c:v>3.5357857451564882</c:v>
                </c:pt>
                <c:pt idx="62">
                  <c:v>3.4992566388783075</c:v>
                </c:pt>
                <c:pt idx="63">
                  <c:v>3.4627275326001268</c:v>
                </c:pt>
                <c:pt idx="64">
                  <c:v>3.426198426321946</c:v>
                </c:pt>
                <c:pt idx="65">
                  <c:v>3.3896693200437653</c:v>
                </c:pt>
                <c:pt idx="66">
                  <c:v>3.3531402137655846</c:v>
                </c:pt>
                <c:pt idx="67">
                  <c:v>3.3166111074874038</c:v>
                </c:pt>
                <c:pt idx="68">
                  <c:v>3.2800820012092231</c:v>
                </c:pt>
                <c:pt idx="69">
                  <c:v>3.2435528949310424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87-4AEB-9F65-FE3AC1B27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845608"/>
        <c:axId val="531845936"/>
      </c:lineChart>
      <c:catAx>
        <c:axId val="53184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845936"/>
        <c:crosses val="autoZero"/>
        <c:auto val="1"/>
        <c:lblAlgn val="ctr"/>
        <c:lblOffset val="100"/>
        <c:noMultiLvlLbl val="0"/>
      </c:catAx>
      <c:valAx>
        <c:axId val="53184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84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economique.xlsm]Indicateur2!数据透视表1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GDP growth (annual 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Indicateur2!$K$5:$K$6</c:f>
              <c:strCache>
                <c:ptCount val="1"/>
                <c:pt idx="0">
                  <c:v>Kenya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Indicateur2!$J$7:$J$63</c:f>
              <c:strCache>
                <c:ptCount val="57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</c:strCache>
            </c:strRef>
          </c:cat>
          <c:val>
            <c:numRef>
              <c:f>Indicateur2!$K$7:$K$63</c:f>
              <c:numCache>
                <c:formatCode>General</c:formatCode>
                <c:ptCount val="57"/>
                <c:pt idx="0">
                  <c:v>-7.77463490412923</c:v>
                </c:pt>
                <c:pt idx="1">
                  <c:v>9.4573587417501308</c:v>
                </c:pt>
                <c:pt idx="2">
                  <c:v>8.7783402162304895</c:v>
                </c:pt>
                <c:pt idx="3">
                  <c:v>4.96446728796285</c:v>
                </c:pt>
                <c:pt idx="4">
                  <c:v>2.0090941708295098</c:v>
                </c:pt>
                <c:pt idx="5">
                  <c:v>14.728566401776</c:v>
                </c:pt>
                <c:pt idx="6">
                  <c:v>3.3612320322510501</c:v>
                </c:pt>
                <c:pt idx="7">
                  <c:v>7.9826899695325704</c:v>
                </c:pt>
                <c:pt idx="8">
                  <c:v>7.9592244560822802</c:v>
                </c:pt>
                <c:pt idx="9">
                  <c:v>-4.6554469135628302</c:v>
                </c:pt>
                <c:pt idx="10">
                  <c:v>22.173891928008501</c:v>
                </c:pt>
                <c:pt idx="11">
                  <c:v>17.082429345007299</c:v>
                </c:pt>
                <c:pt idx="12">
                  <c:v>5.8965802146441497</c:v>
                </c:pt>
                <c:pt idx="13">
                  <c:v>4.0656173472308597</c:v>
                </c:pt>
                <c:pt idx="14">
                  <c:v>0.88220317844796603</c:v>
                </c:pt>
                <c:pt idx="15">
                  <c:v>2.1539644974098602</c:v>
                </c:pt>
                <c:pt idx="16">
                  <c:v>9.4537978493697903</c:v>
                </c:pt>
                <c:pt idx="17">
                  <c:v>6.9124935466745496</c:v>
                </c:pt>
                <c:pt idx="18">
                  <c:v>7.6152260415942399</c:v>
                </c:pt>
                <c:pt idx="19">
                  <c:v>5.5919762065950396</c:v>
                </c:pt>
                <c:pt idx="20">
                  <c:v>3.7735441966441998</c:v>
                </c:pt>
                <c:pt idx="21">
                  <c:v>1.50647825447521</c:v>
                </c:pt>
                <c:pt idx="22">
                  <c:v>1.30905024171788</c:v>
                </c:pt>
                <c:pt idx="23">
                  <c:v>1.7552169769687</c:v>
                </c:pt>
                <c:pt idx="24">
                  <c:v>4.3005618195017101</c:v>
                </c:pt>
                <c:pt idx="25">
                  <c:v>7.17755539087368</c:v>
                </c:pt>
                <c:pt idx="26">
                  <c:v>5.9371074461072801</c:v>
                </c:pt>
                <c:pt idx="27">
                  <c:v>6.2031838198845897</c:v>
                </c:pt>
                <c:pt idx="28">
                  <c:v>4.6903487681229699</c:v>
                </c:pt>
                <c:pt idx="29">
                  <c:v>4.1920509742158503</c:v>
                </c:pt>
                <c:pt idx="30">
                  <c:v>1.43834679108514</c:v>
                </c:pt>
                <c:pt idx="31">
                  <c:v>-0.79949395992763095</c:v>
                </c:pt>
                <c:pt idx="32">
                  <c:v>0.353197256372624</c:v>
                </c:pt>
                <c:pt idx="33">
                  <c:v>2.6327845185903298</c:v>
                </c:pt>
                <c:pt idx="34">
                  <c:v>4.4062165258050801</c:v>
                </c:pt>
                <c:pt idx="35">
                  <c:v>4.1468392671670999</c:v>
                </c:pt>
                <c:pt idx="36">
                  <c:v>0.47490192048410101</c:v>
                </c:pt>
                <c:pt idx="37">
                  <c:v>3.2902137230934598</c:v>
                </c:pt>
                <c:pt idx="38">
                  <c:v>2.3053885959187301</c:v>
                </c:pt>
                <c:pt idx="39">
                  <c:v>0.59969539161363605</c:v>
                </c:pt>
                <c:pt idx="40">
                  <c:v>3.7799064962898701</c:v>
                </c:pt>
                <c:pt idx="41">
                  <c:v>0.54685952999452103</c:v>
                </c:pt>
                <c:pt idx="42">
                  <c:v>2.9324755461927299</c:v>
                </c:pt>
                <c:pt idx="43">
                  <c:v>5.1042997756893396</c:v>
                </c:pt>
                <c:pt idx="44">
                  <c:v>5.9066660816801297</c:v>
                </c:pt>
                <c:pt idx="45">
                  <c:v>6.4724942986248202</c:v>
                </c:pt>
                <c:pt idx="46">
                  <c:v>6.8507297706313803</c:v>
                </c:pt>
                <c:pt idx="47">
                  <c:v>0.23228274566594101</c:v>
                </c:pt>
                <c:pt idx="48">
                  <c:v>3.30693981534758</c:v>
                </c:pt>
                <c:pt idx="49">
                  <c:v>8.4056992242171908</c:v>
                </c:pt>
                <c:pt idx="50">
                  <c:v>6.1082637197964997</c:v>
                </c:pt>
                <c:pt idx="51">
                  <c:v>4.5632091307111997</c:v>
                </c:pt>
                <c:pt idx="52">
                  <c:v>5.8786894770261702</c:v>
                </c:pt>
                <c:pt idx="53">
                  <c:v>5.3571167781201199</c:v>
                </c:pt>
                <c:pt idx="54">
                  <c:v>5.7185071313351399</c:v>
                </c:pt>
                <c:pt idx="55">
                  <c:v>5.8691928491103198</c:v>
                </c:pt>
                <c:pt idx="56">
                  <c:v>4.8854444803254999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E-45DB-B3CD-F803BDEF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277864"/>
        <c:axId val="559268352"/>
      </c:lineChart>
      <c:catAx>
        <c:axId val="559277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9268352"/>
        <c:crosses val="autoZero"/>
        <c:auto val="1"/>
        <c:lblAlgn val="ctr"/>
        <c:lblOffset val="100"/>
        <c:noMultiLvlLbl val="0"/>
      </c:catAx>
      <c:valAx>
        <c:axId val="55926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9277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4496937882764661E-3"/>
                  <c:y val="-7.854184893554971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prevision3!$B$34:$B$94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prevision3!$C$34:$C$94</c:f>
              <c:numCache>
                <c:formatCode>General</c:formatCode>
                <c:ptCount val="61"/>
                <c:pt idx="0">
                  <c:v>37239000</c:v>
                </c:pt>
                <c:pt idx="1">
                  <c:v>46779000</c:v>
                </c:pt>
                <c:pt idx="2">
                  <c:v>76419000</c:v>
                </c:pt>
                <c:pt idx="3">
                  <c:v>113195000</c:v>
                </c:pt>
                <c:pt idx="4">
                  <c:v>136797000</c:v>
                </c:pt>
                <c:pt idx="5">
                  <c:v>187125000</c:v>
                </c:pt>
                <c:pt idx="6">
                  <c:v>264084000</c:v>
                </c:pt>
                <c:pt idx="7">
                  <c:v>313743000</c:v>
                </c:pt>
                <c:pt idx="8">
                  <c:v>368253000</c:v>
                </c:pt>
                <c:pt idx="9">
                  <c:v>422638000</c:v>
                </c:pt>
                <c:pt idx="10">
                  <c:v>528280000</c:v>
                </c:pt>
                <c:pt idx="11">
                  <c:v>585511000</c:v>
                </c:pt>
                <c:pt idx="12">
                  <c:v>742262000</c:v>
                </c:pt>
                <c:pt idx="13">
                  <c:v>840297000</c:v>
                </c:pt>
                <c:pt idx="14">
                  <c:v>946065000</c:v>
                </c:pt>
                <c:pt idx="15">
                  <c:v>1159344000</c:v>
                </c:pt>
                <c:pt idx="16">
                  <c:v>1382122000</c:v>
                </c:pt>
                <c:pt idx="17">
                  <c:v>1681417000</c:v>
                </c:pt>
                <c:pt idx="18">
                  <c:v>1645746000</c:v>
                </c:pt>
                <c:pt idx="19">
                  <c:v>1782109000</c:v>
                </c:pt>
                <c:pt idx="20">
                  <c:v>2056036000</c:v>
                </c:pt>
                <c:pt idx="21">
                  <c:v>2153454000</c:v>
                </c:pt>
                <c:pt idx="22">
                  <c:v>2066801000</c:v>
                </c:pt>
                <c:pt idx="23">
                  <c:v>2197331000</c:v>
                </c:pt>
                <c:pt idx="24">
                  <c:v>2290075000</c:v>
                </c:pt>
                <c:pt idx="25">
                  <c:v>2411887000</c:v>
                </c:pt>
                <c:pt idx="26">
                  <c:v>2374843000</c:v>
                </c:pt>
                <c:pt idx="27">
                  <c:v>2245323000</c:v>
                </c:pt>
                <c:pt idx="28">
                  <c:v>2364431000</c:v>
                </c:pt>
                <c:pt idx="29">
                  <c:v>2310621000</c:v>
                </c:pt>
                <c:pt idx="30">
                  <c:v>2309409000</c:v>
                </c:pt>
                <c:pt idx="31">
                  <c:v>2286842000</c:v>
                </c:pt>
                <c:pt idx="32">
                  <c:v>2459856000</c:v>
                </c:pt>
                <c:pt idx="33">
                  <c:v>2741964000</c:v>
                </c:pt>
                <c:pt idx="34">
                  <c:v>2882726000</c:v>
                </c:pt>
                <c:pt idx="35">
                  <c:v>2663224000</c:v>
                </c:pt>
                <c:pt idx="36">
                  <c:v>2764089000</c:v>
                </c:pt>
                <c:pt idx="37">
                  <c:v>2968119000</c:v>
                </c:pt>
                <c:pt idx="38">
                  <c:v>3050475000</c:v>
                </c:pt>
                <c:pt idx="39">
                  <c:v>3156096000</c:v>
                </c:pt>
                <c:pt idx="40">
                  <c:v>3237614000</c:v>
                </c:pt>
                <c:pt idx="41">
                  <c:v>3388428000</c:v>
                </c:pt>
                <c:pt idx="42">
                  <c:v>3585785000</c:v>
                </c:pt>
                <c:pt idx="43">
                  <c:v>3982522000</c:v>
                </c:pt>
                <c:pt idx="44">
                  <c:v>4199127000</c:v>
                </c:pt>
                <c:pt idx="45">
                  <c:v>4381759000</c:v>
                </c:pt>
                <c:pt idx="46">
                  <c:v>4567712000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90-49A0-A21D-7C2C6513640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prevision3!$B$34:$B$94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prevision3!$D$34:$D$94</c:f>
              <c:numCache>
                <c:formatCode>General</c:formatCode>
                <c:ptCount val="61"/>
                <c:pt idx="46">
                  <c:v>4567712000</c:v>
                </c:pt>
                <c:pt idx="47">
                  <c:v>4129309770.5827942</c:v>
                </c:pt>
                <c:pt idx="48">
                  <c:v>4221261530.5272827</c:v>
                </c:pt>
                <c:pt idx="49">
                  <c:v>4313213290.4717712</c:v>
                </c:pt>
                <c:pt idx="50">
                  <c:v>4405165050.4162598</c:v>
                </c:pt>
                <c:pt idx="51">
                  <c:v>4497116810.3607788</c:v>
                </c:pt>
                <c:pt idx="52">
                  <c:v>4589068570.3052673</c:v>
                </c:pt>
                <c:pt idx="53">
                  <c:v>4681020330.2497559</c:v>
                </c:pt>
                <c:pt idx="54">
                  <c:v>4772972090.1942444</c:v>
                </c:pt>
                <c:pt idx="55">
                  <c:v>4864923850.1387329</c:v>
                </c:pt>
                <c:pt idx="56">
                  <c:v>4956875610.083252</c:v>
                </c:pt>
                <c:pt idx="57">
                  <c:v>5048827370.0277405</c:v>
                </c:pt>
                <c:pt idx="58">
                  <c:v>5140779129.972229</c:v>
                </c:pt>
                <c:pt idx="59">
                  <c:v>5232730889.9167175</c:v>
                </c:pt>
                <c:pt idx="60">
                  <c:v>5324682649.8612366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90-49A0-A21D-7C2C65136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614848"/>
        <c:axId val="723611240"/>
      </c:lineChart>
      <c:catAx>
        <c:axId val="72361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3611240"/>
        <c:crosses val="autoZero"/>
        <c:auto val="1"/>
        <c:lblAlgn val="ctr"/>
        <c:lblOffset val="100"/>
        <c:noMultiLvlLbl val="0"/>
      </c:catAx>
      <c:valAx>
        <c:axId val="72361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361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economique.xlsm]Indicateur3!数据透视表2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IBRD loans and IDA credits (DOD, current US$)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Indicateur3!$K$5:$K$6</c:f>
              <c:strCache>
                <c:ptCount val="1"/>
                <c:pt idx="0">
                  <c:v>Kenya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Indicateur3!$J$7:$J$53</c:f>
              <c:strCache>
                <c:ptCount val="4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</c:strCache>
            </c:strRef>
          </c:cat>
          <c:val>
            <c:numRef>
              <c:f>Indicateur3!$K$7:$K$53</c:f>
              <c:numCache>
                <c:formatCode>General</c:formatCode>
                <c:ptCount val="47"/>
                <c:pt idx="0">
                  <c:v>37239000</c:v>
                </c:pt>
                <c:pt idx="1">
                  <c:v>46779000</c:v>
                </c:pt>
                <c:pt idx="2">
                  <c:v>76419000</c:v>
                </c:pt>
                <c:pt idx="3">
                  <c:v>113195000</c:v>
                </c:pt>
                <c:pt idx="4">
                  <c:v>136797000</c:v>
                </c:pt>
                <c:pt idx="5">
                  <c:v>187125000</c:v>
                </c:pt>
                <c:pt idx="6">
                  <c:v>264084000</c:v>
                </c:pt>
                <c:pt idx="7">
                  <c:v>313743000</c:v>
                </c:pt>
                <c:pt idx="8">
                  <c:v>368253000</c:v>
                </c:pt>
                <c:pt idx="9">
                  <c:v>422638000</c:v>
                </c:pt>
                <c:pt idx="10">
                  <c:v>528280000</c:v>
                </c:pt>
                <c:pt idx="11">
                  <c:v>585511000</c:v>
                </c:pt>
                <c:pt idx="12">
                  <c:v>742262000</c:v>
                </c:pt>
                <c:pt idx="13">
                  <c:v>840297000</c:v>
                </c:pt>
                <c:pt idx="14">
                  <c:v>946065000</c:v>
                </c:pt>
                <c:pt idx="15">
                  <c:v>1159344000</c:v>
                </c:pt>
                <c:pt idx="16">
                  <c:v>1382122000</c:v>
                </c:pt>
                <c:pt idx="17">
                  <c:v>1681417000</c:v>
                </c:pt>
                <c:pt idx="18">
                  <c:v>1645746000</c:v>
                </c:pt>
                <c:pt idx="19">
                  <c:v>1782109000</c:v>
                </c:pt>
                <c:pt idx="20">
                  <c:v>2056036000</c:v>
                </c:pt>
                <c:pt idx="21">
                  <c:v>2153454000</c:v>
                </c:pt>
                <c:pt idx="22">
                  <c:v>2066801000</c:v>
                </c:pt>
                <c:pt idx="23">
                  <c:v>2197331000</c:v>
                </c:pt>
                <c:pt idx="24">
                  <c:v>2290075000</c:v>
                </c:pt>
                <c:pt idx="25">
                  <c:v>2411887000</c:v>
                </c:pt>
                <c:pt idx="26">
                  <c:v>2374843000</c:v>
                </c:pt>
                <c:pt idx="27">
                  <c:v>2245323000</c:v>
                </c:pt>
                <c:pt idx="28">
                  <c:v>2364431000</c:v>
                </c:pt>
                <c:pt idx="29">
                  <c:v>2310621000</c:v>
                </c:pt>
                <c:pt idx="30">
                  <c:v>2309409000</c:v>
                </c:pt>
                <c:pt idx="31">
                  <c:v>2286842000</c:v>
                </c:pt>
                <c:pt idx="32">
                  <c:v>2459856000</c:v>
                </c:pt>
                <c:pt idx="33">
                  <c:v>2741964000</c:v>
                </c:pt>
                <c:pt idx="34">
                  <c:v>2882726000</c:v>
                </c:pt>
                <c:pt idx="35">
                  <c:v>2663224000</c:v>
                </c:pt>
                <c:pt idx="36">
                  <c:v>2764089000</c:v>
                </c:pt>
                <c:pt idx="37">
                  <c:v>2968119000</c:v>
                </c:pt>
                <c:pt idx="38">
                  <c:v>3050475000</c:v>
                </c:pt>
                <c:pt idx="39">
                  <c:v>3156096000</c:v>
                </c:pt>
                <c:pt idx="40">
                  <c:v>3237614000</c:v>
                </c:pt>
                <c:pt idx="41">
                  <c:v>3388428000</c:v>
                </c:pt>
                <c:pt idx="42">
                  <c:v>3585785000</c:v>
                </c:pt>
                <c:pt idx="43">
                  <c:v>3982522000</c:v>
                </c:pt>
                <c:pt idx="44">
                  <c:v>4199127000</c:v>
                </c:pt>
                <c:pt idx="45">
                  <c:v>4381759000</c:v>
                </c:pt>
                <c:pt idx="46">
                  <c:v>4567712000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6-45ED-9F3B-DCDFA452E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776552"/>
        <c:axId val="560780488"/>
      </c:lineChart>
      <c:catAx>
        <c:axId val="560776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0780488"/>
        <c:crosses val="autoZero"/>
        <c:auto val="1"/>
        <c:lblAlgn val="ctr"/>
        <c:lblOffset val="100"/>
        <c:noMultiLvlLbl val="0"/>
      </c:catAx>
      <c:valAx>
        <c:axId val="56078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077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8999379327970309E-2"/>
                  <c:y val="-0.207550662750228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prevision1!$B$33:$B$103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prevision1!$C$33:$C$103</c:f>
              <c:numCache>
                <c:formatCode>General</c:formatCode>
                <c:ptCount val="71"/>
                <c:pt idx="0">
                  <c:v>31.095746519435</c:v>
                </c:pt>
                <c:pt idx="1">
                  <c:v>32.717169681453797</c:v>
                </c:pt>
                <c:pt idx="2">
                  <c:v>32.037809261394798</c:v>
                </c:pt>
                <c:pt idx="3">
                  <c:v>32.032947656704003</c:v>
                </c:pt>
                <c:pt idx="4">
                  <c:v>33.389413153894701</c:v>
                </c:pt>
                <c:pt idx="5">
                  <c:v>31.397315206878599</c:v>
                </c:pt>
                <c:pt idx="6">
                  <c:v>32.411633516273902</c:v>
                </c:pt>
                <c:pt idx="7">
                  <c:v>28.464334393457499</c:v>
                </c:pt>
                <c:pt idx="8">
                  <c:v>29.4008110568567</c:v>
                </c:pt>
                <c:pt idx="9">
                  <c:v>29.5286550830373</c:v>
                </c:pt>
                <c:pt idx="10">
                  <c:v>29.825725561415201</c:v>
                </c:pt>
                <c:pt idx="11">
                  <c:v>28.639355102812001</c:v>
                </c:pt>
                <c:pt idx="12">
                  <c:v>26.5878288599522</c:v>
                </c:pt>
                <c:pt idx="13">
                  <c:v>27.393834680632999</c:v>
                </c:pt>
                <c:pt idx="14">
                  <c:v>33.675883850287498</c:v>
                </c:pt>
                <c:pt idx="15">
                  <c:v>29.823685969750201</c:v>
                </c:pt>
                <c:pt idx="16">
                  <c:v>32.450471243808501</c:v>
                </c:pt>
                <c:pt idx="17">
                  <c:v>34.958868756384803</c:v>
                </c:pt>
                <c:pt idx="18">
                  <c:v>28.935518336561401</c:v>
                </c:pt>
                <c:pt idx="19">
                  <c:v>25.753154235687902</c:v>
                </c:pt>
                <c:pt idx="20">
                  <c:v>29.516964217512001</c:v>
                </c:pt>
                <c:pt idx="21">
                  <c:v>30.4598813209494</c:v>
                </c:pt>
                <c:pt idx="22">
                  <c:v>26.657465998935201</c:v>
                </c:pt>
                <c:pt idx="23">
                  <c:v>25.949932405436702</c:v>
                </c:pt>
                <c:pt idx="24">
                  <c:v>26.749892652163901</c:v>
                </c:pt>
                <c:pt idx="25">
                  <c:v>25.2989329600959</c:v>
                </c:pt>
                <c:pt idx="26">
                  <c:v>25.848355272679601</c:v>
                </c:pt>
                <c:pt idx="27">
                  <c:v>21.305221347435602</c:v>
                </c:pt>
                <c:pt idx="28">
                  <c:v>22.3712135609168</c:v>
                </c:pt>
                <c:pt idx="29">
                  <c:v>23.0330294282825</c:v>
                </c:pt>
                <c:pt idx="30">
                  <c:v>25.692605964936401</c:v>
                </c:pt>
                <c:pt idx="31">
                  <c:v>27.0416323240194</c:v>
                </c:pt>
                <c:pt idx="32">
                  <c:v>26.260374190635101</c:v>
                </c:pt>
                <c:pt idx="33">
                  <c:v>38.903630169804202</c:v>
                </c:pt>
                <c:pt idx="34">
                  <c:v>37.0402808384151</c:v>
                </c:pt>
                <c:pt idx="35">
                  <c:v>32.5917012190029</c:v>
                </c:pt>
                <c:pt idx="36">
                  <c:v>25.2006019494243</c:v>
                </c:pt>
                <c:pt idx="37">
                  <c:v>22.686387351634998</c:v>
                </c:pt>
                <c:pt idx="38">
                  <c:v>20.1692608275285</c:v>
                </c:pt>
                <c:pt idx="39">
                  <c:v>20.8327351985075</c:v>
                </c:pt>
                <c:pt idx="40">
                  <c:v>21.587571141762499</c:v>
                </c:pt>
                <c:pt idx="41">
                  <c:v>22.931576364336699</c:v>
                </c:pt>
                <c:pt idx="42">
                  <c:v>24.897972614700201</c:v>
                </c:pt>
                <c:pt idx="43">
                  <c:v>24.086815305420998</c:v>
                </c:pt>
                <c:pt idx="44">
                  <c:v>26.610258575297301</c:v>
                </c:pt>
                <c:pt idx="45">
                  <c:v>28.5090302142012</c:v>
                </c:pt>
                <c:pt idx="46">
                  <c:v>22.984939644186099</c:v>
                </c:pt>
                <c:pt idx="47">
                  <c:v>21.918991293369899</c:v>
                </c:pt>
                <c:pt idx="48">
                  <c:v>22.674057553226699</c:v>
                </c:pt>
                <c:pt idx="49">
                  <c:v>20.032629252907402</c:v>
                </c:pt>
                <c:pt idx="50">
                  <c:v>20.656983247274301</c:v>
                </c:pt>
                <c:pt idx="51">
                  <c:v>21.625194710111401</c:v>
                </c:pt>
                <c:pt idx="52">
                  <c:v>22.261822198698301</c:v>
                </c:pt>
                <c:pt idx="53">
                  <c:v>19.9253882154437</c:v>
                </c:pt>
                <c:pt idx="54">
                  <c:v>18.296980919547899</c:v>
                </c:pt>
                <c:pt idx="55">
                  <c:v>16.592443318291</c:v>
                </c:pt>
                <c:pt idx="56">
                  <c:v>13.971218534802899</c:v>
                </c:pt>
                <c:pt idx="57">
                  <c:v>13.931212921092699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E-479D-B606-00B753D7E0C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prevision1!$B$33:$B$103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prevision1!$D$33:$D$103</c:f>
              <c:numCache>
                <c:formatCode>General</c:formatCode>
                <c:ptCount val="71"/>
                <c:pt idx="57">
                  <c:v>13.931212921092699</c:v>
                </c:pt>
                <c:pt idx="58">
                  <c:v>19.833145696850693</c:v>
                </c:pt>
                <c:pt idx="59">
                  <c:v>19.609049305208544</c:v>
                </c:pt>
                <c:pt idx="60">
                  <c:v>19.384952913566394</c:v>
                </c:pt>
                <c:pt idx="61">
                  <c:v>19.160856521924245</c:v>
                </c:pt>
                <c:pt idx="62">
                  <c:v>18.936760130282096</c:v>
                </c:pt>
                <c:pt idx="63">
                  <c:v>18.712663738639947</c:v>
                </c:pt>
                <c:pt idx="64">
                  <c:v>18.488567346997741</c:v>
                </c:pt>
                <c:pt idx="65">
                  <c:v>18.264470955355591</c:v>
                </c:pt>
                <c:pt idx="66">
                  <c:v>18.040374563713442</c:v>
                </c:pt>
                <c:pt idx="67">
                  <c:v>17.816278172071293</c:v>
                </c:pt>
                <c:pt idx="68">
                  <c:v>17.592181780429144</c:v>
                </c:pt>
                <c:pt idx="69">
                  <c:v>17.368085388786994</c:v>
                </c:pt>
                <c:pt idx="70">
                  <c:v>17.143988997144845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E-479D-B606-00B753D7E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106480"/>
        <c:axId val="511106152"/>
      </c:lineChart>
      <c:catAx>
        <c:axId val="51110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1106152"/>
        <c:crosses val="autoZero"/>
        <c:auto val="1"/>
        <c:lblAlgn val="ctr"/>
        <c:lblOffset val="100"/>
        <c:noMultiLvlLbl val="0"/>
      </c:catAx>
      <c:valAx>
        <c:axId val="51110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110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prevision1!$H$33:$H$103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prevision1!$I$33:$I$103</c:f>
              <c:numCache>
                <c:formatCode>General</c:formatCode>
                <c:ptCount val="71"/>
                <c:pt idx="0">
                  <c:v>31.095746519435</c:v>
                </c:pt>
                <c:pt idx="1">
                  <c:v>32.717169681453797</c:v>
                </c:pt>
                <c:pt idx="2">
                  <c:v>32.037809261394798</c:v>
                </c:pt>
                <c:pt idx="3">
                  <c:v>32.032947656704003</c:v>
                </c:pt>
                <c:pt idx="4">
                  <c:v>33.389413153894701</c:v>
                </c:pt>
                <c:pt idx="5">
                  <c:v>31.397315206878599</c:v>
                </c:pt>
                <c:pt idx="6">
                  <c:v>32.411633516273902</c:v>
                </c:pt>
                <c:pt idx="7">
                  <c:v>28.464334393457499</c:v>
                </c:pt>
                <c:pt idx="8">
                  <c:v>29.4008110568567</c:v>
                </c:pt>
                <c:pt idx="9">
                  <c:v>29.5286550830373</c:v>
                </c:pt>
                <c:pt idx="10">
                  <c:v>29.825725561415201</c:v>
                </c:pt>
                <c:pt idx="11">
                  <c:v>28.639355102812001</c:v>
                </c:pt>
                <c:pt idx="12">
                  <c:v>26.5878288599522</c:v>
                </c:pt>
                <c:pt idx="13">
                  <c:v>27.393834680632999</c:v>
                </c:pt>
                <c:pt idx="14">
                  <c:v>33.675883850287498</c:v>
                </c:pt>
                <c:pt idx="15">
                  <c:v>29.823685969750201</c:v>
                </c:pt>
                <c:pt idx="16">
                  <c:v>32.450471243808501</c:v>
                </c:pt>
                <c:pt idx="17">
                  <c:v>34.958868756384803</c:v>
                </c:pt>
                <c:pt idx="18">
                  <c:v>28.935518336561401</c:v>
                </c:pt>
                <c:pt idx="19">
                  <c:v>25.753154235687902</c:v>
                </c:pt>
                <c:pt idx="20">
                  <c:v>29.516964217512001</c:v>
                </c:pt>
                <c:pt idx="21">
                  <c:v>30.4598813209494</c:v>
                </c:pt>
                <c:pt idx="22">
                  <c:v>26.657465998935201</c:v>
                </c:pt>
                <c:pt idx="23">
                  <c:v>25.949932405436702</c:v>
                </c:pt>
                <c:pt idx="24">
                  <c:v>26.749892652163901</c:v>
                </c:pt>
                <c:pt idx="25">
                  <c:v>25.2989329600959</c:v>
                </c:pt>
                <c:pt idx="26">
                  <c:v>25.848355272679601</c:v>
                </c:pt>
                <c:pt idx="27">
                  <c:v>21.305221347435602</c:v>
                </c:pt>
                <c:pt idx="28">
                  <c:v>22.3712135609168</c:v>
                </c:pt>
                <c:pt idx="29">
                  <c:v>23.0330294282825</c:v>
                </c:pt>
                <c:pt idx="30">
                  <c:v>25.692605964936401</c:v>
                </c:pt>
                <c:pt idx="31">
                  <c:v>27.0416323240194</c:v>
                </c:pt>
                <c:pt idx="32">
                  <c:v>26.260374190635101</c:v>
                </c:pt>
                <c:pt idx="33">
                  <c:v>38.903630169804202</c:v>
                </c:pt>
                <c:pt idx="34">
                  <c:v>37.0402808384151</c:v>
                </c:pt>
                <c:pt idx="35">
                  <c:v>32.5917012190029</c:v>
                </c:pt>
                <c:pt idx="36">
                  <c:v>25.2006019494243</c:v>
                </c:pt>
                <c:pt idx="37">
                  <c:v>22.686387351634998</c:v>
                </c:pt>
                <c:pt idx="38">
                  <c:v>20.1692608275285</c:v>
                </c:pt>
                <c:pt idx="39">
                  <c:v>20.8327351985075</c:v>
                </c:pt>
                <c:pt idx="40">
                  <c:v>21.587571141762499</c:v>
                </c:pt>
                <c:pt idx="41">
                  <c:v>22.931576364336699</c:v>
                </c:pt>
                <c:pt idx="42">
                  <c:v>24.897972614700201</c:v>
                </c:pt>
                <c:pt idx="43">
                  <c:v>24.086815305420998</c:v>
                </c:pt>
                <c:pt idx="44">
                  <c:v>26.610258575297301</c:v>
                </c:pt>
                <c:pt idx="45">
                  <c:v>28.5090302142012</c:v>
                </c:pt>
                <c:pt idx="46">
                  <c:v>22.984939644186099</c:v>
                </c:pt>
                <c:pt idx="47">
                  <c:v>21.918991293369899</c:v>
                </c:pt>
                <c:pt idx="48">
                  <c:v>22.674057553226699</c:v>
                </c:pt>
                <c:pt idx="49">
                  <c:v>20.032629252907402</c:v>
                </c:pt>
                <c:pt idx="50">
                  <c:v>20.656983247274301</c:v>
                </c:pt>
                <c:pt idx="51">
                  <c:v>21.625194710111401</c:v>
                </c:pt>
                <c:pt idx="52">
                  <c:v>22.261822198698301</c:v>
                </c:pt>
                <c:pt idx="53">
                  <c:v>19.9253882154437</c:v>
                </c:pt>
                <c:pt idx="54">
                  <c:v>18.296980919547899</c:v>
                </c:pt>
                <c:pt idx="55">
                  <c:v>16.592443318291</c:v>
                </c:pt>
                <c:pt idx="56">
                  <c:v>13.971218534802899</c:v>
                </c:pt>
                <c:pt idx="57">
                  <c:v>13.931212921092699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BF-4DDC-ACC6-843453C9D4C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prevision1!$H$33:$H$103</c:f>
              <c:numCache>
                <c:formatCode>General</c:formatCode>
                <c:ptCount val="7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</c:numCache>
            </c:numRef>
          </c:cat>
          <c:val>
            <c:numRef>
              <c:f>prevision1!$J$33:$J$103</c:f>
              <c:numCache>
                <c:formatCode>General</c:formatCode>
                <c:ptCount val="71"/>
                <c:pt idx="57">
                  <c:v>13.931212921092699</c:v>
                </c:pt>
                <c:pt idx="58">
                  <c:v>19.833145696850693</c:v>
                </c:pt>
                <c:pt idx="59">
                  <c:v>19.609049305208544</c:v>
                </c:pt>
                <c:pt idx="60">
                  <c:v>19.384952913566394</c:v>
                </c:pt>
                <c:pt idx="61">
                  <c:v>19.160856521924245</c:v>
                </c:pt>
                <c:pt idx="62">
                  <c:v>18.936760130282096</c:v>
                </c:pt>
                <c:pt idx="63">
                  <c:v>18.712663738639947</c:v>
                </c:pt>
                <c:pt idx="64">
                  <c:v>18.488567346997741</c:v>
                </c:pt>
                <c:pt idx="65">
                  <c:v>18.264470955355591</c:v>
                </c:pt>
                <c:pt idx="66">
                  <c:v>18.040374563713442</c:v>
                </c:pt>
                <c:pt idx="67">
                  <c:v>17.816278172071293</c:v>
                </c:pt>
                <c:pt idx="68">
                  <c:v>17.592181780429144</c:v>
                </c:pt>
                <c:pt idx="69">
                  <c:v>17.368085388786994</c:v>
                </c:pt>
                <c:pt idx="70">
                  <c:v>17.143988997144845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BF-4DDC-ACC6-843453C9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49880"/>
        <c:axId val="517054800"/>
      </c:lineChart>
      <c:catAx>
        <c:axId val="51704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7054800"/>
        <c:crosses val="autoZero"/>
        <c:auto val="1"/>
        <c:lblAlgn val="ctr"/>
        <c:lblOffset val="100"/>
        <c:noMultiLvlLbl val="0"/>
      </c:catAx>
      <c:valAx>
        <c:axId val="51705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704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8533245844269466E-2"/>
                  <c:y val="-0.192664041994750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prevision2!$C$32:$C$101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prevision2!$D$32:$D$101</c:f>
              <c:numCache>
                <c:formatCode>General</c:formatCode>
                <c:ptCount val="70"/>
                <c:pt idx="0">
                  <c:v>-7.77463490412923</c:v>
                </c:pt>
                <c:pt idx="1">
                  <c:v>9.4573587417501308</c:v>
                </c:pt>
                <c:pt idx="2">
                  <c:v>8.7783402162304895</c:v>
                </c:pt>
                <c:pt idx="3">
                  <c:v>4.96446728796285</c:v>
                </c:pt>
                <c:pt idx="4">
                  <c:v>2.0090941708295098</c:v>
                </c:pt>
                <c:pt idx="5">
                  <c:v>14.728566401776</c:v>
                </c:pt>
                <c:pt idx="6">
                  <c:v>3.3612320322510501</c:v>
                </c:pt>
                <c:pt idx="7">
                  <c:v>7.9826899695325704</c:v>
                </c:pt>
                <c:pt idx="8">
                  <c:v>7.9592244560822802</c:v>
                </c:pt>
                <c:pt idx="9">
                  <c:v>-4.6554469135628302</c:v>
                </c:pt>
                <c:pt idx="10">
                  <c:v>22.173891928008501</c:v>
                </c:pt>
                <c:pt idx="11">
                  <c:v>17.082429345007299</c:v>
                </c:pt>
                <c:pt idx="12">
                  <c:v>5.8965802146441497</c:v>
                </c:pt>
                <c:pt idx="13">
                  <c:v>4.0656173472308597</c:v>
                </c:pt>
                <c:pt idx="14">
                  <c:v>0.88220317844796603</c:v>
                </c:pt>
                <c:pt idx="15">
                  <c:v>2.1539644974098602</c:v>
                </c:pt>
                <c:pt idx="16">
                  <c:v>9.4537978493697903</c:v>
                </c:pt>
                <c:pt idx="17">
                  <c:v>6.9124935466745496</c:v>
                </c:pt>
                <c:pt idx="18">
                  <c:v>7.6152260415942399</c:v>
                </c:pt>
                <c:pt idx="19">
                  <c:v>5.5919762065950396</c:v>
                </c:pt>
                <c:pt idx="20">
                  <c:v>3.7735441966441998</c:v>
                </c:pt>
                <c:pt idx="21">
                  <c:v>1.50647825447521</c:v>
                </c:pt>
                <c:pt idx="22">
                  <c:v>1.30905024171788</c:v>
                </c:pt>
                <c:pt idx="23">
                  <c:v>1.7552169769687</c:v>
                </c:pt>
                <c:pt idx="24">
                  <c:v>4.3005618195017101</c:v>
                </c:pt>
                <c:pt idx="25">
                  <c:v>7.17755539087368</c:v>
                </c:pt>
                <c:pt idx="26">
                  <c:v>5.9371074461072801</c:v>
                </c:pt>
                <c:pt idx="27">
                  <c:v>6.2031838198845897</c:v>
                </c:pt>
                <c:pt idx="28">
                  <c:v>4.6903487681229699</c:v>
                </c:pt>
                <c:pt idx="29">
                  <c:v>4.1920509742158503</c:v>
                </c:pt>
                <c:pt idx="30">
                  <c:v>1.43834679108514</c:v>
                </c:pt>
                <c:pt idx="31">
                  <c:v>-0.79949395992763095</c:v>
                </c:pt>
                <c:pt idx="32">
                  <c:v>0.353197256372624</c:v>
                </c:pt>
                <c:pt idx="33">
                  <c:v>2.6327845185903298</c:v>
                </c:pt>
                <c:pt idx="34">
                  <c:v>4.4062165258050801</c:v>
                </c:pt>
                <c:pt idx="35">
                  <c:v>4.1468392671670999</c:v>
                </c:pt>
                <c:pt idx="36">
                  <c:v>0.47490192048410101</c:v>
                </c:pt>
                <c:pt idx="37">
                  <c:v>3.2902137230934598</c:v>
                </c:pt>
                <c:pt idx="38">
                  <c:v>2.3053885959187301</c:v>
                </c:pt>
                <c:pt idx="39">
                  <c:v>0.59969539161363605</c:v>
                </c:pt>
                <c:pt idx="40">
                  <c:v>3.7799064962898701</c:v>
                </c:pt>
                <c:pt idx="41">
                  <c:v>0.54685952999452103</c:v>
                </c:pt>
                <c:pt idx="42">
                  <c:v>2.9324755461927299</c:v>
                </c:pt>
                <c:pt idx="43">
                  <c:v>5.1042997756893396</c:v>
                </c:pt>
                <c:pt idx="44">
                  <c:v>5.9066660816801297</c:v>
                </c:pt>
                <c:pt idx="45">
                  <c:v>6.4724942986248202</c:v>
                </c:pt>
                <c:pt idx="46">
                  <c:v>6.8507297706313803</c:v>
                </c:pt>
                <c:pt idx="47">
                  <c:v>0.23228274566594101</c:v>
                </c:pt>
                <c:pt idx="48">
                  <c:v>3.30693981534758</c:v>
                </c:pt>
                <c:pt idx="49">
                  <c:v>8.4056992242171908</c:v>
                </c:pt>
                <c:pt idx="50">
                  <c:v>6.1082637197964997</c:v>
                </c:pt>
                <c:pt idx="51">
                  <c:v>4.5632091307111997</c:v>
                </c:pt>
                <c:pt idx="52">
                  <c:v>5.8786894770261702</c:v>
                </c:pt>
                <c:pt idx="53">
                  <c:v>5.3571167781201199</c:v>
                </c:pt>
                <c:pt idx="54">
                  <c:v>5.7185071313351399</c:v>
                </c:pt>
                <c:pt idx="55">
                  <c:v>5.8691928491103198</c:v>
                </c:pt>
                <c:pt idx="56">
                  <c:v>4.8854444803254999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A5-43AC-A958-9642FCA9981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prevision2!$C$32:$C$101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prevision2!$E$32:$E$101</c:f>
              <c:numCache>
                <c:formatCode>General</c:formatCode>
                <c:ptCount val="70"/>
                <c:pt idx="56">
                  <c:v>4.8854444803254999</c:v>
                </c:pt>
                <c:pt idx="57">
                  <c:v>3.6819021702692112</c:v>
                </c:pt>
                <c:pt idx="58">
                  <c:v>3.6453730639910304</c:v>
                </c:pt>
                <c:pt idx="59">
                  <c:v>3.6088439577128497</c:v>
                </c:pt>
                <c:pt idx="60">
                  <c:v>3.572314851434669</c:v>
                </c:pt>
                <c:pt idx="61">
                  <c:v>3.5357857451564882</c:v>
                </c:pt>
                <c:pt idx="62">
                  <c:v>3.4992566388783075</c:v>
                </c:pt>
                <c:pt idx="63">
                  <c:v>3.4627275326001268</c:v>
                </c:pt>
                <c:pt idx="64">
                  <c:v>3.426198426321946</c:v>
                </c:pt>
                <c:pt idx="65">
                  <c:v>3.3896693200437653</c:v>
                </c:pt>
                <c:pt idx="66">
                  <c:v>3.3531402137655846</c:v>
                </c:pt>
                <c:pt idx="67">
                  <c:v>3.3166111074874038</c:v>
                </c:pt>
                <c:pt idx="68">
                  <c:v>3.2800820012092231</c:v>
                </c:pt>
                <c:pt idx="69">
                  <c:v>3.2435528949310424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A5-43AC-A958-9642FCA99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845608"/>
        <c:axId val="531845936"/>
      </c:lineChart>
      <c:catAx>
        <c:axId val="53184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845936"/>
        <c:crosses val="autoZero"/>
        <c:auto val="1"/>
        <c:lblAlgn val="ctr"/>
        <c:lblOffset val="100"/>
        <c:noMultiLvlLbl val="0"/>
      </c:catAx>
      <c:valAx>
        <c:axId val="53184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84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prevision2!$H$32:$H$101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prevision2!$I$32:$I$101</c:f>
              <c:numCache>
                <c:formatCode>General</c:formatCode>
                <c:ptCount val="70"/>
                <c:pt idx="0">
                  <c:v>-7.77463490412923</c:v>
                </c:pt>
                <c:pt idx="1">
                  <c:v>9.4573587417501308</c:v>
                </c:pt>
                <c:pt idx="2">
                  <c:v>8.7783402162304895</c:v>
                </c:pt>
                <c:pt idx="3">
                  <c:v>4.96446728796285</c:v>
                </c:pt>
                <c:pt idx="4">
                  <c:v>2.0090941708295098</c:v>
                </c:pt>
                <c:pt idx="5">
                  <c:v>14.728566401776</c:v>
                </c:pt>
                <c:pt idx="6">
                  <c:v>3.3612320322510501</c:v>
                </c:pt>
                <c:pt idx="7">
                  <c:v>7.9826899695325704</c:v>
                </c:pt>
                <c:pt idx="8">
                  <c:v>7.9592244560822802</c:v>
                </c:pt>
                <c:pt idx="9">
                  <c:v>-4.6554469135628302</c:v>
                </c:pt>
                <c:pt idx="10">
                  <c:v>22.173891928008501</c:v>
                </c:pt>
                <c:pt idx="11">
                  <c:v>17.082429345007299</c:v>
                </c:pt>
                <c:pt idx="12">
                  <c:v>5.8965802146441497</c:v>
                </c:pt>
                <c:pt idx="13">
                  <c:v>4.0656173472308597</c:v>
                </c:pt>
                <c:pt idx="14">
                  <c:v>0.88220317844796603</c:v>
                </c:pt>
                <c:pt idx="15">
                  <c:v>2.1539644974098602</c:v>
                </c:pt>
                <c:pt idx="16">
                  <c:v>9.4537978493697903</c:v>
                </c:pt>
                <c:pt idx="17">
                  <c:v>6.9124935466745496</c:v>
                </c:pt>
                <c:pt idx="18">
                  <c:v>7.6152260415942399</c:v>
                </c:pt>
                <c:pt idx="19">
                  <c:v>5.5919762065950396</c:v>
                </c:pt>
                <c:pt idx="20">
                  <c:v>3.7735441966441998</c:v>
                </c:pt>
                <c:pt idx="21">
                  <c:v>1.50647825447521</c:v>
                </c:pt>
                <c:pt idx="22">
                  <c:v>1.30905024171788</c:v>
                </c:pt>
                <c:pt idx="23">
                  <c:v>1.7552169769687</c:v>
                </c:pt>
                <c:pt idx="24">
                  <c:v>4.3005618195017101</c:v>
                </c:pt>
                <c:pt idx="25">
                  <c:v>7.17755539087368</c:v>
                </c:pt>
                <c:pt idx="26">
                  <c:v>5.9371074461072801</c:v>
                </c:pt>
                <c:pt idx="27">
                  <c:v>6.2031838198845897</c:v>
                </c:pt>
                <c:pt idx="28">
                  <c:v>4.6903487681229699</c:v>
                </c:pt>
                <c:pt idx="29">
                  <c:v>4.1920509742158503</c:v>
                </c:pt>
                <c:pt idx="30">
                  <c:v>1.43834679108514</c:v>
                </c:pt>
                <c:pt idx="31">
                  <c:v>-0.79949395992763095</c:v>
                </c:pt>
                <c:pt idx="32">
                  <c:v>0.353197256372624</c:v>
                </c:pt>
                <c:pt idx="33">
                  <c:v>2.6327845185903298</c:v>
                </c:pt>
                <c:pt idx="34">
                  <c:v>4.4062165258050801</c:v>
                </c:pt>
                <c:pt idx="35">
                  <c:v>4.1468392671670999</c:v>
                </c:pt>
                <c:pt idx="36">
                  <c:v>0.47490192048410101</c:v>
                </c:pt>
                <c:pt idx="37">
                  <c:v>3.2902137230934598</c:v>
                </c:pt>
                <c:pt idx="38">
                  <c:v>2.3053885959187301</c:v>
                </c:pt>
                <c:pt idx="39">
                  <c:v>0.59969539161363605</c:v>
                </c:pt>
                <c:pt idx="40">
                  <c:v>3.7799064962898701</c:v>
                </c:pt>
                <c:pt idx="41">
                  <c:v>0.54685952999452103</c:v>
                </c:pt>
                <c:pt idx="42">
                  <c:v>2.9324755461927299</c:v>
                </c:pt>
                <c:pt idx="43">
                  <c:v>5.1042997756893396</c:v>
                </c:pt>
                <c:pt idx="44">
                  <c:v>5.9066660816801297</c:v>
                </c:pt>
                <c:pt idx="45">
                  <c:v>6.4724942986248202</c:v>
                </c:pt>
                <c:pt idx="46">
                  <c:v>6.8507297706313803</c:v>
                </c:pt>
                <c:pt idx="47">
                  <c:v>0.23228274566594101</c:v>
                </c:pt>
                <c:pt idx="48">
                  <c:v>3.30693981534758</c:v>
                </c:pt>
                <c:pt idx="49">
                  <c:v>8.4056992242171908</c:v>
                </c:pt>
                <c:pt idx="50">
                  <c:v>6.1082637197964997</c:v>
                </c:pt>
                <c:pt idx="51">
                  <c:v>4.5632091307111997</c:v>
                </c:pt>
                <c:pt idx="52">
                  <c:v>5.8786894770261702</c:v>
                </c:pt>
                <c:pt idx="53">
                  <c:v>5.3571167781201199</c:v>
                </c:pt>
                <c:pt idx="54">
                  <c:v>5.7185071313351399</c:v>
                </c:pt>
                <c:pt idx="55">
                  <c:v>5.8691928491103198</c:v>
                </c:pt>
                <c:pt idx="56">
                  <c:v>4.8854444803254999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B-40DC-9645-30721DA7580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prevision2!$H$32:$H$101</c:f>
              <c:numCache>
                <c:formatCode>General</c:formatCode>
                <c:ptCount val="70"/>
                <c:pt idx="0">
                  <c:v>1961</c:v>
                </c:pt>
                <c:pt idx="1">
                  <c:v>1962</c:v>
                </c:pt>
                <c:pt idx="2">
                  <c:v>1963</c:v>
                </c:pt>
                <c:pt idx="3">
                  <c:v>1964</c:v>
                </c:pt>
                <c:pt idx="4">
                  <c:v>1965</c:v>
                </c:pt>
                <c:pt idx="5">
                  <c:v>1966</c:v>
                </c:pt>
                <c:pt idx="6">
                  <c:v>1967</c:v>
                </c:pt>
                <c:pt idx="7">
                  <c:v>1968</c:v>
                </c:pt>
                <c:pt idx="8">
                  <c:v>1969</c:v>
                </c:pt>
                <c:pt idx="9">
                  <c:v>1970</c:v>
                </c:pt>
                <c:pt idx="10">
                  <c:v>1971</c:v>
                </c:pt>
                <c:pt idx="11">
                  <c:v>1972</c:v>
                </c:pt>
                <c:pt idx="12">
                  <c:v>1973</c:v>
                </c:pt>
                <c:pt idx="13">
                  <c:v>1974</c:v>
                </c:pt>
                <c:pt idx="14">
                  <c:v>1975</c:v>
                </c:pt>
                <c:pt idx="15">
                  <c:v>1976</c:v>
                </c:pt>
                <c:pt idx="16">
                  <c:v>1977</c:v>
                </c:pt>
                <c:pt idx="17">
                  <c:v>1978</c:v>
                </c:pt>
                <c:pt idx="18">
                  <c:v>1979</c:v>
                </c:pt>
                <c:pt idx="19">
                  <c:v>1980</c:v>
                </c:pt>
                <c:pt idx="20">
                  <c:v>1981</c:v>
                </c:pt>
                <c:pt idx="21">
                  <c:v>1982</c:v>
                </c:pt>
                <c:pt idx="22">
                  <c:v>1983</c:v>
                </c:pt>
                <c:pt idx="23">
                  <c:v>1984</c:v>
                </c:pt>
                <c:pt idx="24">
                  <c:v>1985</c:v>
                </c:pt>
                <c:pt idx="25">
                  <c:v>1986</c:v>
                </c:pt>
                <c:pt idx="26">
                  <c:v>1987</c:v>
                </c:pt>
                <c:pt idx="27">
                  <c:v>1988</c:v>
                </c:pt>
                <c:pt idx="28">
                  <c:v>1989</c:v>
                </c:pt>
                <c:pt idx="29">
                  <c:v>1990</c:v>
                </c:pt>
                <c:pt idx="30">
                  <c:v>1991</c:v>
                </c:pt>
                <c:pt idx="31">
                  <c:v>1992</c:v>
                </c:pt>
                <c:pt idx="32">
                  <c:v>1993</c:v>
                </c:pt>
                <c:pt idx="33">
                  <c:v>1994</c:v>
                </c:pt>
                <c:pt idx="34">
                  <c:v>1995</c:v>
                </c:pt>
                <c:pt idx="35">
                  <c:v>1996</c:v>
                </c:pt>
                <c:pt idx="36">
                  <c:v>1997</c:v>
                </c:pt>
                <c:pt idx="37">
                  <c:v>1998</c:v>
                </c:pt>
                <c:pt idx="38">
                  <c:v>1999</c:v>
                </c:pt>
                <c:pt idx="39">
                  <c:v>2000</c:v>
                </c:pt>
                <c:pt idx="40">
                  <c:v>2001</c:v>
                </c:pt>
                <c:pt idx="41">
                  <c:v>2002</c:v>
                </c:pt>
                <c:pt idx="42">
                  <c:v>2003</c:v>
                </c:pt>
                <c:pt idx="43">
                  <c:v>2004</c:v>
                </c:pt>
                <c:pt idx="44">
                  <c:v>2005</c:v>
                </c:pt>
                <c:pt idx="45">
                  <c:v>2006</c:v>
                </c:pt>
                <c:pt idx="46">
                  <c:v>2007</c:v>
                </c:pt>
                <c:pt idx="47">
                  <c:v>2008</c:v>
                </c:pt>
                <c:pt idx="48">
                  <c:v>2009</c:v>
                </c:pt>
                <c:pt idx="49">
                  <c:v>2010</c:v>
                </c:pt>
                <c:pt idx="50">
                  <c:v>2011</c:v>
                </c:pt>
                <c:pt idx="51">
                  <c:v>2012</c:v>
                </c:pt>
                <c:pt idx="52">
                  <c:v>2013</c:v>
                </c:pt>
                <c:pt idx="53">
                  <c:v>2014</c:v>
                </c:pt>
                <c:pt idx="54">
                  <c:v>2015</c:v>
                </c:pt>
                <c:pt idx="55">
                  <c:v>2016</c:v>
                </c:pt>
                <c:pt idx="56">
                  <c:v>2017</c:v>
                </c:pt>
                <c:pt idx="57">
                  <c:v>2018</c:v>
                </c:pt>
                <c:pt idx="58">
                  <c:v>2019</c:v>
                </c:pt>
                <c:pt idx="59">
                  <c:v>2020</c:v>
                </c:pt>
                <c:pt idx="60">
                  <c:v>2021</c:v>
                </c:pt>
                <c:pt idx="61">
                  <c:v>2022</c:v>
                </c:pt>
                <c:pt idx="62">
                  <c:v>2023</c:v>
                </c:pt>
                <c:pt idx="63">
                  <c:v>2024</c:v>
                </c:pt>
                <c:pt idx="64">
                  <c:v>2025</c:v>
                </c:pt>
                <c:pt idx="65">
                  <c:v>2026</c:v>
                </c:pt>
                <c:pt idx="66">
                  <c:v>2027</c:v>
                </c:pt>
                <c:pt idx="67">
                  <c:v>2028</c:v>
                </c:pt>
                <c:pt idx="68">
                  <c:v>2029</c:v>
                </c:pt>
                <c:pt idx="69">
                  <c:v>2030</c:v>
                </c:pt>
              </c:numCache>
            </c:numRef>
          </c:cat>
          <c:val>
            <c:numRef>
              <c:f>prevision2!$J$32:$J$101</c:f>
              <c:numCache>
                <c:formatCode>General</c:formatCode>
                <c:ptCount val="70"/>
                <c:pt idx="56">
                  <c:v>4.8854444803254999</c:v>
                </c:pt>
                <c:pt idx="57">
                  <c:v>3.6819021702692112</c:v>
                </c:pt>
                <c:pt idx="58">
                  <c:v>3.6453730639910304</c:v>
                </c:pt>
                <c:pt idx="59">
                  <c:v>3.6088439577128497</c:v>
                </c:pt>
                <c:pt idx="60">
                  <c:v>3.572314851434669</c:v>
                </c:pt>
                <c:pt idx="61">
                  <c:v>3.5357857451564882</c:v>
                </c:pt>
                <c:pt idx="62">
                  <c:v>3.4992566388783075</c:v>
                </c:pt>
                <c:pt idx="63">
                  <c:v>3.4627275326001268</c:v>
                </c:pt>
                <c:pt idx="64">
                  <c:v>3.426198426321946</c:v>
                </c:pt>
                <c:pt idx="65">
                  <c:v>3.3896693200437653</c:v>
                </c:pt>
                <c:pt idx="66">
                  <c:v>3.3531402137655846</c:v>
                </c:pt>
                <c:pt idx="67">
                  <c:v>3.3166111074874038</c:v>
                </c:pt>
                <c:pt idx="68">
                  <c:v>3.2800820012092231</c:v>
                </c:pt>
                <c:pt idx="69">
                  <c:v>3.2435528949310424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B-40DC-9645-30721DA75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601656"/>
        <c:axId val="505403560"/>
      </c:lineChart>
      <c:catAx>
        <c:axId val="51660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5403560"/>
        <c:crosses val="autoZero"/>
        <c:auto val="1"/>
        <c:lblAlgn val="ctr"/>
        <c:lblOffset val="100"/>
        <c:noMultiLvlLbl val="0"/>
      </c:catAx>
      <c:valAx>
        <c:axId val="50540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60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4496937882764661E-3"/>
                  <c:y val="-7.854184893554971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prevision3!$B$34:$B$94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prevision3!$C$34:$C$94</c:f>
              <c:numCache>
                <c:formatCode>General</c:formatCode>
                <c:ptCount val="61"/>
                <c:pt idx="0">
                  <c:v>37239000</c:v>
                </c:pt>
                <c:pt idx="1">
                  <c:v>46779000</c:v>
                </c:pt>
                <c:pt idx="2">
                  <c:v>76419000</c:v>
                </c:pt>
                <c:pt idx="3">
                  <c:v>113195000</c:v>
                </c:pt>
                <c:pt idx="4">
                  <c:v>136797000</c:v>
                </c:pt>
                <c:pt idx="5">
                  <c:v>187125000</c:v>
                </c:pt>
                <c:pt idx="6">
                  <c:v>264084000</c:v>
                </c:pt>
                <c:pt idx="7">
                  <c:v>313743000</c:v>
                </c:pt>
                <c:pt idx="8">
                  <c:v>368253000</c:v>
                </c:pt>
                <c:pt idx="9">
                  <c:v>422638000</c:v>
                </c:pt>
                <c:pt idx="10">
                  <c:v>528280000</c:v>
                </c:pt>
                <c:pt idx="11">
                  <c:v>585511000</c:v>
                </c:pt>
                <c:pt idx="12">
                  <c:v>742262000</c:v>
                </c:pt>
                <c:pt idx="13">
                  <c:v>840297000</c:v>
                </c:pt>
                <c:pt idx="14">
                  <c:v>946065000</c:v>
                </c:pt>
                <c:pt idx="15">
                  <c:v>1159344000</c:v>
                </c:pt>
                <c:pt idx="16">
                  <c:v>1382122000</c:v>
                </c:pt>
                <c:pt idx="17">
                  <c:v>1681417000</c:v>
                </c:pt>
                <c:pt idx="18">
                  <c:v>1645746000</c:v>
                </c:pt>
                <c:pt idx="19">
                  <c:v>1782109000</c:v>
                </c:pt>
                <c:pt idx="20">
                  <c:v>2056036000</c:v>
                </c:pt>
                <c:pt idx="21">
                  <c:v>2153454000</c:v>
                </c:pt>
                <c:pt idx="22">
                  <c:v>2066801000</c:v>
                </c:pt>
                <c:pt idx="23">
                  <c:v>2197331000</c:v>
                </c:pt>
                <c:pt idx="24">
                  <c:v>2290075000</c:v>
                </c:pt>
                <c:pt idx="25">
                  <c:v>2411887000</c:v>
                </c:pt>
                <c:pt idx="26">
                  <c:v>2374843000</c:v>
                </c:pt>
                <c:pt idx="27">
                  <c:v>2245323000</c:v>
                </c:pt>
                <c:pt idx="28">
                  <c:v>2364431000</c:v>
                </c:pt>
                <c:pt idx="29">
                  <c:v>2310621000</c:v>
                </c:pt>
                <c:pt idx="30">
                  <c:v>2309409000</c:v>
                </c:pt>
                <c:pt idx="31">
                  <c:v>2286842000</c:v>
                </c:pt>
                <c:pt idx="32">
                  <c:v>2459856000</c:v>
                </c:pt>
                <c:pt idx="33">
                  <c:v>2741964000</c:v>
                </c:pt>
                <c:pt idx="34">
                  <c:v>2882726000</c:v>
                </c:pt>
                <c:pt idx="35">
                  <c:v>2663224000</c:v>
                </c:pt>
                <c:pt idx="36">
                  <c:v>2764089000</c:v>
                </c:pt>
                <c:pt idx="37">
                  <c:v>2968119000</c:v>
                </c:pt>
                <c:pt idx="38">
                  <c:v>3050475000</c:v>
                </c:pt>
                <c:pt idx="39">
                  <c:v>3156096000</c:v>
                </c:pt>
                <c:pt idx="40">
                  <c:v>3237614000</c:v>
                </c:pt>
                <c:pt idx="41">
                  <c:v>3388428000</c:v>
                </c:pt>
                <c:pt idx="42">
                  <c:v>3585785000</c:v>
                </c:pt>
                <c:pt idx="43">
                  <c:v>3982522000</c:v>
                </c:pt>
                <c:pt idx="44">
                  <c:v>4199127000</c:v>
                </c:pt>
                <c:pt idx="45">
                  <c:v>4381759000</c:v>
                </c:pt>
                <c:pt idx="46">
                  <c:v>4567712000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F-4357-A1B3-F6DD96A8BE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prevision3!$B$34:$B$94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prevision3!$D$34:$D$94</c:f>
              <c:numCache>
                <c:formatCode>General</c:formatCode>
                <c:ptCount val="61"/>
                <c:pt idx="46">
                  <c:v>4567712000</c:v>
                </c:pt>
                <c:pt idx="47">
                  <c:v>4129309770.5827942</c:v>
                </c:pt>
                <c:pt idx="48">
                  <c:v>4221261530.5272827</c:v>
                </c:pt>
                <c:pt idx="49">
                  <c:v>4313213290.4717712</c:v>
                </c:pt>
                <c:pt idx="50">
                  <c:v>4405165050.4162598</c:v>
                </c:pt>
                <c:pt idx="51">
                  <c:v>4497116810.3607788</c:v>
                </c:pt>
                <c:pt idx="52">
                  <c:v>4589068570.3052673</c:v>
                </c:pt>
                <c:pt idx="53">
                  <c:v>4681020330.2497559</c:v>
                </c:pt>
                <c:pt idx="54">
                  <c:v>4772972090.1942444</c:v>
                </c:pt>
                <c:pt idx="55">
                  <c:v>4864923850.1387329</c:v>
                </c:pt>
                <c:pt idx="56">
                  <c:v>4956875610.083252</c:v>
                </c:pt>
                <c:pt idx="57">
                  <c:v>5048827370.0277405</c:v>
                </c:pt>
                <c:pt idx="58">
                  <c:v>5140779129.972229</c:v>
                </c:pt>
                <c:pt idx="59">
                  <c:v>5232730889.9167175</c:v>
                </c:pt>
                <c:pt idx="60">
                  <c:v>5324682649.8612366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F-4357-A1B3-F6DD96A8B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614848"/>
        <c:axId val="723611240"/>
      </c:lineChart>
      <c:catAx>
        <c:axId val="72361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3611240"/>
        <c:crosses val="autoZero"/>
        <c:auto val="1"/>
        <c:lblAlgn val="ctr"/>
        <c:lblOffset val="100"/>
        <c:noMultiLvlLbl val="0"/>
      </c:catAx>
      <c:valAx>
        <c:axId val="72361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361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prevision3!$H$34:$H$94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prevision3!$I$34:$I$94</c:f>
              <c:numCache>
                <c:formatCode>General</c:formatCode>
                <c:ptCount val="61"/>
                <c:pt idx="0">
                  <c:v>37239000</c:v>
                </c:pt>
                <c:pt idx="1">
                  <c:v>46779000</c:v>
                </c:pt>
                <c:pt idx="2">
                  <c:v>76419000</c:v>
                </c:pt>
                <c:pt idx="3">
                  <c:v>113195000</c:v>
                </c:pt>
                <c:pt idx="4">
                  <c:v>136797000</c:v>
                </c:pt>
                <c:pt idx="5">
                  <c:v>187125000</c:v>
                </c:pt>
                <c:pt idx="6">
                  <c:v>264084000</c:v>
                </c:pt>
                <c:pt idx="7">
                  <c:v>313743000</c:v>
                </c:pt>
                <c:pt idx="8">
                  <c:v>368253000</c:v>
                </c:pt>
                <c:pt idx="9">
                  <c:v>422638000</c:v>
                </c:pt>
                <c:pt idx="10">
                  <c:v>528280000</c:v>
                </c:pt>
                <c:pt idx="11">
                  <c:v>585511000</c:v>
                </c:pt>
                <c:pt idx="12">
                  <c:v>742262000</c:v>
                </c:pt>
                <c:pt idx="13">
                  <c:v>840297000</c:v>
                </c:pt>
                <c:pt idx="14">
                  <c:v>946065000</c:v>
                </c:pt>
                <c:pt idx="15">
                  <c:v>1159344000</c:v>
                </c:pt>
                <c:pt idx="16">
                  <c:v>1382122000</c:v>
                </c:pt>
                <c:pt idx="17">
                  <c:v>1681417000</c:v>
                </c:pt>
                <c:pt idx="18">
                  <c:v>1645746000</c:v>
                </c:pt>
                <c:pt idx="19">
                  <c:v>1782109000</c:v>
                </c:pt>
                <c:pt idx="20">
                  <c:v>2056036000</c:v>
                </c:pt>
                <c:pt idx="21">
                  <c:v>2153454000</c:v>
                </c:pt>
                <c:pt idx="22">
                  <c:v>2066801000</c:v>
                </c:pt>
                <c:pt idx="23">
                  <c:v>2197331000</c:v>
                </c:pt>
                <c:pt idx="24">
                  <c:v>2290075000</c:v>
                </c:pt>
                <c:pt idx="25">
                  <c:v>2411887000</c:v>
                </c:pt>
                <c:pt idx="26">
                  <c:v>2374843000</c:v>
                </c:pt>
                <c:pt idx="27">
                  <c:v>2245323000</c:v>
                </c:pt>
                <c:pt idx="28">
                  <c:v>2364431000</c:v>
                </c:pt>
                <c:pt idx="29">
                  <c:v>2310621000</c:v>
                </c:pt>
                <c:pt idx="30">
                  <c:v>2309409000</c:v>
                </c:pt>
                <c:pt idx="31">
                  <c:v>2286842000</c:v>
                </c:pt>
                <c:pt idx="32">
                  <c:v>2459856000</c:v>
                </c:pt>
                <c:pt idx="33">
                  <c:v>2741964000</c:v>
                </c:pt>
                <c:pt idx="34">
                  <c:v>2882726000</c:v>
                </c:pt>
                <c:pt idx="35">
                  <c:v>2663224000</c:v>
                </c:pt>
                <c:pt idx="36">
                  <c:v>2764089000</c:v>
                </c:pt>
                <c:pt idx="37">
                  <c:v>2968119000</c:v>
                </c:pt>
                <c:pt idx="38">
                  <c:v>3050475000</c:v>
                </c:pt>
                <c:pt idx="39">
                  <c:v>3156096000</c:v>
                </c:pt>
                <c:pt idx="40">
                  <c:v>3237614000</c:v>
                </c:pt>
                <c:pt idx="41">
                  <c:v>3388428000</c:v>
                </c:pt>
                <c:pt idx="42">
                  <c:v>3585785000</c:v>
                </c:pt>
                <c:pt idx="43">
                  <c:v>3982522000</c:v>
                </c:pt>
                <c:pt idx="44">
                  <c:v>4199127000</c:v>
                </c:pt>
                <c:pt idx="45">
                  <c:v>4381759000</c:v>
                </c:pt>
                <c:pt idx="46">
                  <c:v>4567712000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DE-40C1-AD4B-14F301D0578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prevision3!$H$34:$H$94</c:f>
              <c:numCache>
                <c:formatCode>General</c:formatCode>
                <c:ptCount val="6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</c:numCache>
            </c:numRef>
          </c:cat>
          <c:val>
            <c:numRef>
              <c:f>prevision3!$J$34:$J$94</c:f>
              <c:numCache>
                <c:formatCode>General</c:formatCode>
                <c:ptCount val="61"/>
                <c:pt idx="46">
                  <c:v>4567712000</c:v>
                </c:pt>
                <c:pt idx="47">
                  <c:v>4129309770.5827942</c:v>
                </c:pt>
                <c:pt idx="48">
                  <c:v>4221261530.5272827</c:v>
                </c:pt>
                <c:pt idx="49">
                  <c:v>4313213290.4717712</c:v>
                </c:pt>
                <c:pt idx="50">
                  <c:v>4405165050.4162598</c:v>
                </c:pt>
                <c:pt idx="51">
                  <c:v>4497116810.3607788</c:v>
                </c:pt>
                <c:pt idx="52">
                  <c:v>4589068570.3052673</c:v>
                </c:pt>
                <c:pt idx="53">
                  <c:v>4681020330.2497559</c:v>
                </c:pt>
                <c:pt idx="54">
                  <c:v>4772972090.1942444</c:v>
                </c:pt>
                <c:pt idx="55">
                  <c:v>4864923850.1387329</c:v>
                </c:pt>
                <c:pt idx="56">
                  <c:v>4956875610.083252</c:v>
                </c:pt>
                <c:pt idx="57">
                  <c:v>5048827370.0277405</c:v>
                </c:pt>
                <c:pt idx="58">
                  <c:v>5140779129.972229</c:v>
                </c:pt>
                <c:pt idx="59">
                  <c:v>5232730889.9167175</c:v>
                </c:pt>
                <c:pt idx="60">
                  <c:v>5324682649.8612366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E-40C1-AD4B-14F301D0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447936"/>
        <c:axId val="468448264"/>
      </c:lineChart>
      <c:catAx>
        <c:axId val="4684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448264"/>
        <c:crosses val="autoZero"/>
        <c:auto val="1"/>
        <c:lblAlgn val="ctr"/>
        <c:lblOffset val="100"/>
        <c:noMultiLvlLbl val="0"/>
      </c:catAx>
      <c:valAx>
        <c:axId val="46844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44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3</xdr:row>
      <xdr:rowOff>7620</xdr:rowOff>
    </xdr:from>
    <xdr:to>
      <xdr:col>13</xdr:col>
      <xdr:colOff>10980</xdr:colOff>
      <xdr:row>13</xdr:row>
      <xdr:rowOff>193020</xdr:rowOff>
    </xdr:to>
    <xdr:graphicFrame macro="">
      <xdr:nvGraphicFramePr>
        <xdr:cNvPr id="11" name="Graphique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167640</xdr:rowOff>
    </xdr:from>
    <xdr:to>
      <xdr:col>13</xdr:col>
      <xdr:colOff>15240</xdr:colOff>
      <xdr:row>26</xdr:row>
      <xdr:rowOff>243840</xdr:rowOff>
    </xdr:to>
    <xdr:graphicFrame macro="">
      <xdr:nvGraphicFramePr>
        <xdr:cNvPr id="10" name="Graphiqu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622865</xdr:colOff>
      <xdr:row>1</xdr:row>
      <xdr:rowOff>91516</xdr:rowOff>
    </xdr:from>
    <xdr:to>
      <xdr:col>3</xdr:col>
      <xdr:colOff>46920</xdr:colOff>
      <xdr:row>2</xdr:row>
      <xdr:rowOff>208844</xdr:rowOff>
    </xdr:to>
    <xdr:pic>
      <xdr:nvPicPr>
        <xdr:cNvPr id="5" name="图形 7" descr="指向右边的反手食指  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400000" flipV="1">
          <a:off x="2571753" y="342903"/>
          <a:ext cx="431653" cy="4241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822960</xdr:colOff>
          <xdr:row>5</xdr:row>
          <xdr:rowOff>0</xdr:rowOff>
        </xdr:from>
        <xdr:to>
          <xdr:col>2</xdr:col>
          <xdr:colOff>76200</xdr:colOff>
          <xdr:row>6</xdr:row>
          <xdr:rowOff>114300</xdr:rowOff>
        </xdr:to>
        <xdr:sp macro="" textlink="">
          <xdr:nvSpPr>
            <xdr:cNvPr id="1025" name="Indicateu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Indicateur1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822960</xdr:colOff>
          <xdr:row>6</xdr:row>
          <xdr:rowOff>220980</xdr:rowOff>
        </xdr:from>
        <xdr:to>
          <xdr:col>2</xdr:col>
          <xdr:colOff>76200</xdr:colOff>
          <xdr:row>8</xdr:row>
          <xdr:rowOff>83820</xdr:rowOff>
        </xdr:to>
        <xdr:sp macro="" textlink="">
          <xdr:nvSpPr>
            <xdr:cNvPr id="1026" name="Indicateur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Indicateur2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822960</xdr:colOff>
          <xdr:row>8</xdr:row>
          <xdr:rowOff>182880</xdr:rowOff>
        </xdr:from>
        <xdr:to>
          <xdr:col>2</xdr:col>
          <xdr:colOff>76200</xdr:colOff>
          <xdr:row>10</xdr:row>
          <xdr:rowOff>45720</xdr:rowOff>
        </xdr:to>
        <xdr:sp macro="" textlink="">
          <xdr:nvSpPr>
            <xdr:cNvPr id="1027" name="Indicateur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Indicateur3                 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365760</xdr:colOff>
      <xdr:row>3</xdr:row>
      <xdr:rowOff>7620</xdr:rowOff>
    </xdr:from>
    <xdr:to>
      <xdr:col>8</xdr:col>
      <xdr:colOff>254820</xdr:colOff>
      <xdr:row>13</xdr:row>
      <xdr:rowOff>193020</xdr:rowOff>
    </xdr:to>
    <xdr:graphicFrame macro="">
      <xdr:nvGraphicFramePr>
        <xdr:cNvPr id="9" name="Graphiqu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</xdr:col>
      <xdr:colOff>135255</xdr:colOff>
      <xdr:row>29</xdr:row>
      <xdr:rowOff>89535</xdr:rowOff>
    </xdr:from>
    <xdr:ext cx="7187565" cy="4914679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533775" y="7442835"/>
          <a:ext cx="7187565" cy="49146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Pour</a:t>
          </a:r>
          <a:r>
            <a:rPr lang="fr-F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l'indicateur de l'économique, généralement, nous pouvons constater que, à partir de 1960,  l'indice de Prêts de la BIRD et crédits IDA (DOD, US $ courants) est en augmentation continue.  </a:t>
          </a:r>
          <a:r>
            <a:rPr lang="fr-FR" altLang="zh-CN"/>
            <a:t>Presque tous les pays ont des taux de croissance du PIB positifs,</a:t>
          </a:r>
          <a:r>
            <a:rPr lang="fr-FR" altLang="zh-CN" baseline="0"/>
            <a:t> e</a:t>
          </a:r>
          <a:r>
            <a:rPr lang="fr-FR" altLang="zh-CN"/>
            <a:t>t la fluctuation est grande. </a:t>
          </a:r>
          <a:r>
            <a:rPr lang="fr-FR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fr-F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our l'indicateur de Exportations de biens et services (% du PIB),  il comprend les ventes de biens et services ainsi que les opérations de troc, </a:t>
          </a: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fr-FR" altLang="zh-CN"/>
            <a:t>ertains pays ont augmenté leurs exportations, tandis que d'autres ont réduit leurs exportations.</a:t>
          </a:r>
        </a:p>
        <a:p>
          <a:endParaRPr lang="fr-F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 exemple: Kenya</a:t>
          </a:r>
        </a:p>
        <a:p>
          <a:endParaRPr lang="fr-F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Exports of goods and services (% of GDP)</a:t>
          </a:r>
        </a:p>
        <a:p>
          <a:endParaRPr lang="fr-FR" altLang="zh-CN"/>
        </a:p>
        <a:p>
          <a:r>
            <a:rPr lang="fr-FR" altLang="zh-CN"/>
            <a:t>Exportations de biens et services (% du PIB) a affiché une tendance à la baisse, passant de 31% en 1960 à 14% en 2017.La proportion plus faible d’activités d’exportation par rapport au PIB indique que les activités nationales sont moins pertinentes pour les activités mondiales. La baisse de la proportion des exportations a également affecté le taux de croissance du PIB.</a:t>
          </a:r>
        </a:p>
        <a:p>
          <a:endParaRPr lang="fr-F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GDP growth (annual %) </a:t>
          </a:r>
        </a:p>
        <a:p>
          <a:endParaRPr lang="fr-F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fr-FR" altLang="zh-CN"/>
            <a:t>Le pays a commencé à se développer rapidement en 1961, avec un taux de croissance de 9,45% en 1962. Il a connu une croissance record de 22,17% en 1971, puis est tombé à 0,88% en 1975 et a finalement fluctué autour de 5%.</a:t>
          </a:r>
          <a:endParaRPr lang="fr-F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fr-FR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IBRD loans and IDA credits (DOD, current US$)</a:t>
          </a:r>
        </a:p>
        <a:p>
          <a:endParaRPr lang="fr-FR" sz="11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fr-FR" altLang="zh-CN" b="0"/>
            <a:t>Prêts de la BIRD et crédits IDA (DOD, US $ courants) dans le pays ont continué d'augmenter, passant de 3 723 900 </a:t>
          </a:r>
          <a:r>
            <a:rPr lang="fr-FR" altLang="zh-C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current US$</a:t>
          </a:r>
          <a:r>
            <a:rPr lang="fr-FR" altLang="zh-CN" b="0"/>
            <a:t> en 1970 à 456 771,2000 </a:t>
          </a:r>
          <a:r>
            <a:rPr lang="fr-FR" altLang="zh-C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current US$</a:t>
          </a:r>
          <a:r>
            <a:rPr lang="fr-FR" altLang="zh-CN" b="0"/>
            <a:t> en 2016.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altLang="zh-CN" b="0"/>
            <a:t>La BIRD</a:t>
          </a:r>
          <a:r>
            <a:rPr lang="fr-FR" altLang="zh-CN" b="0" baseline="0"/>
            <a:t> </a:t>
          </a:r>
          <a:r>
            <a:rPr lang="fr-FR" altLang="zh-CN" b="0"/>
            <a:t>conseille et propose des produits financiers pour aider les pays à étendre les bienfaits d’une croissance durable à l’ensemble de leur population. Nous </a:t>
          </a:r>
          <a:r>
            <a:rPr lang="fr-FR" altLang="zh-CN"/>
            <a:t>pouvons donc en conclure que l’aide fournie par la Banque mondiale au pays est efficace et favorise le développement économique du Kenya.</a:t>
          </a:r>
          <a:endParaRPr lang="fr-FR" altLang="zh-CN" b="1"/>
        </a:p>
        <a:p>
          <a:endParaRPr lang="fr-FR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21</xdr:row>
      <xdr:rowOff>19049</xdr:rowOff>
    </xdr:from>
    <xdr:to>
      <xdr:col>7</xdr:col>
      <xdr:colOff>5981699</xdr:colOff>
      <xdr:row>33</xdr:row>
      <xdr:rowOff>238124</xdr:rowOff>
    </xdr:to>
    <xdr:graphicFrame macro="">
      <xdr:nvGraphicFramePr>
        <xdr:cNvPr id="8" name="图表 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11208</xdr:colOff>
      <xdr:row>4</xdr:row>
      <xdr:rowOff>8292</xdr:rowOff>
    </xdr:from>
    <xdr:to>
      <xdr:col>8</xdr:col>
      <xdr:colOff>0</xdr:colOff>
      <xdr:row>19</xdr:row>
      <xdr:rowOff>19722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1122541</xdr:colOff>
      <xdr:row>3</xdr:row>
      <xdr:rowOff>32658</xdr:rowOff>
    </xdr:from>
    <xdr:to>
      <xdr:col>6</xdr:col>
      <xdr:colOff>1730458</xdr:colOff>
      <xdr:row>36</xdr:row>
      <xdr:rowOff>98651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untry nam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3116" y="711314"/>
              <a:ext cx="1734248" cy="82527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38100</xdr:rowOff>
        </xdr:from>
        <xdr:to>
          <xdr:col>5</xdr:col>
          <xdr:colOff>1013460</xdr:colOff>
          <xdr:row>7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274320</xdr:rowOff>
        </xdr:from>
        <xdr:to>
          <xdr:col>5</xdr:col>
          <xdr:colOff>1013460</xdr:colOff>
          <xdr:row>5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60960</xdr:rowOff>
        </xdr:from>
        <xdr:to>
          <xdr:col>5</xdr:col>
          <xdr:colOff>1013460</xdr:colOff>
          <xdr:row>9</xdr:row>
          <xdr:rowOff>175260</xdr:rowOff>
        </xdr:to>
        <xdr:sp macro="" textlink="">
          <xdr:nvSpPr>
            <xdr:cNvPr id="3075" name="comite 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comite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20</xdr:row>
      <xdr:rowOff>19050</xdr:rowOff>
    </xdr:from>
    <xdr:to>
      <xdr:col>7</xdr:col>
      <xdr:colOff>5972175</xdr:colOff>
      <xdr:row>34</xdr:row>
      <xdr:rowOff>9525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</xdr:row>
      <xdr:rowOff>9525</xdr:rowOff>
    </xdr:from>
    <xdr:to>
      <xdr:col>8</xdr:col>
      <xdr:colOff>0</xdr:colOff>
      <xdr:row>17</xdr:row>
      <xdr:rowOff>238125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7620</xdr:rowOff>
        </xdr:from>
        <xdr:to>
          <xdr:col>5</xdr:col>
          <xdr:colOff>1013460</xdr:colOff>
          <xdr:row>6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22860</xdr:rowOff>
        </xdr:from>
        <xdr:to>
          <xdr:col>5</xdr:col>
          <xdr:colOff>1013460</xdr:colOff>
          <xdr:row>4</xdr:row>
          <xdr:rowOff>121920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17145</xdr:colOff>
      <xdr:row>3</xdr:row>
      <xdr:rowOff>1905</xdr:rowOff>
    </xdr:from>
    <xdr:to>
      <xdr:col>6</xdr:col>
      <xdr:colOff>1685925</xdr:colOff>
      <xdr:row>32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untry name 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4051" y="680561"/>
              <a:ext cx="1668780" cy="73513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7</xdr:row>
          <xdr:rowOff>60960</xdr:rowOff>
        </xdr:from>
        <xdr:to>
          <xdr:col>5</xdr:col>
          <xdr:colOff>1021080</xdr:colOff>
          <xdr:row>8</xdr:row>
          <xdr:rowOff>160020</xdr:rowOff>
        </xdr:to>
        <xdr:sp macro="" textlink="">
          <xdr:nvSpPr>
            <xdr:cNvPr id="4099" name="comite 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comite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20</xdr:row>
      <xdr:rowOff>9524</xdr:rowOff>
    </xdr:from>
    <xdr:to>
      <xdr:col>8</xdr:col>
      <xdr:colOff>0</xdr:colOff>
      <xdr:row>34</xdr:row>
      <xdr:rowOff>19049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</xdr:row>
      <xdr:rowOff>19048</xdr:rowOff>
    </xdr:from>
    <xdr:to>
      <xdr:col>8</xdr:col>
      <xdr:colOff>19050</xdr:colOff>
      <xdr:row>17</xdr:row>
      <xdr:rowOff>238125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19049</xdr:colOff>
      <xdr:row>3</xdr:row>
      <xdr:rowOff>13336</xdr:rowOff>
    </xdr:from>
    <xdr:to>
      <xdr:col>6</xdr:col>
      <xdr:colOff>1733550</xdr:colOff>
      <xdr:row>31</xdr:row>
      <xdr:rowOff>200026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untry name 2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5955" y="691992"/>
              <a:ext cx="1714501" cy="7216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22860</xdr:rowOff>
        </xdr:from>
        <xdr:to>
          <xdr:col>5</xdr:col>
          <xdr:colOff>1013460</xdr:colOff>
          <xdr:row>7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236220</xdr:rowOff>
        </xdr:from>
        <xdr:to>
          <xdr:col>5</xdr:col>
          <xdr:colOff>1013460</xdr:colOff>
          <xdr:row>5</xdr:row>
          <xdr:rowOff>121920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8</xdr:row>
          <xdr:rowOff>45720</xdr:rowOff>
        </xdr:from>
        <xdr:to>
          <xdr:col>5</xdr:col>
          <xdr:colOff>998220</xdr:colOff>
          <xdr:row>9</xdr:row>
          <xdr:rowOff>152400</xdr:rowOff>
        </xdr:to>
        <xdr:sp macro="" textlink="">
          <xdr:nvSpPr>
            <xdr:cNvPr id="5123" name="comite 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comite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361950</xdr:colOff>
      <xdr:row>84</xdr:row>
      <xdr:rowOff>15240</xdr:rowOff>
    </xdr:from>
    <xdr:to>
      <xdr:col>19</xdr:col>
      <xdr:colOff>411480</xdr:colOff>
      <xdr:row>97</xdr:row>
      <xdr:rowOff>167640</xdr:rowOff>
    </xdr:to>
    <xdr:graphicFrame macro="">
      <xdr:nvGraphicFramePr>
        <xdr:cNvPr id="2" name="图表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586740</xdr:colOff>
      <xdr:row>38</xdr:row>
      <xdr:rowOff>65722</xdr:rowOff>
    </xdr:from>
    <xdr:to>
      <xdr:col>19</xdr:col>
      <xdr:colOff>281940</xdr:colOff>
      <xdr:row>52</xdr:row>
      <xdr:rowOff>141922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373380</xdr:colOff>
      <xdr:row>75</xdr:row>
      <xdr:rowOff>156210</xdr:rowOff>
    </xdr:from>
    <xdr:to>
      <xdr:col>19</xdr:col>
      <xdr:colOff>68580</xdr:colOff>
      <xdr:row>91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253365</xdr:colOff>
      <xdr:row>49</xdr:row>
      <xdr:rowOff>65722</xdr:rowOff>
    </xdr:from>
    <xdr:to>
      <xdr:col>19</xdr:col>
      <xdr:colOff>558165</xdr:colOff>
      <xdr:row>63</xdr:row>
      <xdr:rowOff>126682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449580</xdr:colOff>
      <xdr:row>73</xdr:row>
      <xdr:rowOff>17145</xdr:rowOff>
    </xdr:from>
    <xdr:to>
      <xdr:col>16</xdr:col>
      <xdr:colOff>22860</xdr:colOff>
      <xdr:row>89</xdr:row>
      <xdr:rowOff>165735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512445</xdr:colOff>
      <xdr:row>56</xdr:row>
      <xdr:rowOff>40957</xdr:rowOff>
    </xdr:from>
    <xdr:to>
      <xdr:col>15</xdr:col>
      <xdr:colOff>226695</xdr:colOff>
      <xdr:row>70</xdr:row>
      <xdr:rowOff>109537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kefeng" refreshedDate="43546.477576620367" createdVersion="6" refreshedVersion="6" minRefreshableVersion="3" recordCount="1624" xr:uid="{00000000-000A-0000-FFFF-FFFF12000000}">
  <cacheSource type="worksheet">
    <worksheetSource ref="A4:D1628" sheet="Indicateur1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9.9464912540158906E-2" maxValue="98.762195674115503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kefeng" refreshedDate="43547.855818634256" createdVersion="6" refreshedVersion="6" minRefreshableVersion="3" recordCount="1624" xr:uid="{00000000-000A-0000-FFFF-FFFF13000000}">
  <cacheSource type="worksheet">
    <worksheetSource ref="A4:D1628" sheet="Indicateur2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-51.030864950591699" maxValue="106.279809220986" count="1222">
        <m/>
        <n v="-13.746135054725899"/>
        <n v="1.1836808117073001"/>
        <n v="1.3977436707753801"/>
        <n v="-7.77463490412923"/>
        <n v="2.4399854210132599"/>
        <n v="2.04863275114189"/>
        <n v="7.6395978554392601"/>
        <n v="0.47156108037967198"/>
        <n v="1.90826596927236"/>
        <n v="7.4002119181607799"/>
        <n v="4.5463930365000902"/>
        <n v="-4.2975260477929096"/>
        <n v="1.3613819914748899"/>
        <n v="6.3161572693811499"/>
        <n v="9.0631579345967701"/>
        <n v="3.0415590510083601"/>
        <n v="5.3601161089397804"/>
        <n v="9.4573587417501308"/>
        <n v="1.3446060774484601"/>
        <n v="2.2710697015938002"/>
        <n v="0.66836474301494797"/>
        <n v="4.0868725304389404"/>
        <n v="1.91032003367357"/>
        <n v="11.6953489843483"/>
        <n v="10.278713494298399"/>
        <n v="11.3337983693871"/>
        <n v="3.81801955804475"/>
        <n v="-2.4908394745487099"/>
        <n v="1.43447088725841"/>
        <n v="4.1354074197748902"/>
        <n v="3.7425503202420498"/>
        <n v="-1.5994540152080501"/>
        <n v="8.7783402162304895"/>
        <n v="2.2744606372968499"/>
        <n v="-0.92940162377629998"/>
        <n v="-1.3910785170258699"/>
        <n v="13.3492949251415"/>
        <n v="1.89511164336658"/>
        <n v="9.9431781865350892"/>
        <n v="9.4282293210078496"/>
        <n v="-9.8204444136560802"/>
        <n v="2.51674859426929"/>
        <n v="3.2723928927252399"/>
        <n v="6.2443445066623902"/>
        <n v="6.27303790305589"/>
        <n v="3.5471596957654401"/>
        <n v="-2.5109396034681"/>
        <n v="4.96446728796285"/>
        <n v="5.1519613237386803"/>
        <n v="3.9625188477375999"/>
        <n v="2.6611032676288899"/>
        <n v="-5.8940188396450601"/>
        <n v="7.5324485533171703"/>
        <n v="11.1111358664548"/>
        <n v="0.13103988960357099"/>
        <n v="-12.4649926830224"/>
        <n v="3.9064338374071901"/>
        <n v="12.2140480179322"/>
        <n v="-1.1061718588286999"/>
        <n v="3.9672256086622801"/>
        <n v="2.02605371473777"/>
        <n v="0.60622778632577501"/>
        <n v="2.0090941708295098"/>
        <n v="4.7937862769221304"/>
        <n v="-0.45225386362258702"/>
        <n v="13.616493419953001"/>
        <n v="10.6926495101717"/>
        <n v="-1.20318901706183"/>
        <n v="9.0038611199937009"/>
        <n v="6.9197618187294401"/>
        <n v="7.0095292548944901"/>
        <n v="2.5369535350572798"/>
        <n v="16.6474559632126"/>
        <n v="4.9105705867018399"/>
        <n v="4.6129928959305202"/>
        <n v="4.61495562069085"/>
        <n v="-1.8070923919984001"/>
        <n v="14.728566401776"/>
        <n v="7.7026559808507598"/>
        <n v="2.06455240687127"/>
        <n v="13.249036322575799"/>
        <n v="-4.8517787041822098"/>
        <n v="7.0406431427479204"/>
        <n v="3.3011363977452199"/>
        <n v="-0.38249719840588597"/>
        <n v="7.0089108232056097"/>
        <n v="5.0237894388104998"/>
        <n v="-5.5703098086046801"/>
        <n v="1.5231300264023799"/>
        <n v="13.8215186020324"/>
        <n v="-10.9120655904009"/>
        <n v="0.76720138229011103"/>
        <n v="3.3612320322510501"/>
        <n v="6.74579085865388"/>
        <n v="5.5285656101044198"/>
        <n v="7.2815499434996704"/>
        <n v="-5.9252588826370003"/>
        <n v="-1.5714974981418"/>
        <n v="6.96951382512579"/>
        <n v="0.122868670426485"/>
        <n v="6.91601750989651"/>
        <n v="6.4390244198930597"/>
        <n v="7.9196965119987501"/>
        <n v="8.3670089302274402"/>
        <n v="-0.297883673243859"/>
        <n v="6.3463238555248704"/>
        <n v="-0.45721886653812799"/>
        <n v="7.9826899695325704"/>
        <n v="4.7688716893939498"/>
        <n v="6.8287860989285001"/>
        <n v="-1.9230791684213699"/>
        <n v="3.7084101964868998"/>
        <n v="12.059340183653701"/>
        <n v="0.67548346391794201"/>
        <n v="1.3429600534577699"/>
        <n v="0.38349466225926698"/>
        <n v="7.0137809277849898"/>
        <n v="5.8010941668134999"/>
        <n v="1.2483299822279701"/>
        <n v="1.9701349696183601"/>
        <n v="-1.4595411432062699"/>
        <n v="4.9014795226400896"/>
        <n v="6.8813102237921298"/>
        <n v="7.9592244560822802"/>
        <n v="7.2884730103167197"/>
        <n v="3.7212221678009998"/>
        <n v="5.8823598926885996"/>
        <n v="0.230999419524821"/>
        <n v="3.29174112061312"/>
        <n v="4.46342160070982"/>
        <n v="6.2377039074100402"/>
        <n v="-5.4859458120611597"/>
        <n v="11.0073701496007"/>
        <n v="7.7168196616551699"/>
        <n v="-0.436915823088185"/>
        <n v="12.4282358345824"/>
        <n v="21.325670732819699"/>
        <n v="3.0920682359675902"/>
        <n v="1.85965647855537"/>
        <n v="-4.6554469135628302"/>
        <n v="6.66319270949118"/>
        <n v="5.2764555748476303"/>
        <n v="0.47929797784460998"/>
        <n v="6.1369548625588797"/>
        <n v="4.9793305971676602"/>
        <n v="2.5759921262924799"/>
        <n v="1.3538265911120699"/>
        <n v="3.0557789221535199"/>
        <n v="6.0014252449969696"/>
        <n v="3.8466298552930702"/>
        <n v="4.7971129031889603"/>
        <n v="22.565150839186501"/>
        <n v="2.74682871136838"/>
        <n v="3.47970781666606"/>
        <n v="-2.2476263724496701"/>
        <n v="22.173891928008501"/>
        <n v="4.9048302703177198"/>
        <n v="3.92936503159802"/>
        <n v="16.218563632656998"/>
        <n v="2.5689960235582801"/>
        <n v="4.1299624445186804"/>
        <n v="-1.1953833001199301"/>
        <n v="3.3047564994872101"/>
        <n v="5.6793206435699197"/>
        <n v="1.20664070224264"/>
        <n v="1.30690540231168"/>
        <n v="-8.6039550867440098E-2"/>
        <n v="8.9175866420938892"/>
        <n v="-6.4039649229125901"/>
        <n v="2.67384329241247"/>
        <n v="1.1496160948327201"/>
        <n v="17.082429345007299"/>
        <n v="4.1404956413712197"/>
        <n v="-1.2726215308478399"/>
        <n v="6.2313490084583698"/>
        <n v="5.8440164309550697"/>
        <n v="2.4358413728682802"/>
        <n v="3.11780036344416"/>
        <n v="2.22072289156625"/>
        <n v="-5.1662723061600202"/>
        <n v="0.26306827157360102"/>
        <n v="-0.41047991882295798"/>
        <n v="9.2088651423127903"/>
        <n v="8.3297747275245193"/>
        <n v="6.8890507178803899"/>
        <n v="5.35568077795112"/>
        <n v="-8.3808830080084409"/>
        <n v="5.8965802146441497"/>
        <n v="-2.2559751981148399"/>
        <n v="-2.6184783296946499"/>
        <n v="2.30066157112137"/>
        <n v="-1.4551158019297801"/>
        <n v="-0.96812471833550295"/>
        <n v="-0.47653626836205398"/>
        <n v="6.4170139740132202"/>
        <n v="-17.047583570958199"/>
        <n v="3.4380881358617299"/>
        <n v="7.0573989345745796"/>
        <n v="-0.96204875642632703"/>
        <n v="2.6047146972872501"/>
        <n v="-0.72683956211645295"/>
        <n v="10.734262259412001"/>
        <n v="4.9618525825387003"/>
        <n v="4.0656173472308597"/>
        <n v="4.7532003355210701"/>
        <n v="2.00687937926212"/>
        <n v="7.1759636183840003"/>
        <n v="-1.5288261023840299"/>
        <n v="5.34237568949926"/>
        <n v="6.3335903734871097"/>
        <n v="14.192425094918899"/>
        <n v="8.7752380504887402"/>
        <n v="1.40982357085026"/>
        <n v="3.8458308373174401"/>
        <n v="6.4281585489209601"/>
        <n v="6.6251536176685999"/>
        <n v="0.69792023617054599"/>
        <n v="11.245058774704701"/>
        <n v="9.0102673055045397"/>
        <n v="0.88220317844796603"/>
        <n v="-3.4685894889403799"/>
        <n v="1.2586916344902199"/>
        <n v="6.0868238098933896"/>
        <n v="11.625049137452001"/>
        <n v="4.1527091885278802"/>
        <n v="1.45647070823327"/>
        <n v="-0.15324689432553401"/>
        <n v="-2.7931934356381598"/>
        <n v="-2.1138254230278202"/>
        <n v="6.1262331650004702"/>
        <n v="-2.2693289241895198"/>
        <n v="-1.9312232388006401"/>
        <n v="7.9426609759666302"/>
        <n v="-5.4951383967509297"/>
        <n v="2.98076526952687"/>
        <n v="2.1539644974098602"/>
        <n v="5.3107340739905204"/>
        <n v="-3.06885839126649"/>
        <n v="4.9977312425481299"/>
        <n v="13.6234385336651"/>
        <n v="6.0803962292861904"/>
        <n v="4.3985361798315701"/>
        <n v="5.2094544974138604"/>
        <n v="0.67820340231987997"/>
        <n v="19.504577171159301"/>
        <n v="3.3351066902162398"/>
        <n v="6.2209752670717497"/>
        <n v="0.464838905538841"/>
        <n v="11.469453044272701"/>
        <n v="13.739871523038801"/>
        <n v="2.2346248491377199"/>
        <n v="9.4537978493697903"/>
        <n v="1.5879845666249699"/>
        <n v="2.36400035887337"/>
        <n v="4.9180313685787498"/>
        <n v="6.34864719393605"/>
        <n v="5.9522866105718997"/>
        <n v="3.0169734406464199"/>
        <n v="8.3684805330067302"/>
        <n v="7.7645811191130196"/>
        <n v="1.9941094802713999"/>
        <n v="5.1005902676449999"/>
        <n v="-4.5642361743653801"/>
        <n v="-6.8607031934178604"/>
        <n v="-0.94057598916847995"/>
        <n v="22.0030049229977"/>
        <n v="-0.46963418803200302"/>
        <n v="6.9124935466745496"/>
        <n v="4.8162206284737596"/>
        <n v="-2.6618059648546599"/>
        <n v="9.7450680272818992"/>
        <n v="-1.4634763319916699"/>
        <n v="6.5178170231427499"/>
        <n v="4.4057413896139401"/>
        <n v="-7.8388003748832897"/>
        <n v="13.472612331383701"/>
        <n v="9.1508408175140907"/>
        <n v="5.65383685205222"/>
        <n v="0.55376384424839398"/>
        <n v="-2.70692248477576"/>
        <n v="1.66495495026508"/>
        <n v="6.0351187732671399"/>
        <n v="-21.441087688912202"/>
        <n v="7.6152260415942399"/>
        <n v="3.2648196898751798"/>
        <n v="9.8546502902421498"/>
        <n v="4.3961537403666897"/>
        <n v="10.3956772105957"/>
        <n v="5.2012774807409698"/>
        <n v="2.3688777943633301"/>
        <n v="-26.478788864893399"/>
        <n v="7.1469960659650997"/>
        <n v="11.869908038505001"/>
        <n v="6.4035569252160398"/>
        <n v="-3.0239310312180101"/>
        <n v="3.2970353993860901"/>
        <n v="0.99105572513178697"/>
        <n v="-1.9652916688370801"/>
        <n v="-6.04767074733003"/>
        <n v="5.5919762065950396"/>
        <n v="-4.0983640699047799"/>
        <n v="0.80577081769179404"/>
        <n v="0.40674641302035802"/>
        <n v="-4.3258398689978597"/>
        <n v="7.9385380808307398"/>
        <n v="-2.31939420324042"/>
        <n v="4.6117322791080504"/>
        <n v="-2.2324446911053402"/>
        <n v="8.9516123307594508"/>
        <n v="5.8460265156251996"/>
        <n v="3.0356223506610398"/>
        <n v="14.420683903897"/>
        <n v="12.163275570246601"/>
        <n v="17.0826822487541"/>
        <n v="1.0429181025977501"/>
        <n v="3.8649211443068499"/>
        <n v="3.7735441966441998"/>
        <n v="-2.13675011492262"/>
        <n v="-9.6987883750713699"/>
        <n v="-5.2901192185899797"/>
        <n v="1.5088042968527"/>
        <n v="5.0000029494085396"/>
        <n v="6.3557545919585197"/>
        <n v="8.3419741344454206"/>
        <n v="5.3632901898187102"/>
        <n v="0.60891523908905798"/>
        <n v="5.4361994803542997"/>
        <n v="5.69952476907687"/>
        <n v="6.1679574065058898"/>
        <n v="12.5254248597006"/>
        <n v="-1.05359982020342"/>
        <n v="7.5162026055376003"/>
        <n v="5.3466089993691197"/>
        <n v="6.3836233767744099"/>
        <n v="0.91601385808238001"/>
        <n v="1.50647825447521"/>
        <n v="-2.4329372470569299"/>
        <n v="-1.81019416145621"/>
        <n v="2.50345381365055"/>
        <n v="-7.3784330460581904"/>
        <n v="-6.8999994394117596"/>
        <n v="5.6038764255664102"/>
        <n v="3.7793746542902502"/>
        <n v="-0.81636191892965804"/>
        <n v="1.6231021998596999"/>
        <n v="1.81084644591472"/>
        <n v="4.1414956999411698"/>
        <n v="-2.8127826286889102"/>
        <n v="2.6342971440809899"/>
        <n v="3.7153269914313101"/>
        <n v="6.8668305661141904"/>
        <n v="15.6787177787337"/>
        <n v="4.8210279345244098"/>
        <n v="8.2350057184645404"/>
        <n v="1.30905024171788"/>
        <n v="-1.8968528152653501"/>
        <n v="0.90210631935559604"/>
        <n v="3.7187090510680298"/>
        <n v="1.8208737723150099"/>
        <n v="-15.7000020385832"/>
        <n v="4.3910926798879997"/>
        <n v="-2.9774058575497699"/>
        <n v="4.6132116271151897"/>
        <n v="-4.7509432292635001"/>
        <n v="5.98034993649929"/>
        <n v="4.8139909711313296"/>
        <n v="5.7445577086957904"/>
        <n v="-1.9666892976213399"/>
        <n v="1.5853054593915901"/>
        <n v="0.15554400481792599"/>
        <n v="7.4745725430174002"/>
        <n v="2.0488989108163098"/>
        <n v="4.1102642508020297"/>
        <n v="-2.8480214526401002"/>
        <n v="1.7552169769687"/>
        <n v="-2.1073156999200902"/>
        <n v="1.7046788407404601"/>
        <n v="5.3603040939681099"/>
        <n v="-0.28701115619664103"/>
        <n v="-6.4999998798460004"/>
        <n v="4.9327280261805804"/>
        <n v="9.6811300152306394"/>
        <n v="-1.5660939128598701"/>
        <n v="-16.825354995541801"/>
        <n v="-4.2407732807182903"/>
        <n v="5.0991465605861199"/>
        <n v="-0.34467668060891299"/>
        <n v="-0.336834899256019"/>
        <n v="-1.90736010746745"/>
        <n v="11.7831801831472"/>
        <n v="8.0631616718715993"/>
        <n v="21.792773530392001"/>
        <n v="2.28037187393622"/>
        <n v="-11.144352977637899"/>
        <n v="4.3005618195017101"/>
        <n v="-0.84331815944257504"/>
        <n v="1.15587716429373"/>
        <n v="4.5709823019014504"/>
        <n v="20.2866349407131"/>
        <n v="0.99999672079451296"/>
        <n v="2.8510002386845201"/>
        <n v="6.1449052381674303"/>
        <n v="-4.0818514878027399"/>
        <n v="7.7225438843204302"/>
        <n v="4.40274833640078"/>
        <n v="4.9994063691549302"/>
        <n v="-3.3063800034302302"/>
        <n v="1.61531036759311"/>
        <n v="6.9443877657105197"/>
        <n v="3.25018045829925"/>
        <n v="6.77166308049779"/>
        <n v="-4.0816675172733596"/>
        <n v="1.8672117637174499"/>
        <n v="9.6616123592666092"/>
        <n v="7.17755539087368"/>
        <n v="-1.6785981002684001"/>
        <n v="1.9591057679615"/>
        <n v="-0.21480251787333801"/>
        <n v="2.6926208809456802"/>
        <n v="-2.29999602631008"/>
        <n v="-1.05734875698275"/>
        <n v="4.5656505452221596"/>
        <n v="-1.0173091613721099"/>
        <n v="6.360026804646"/>
        <n v="5.4721374858561402"/>
        <n v="4.3555469169942"/>
        <n v="3.4999998730957702"/>
        <n v="0.390086945692531"/>
        <n v="0.72389395592391304"/>
        <n v="2.0990291289549399"/>
        <n v="5.5030961188439003"/>
        <n v="-2.1466502119192099"/>
        <n v="-2.3888084973240402"/>
        <n v="1.63799109676586"/>
        <n v="13.859330396653"/>
        <n v="3.2999388454758098"/>
        <n v="5.9371074461072801"/>
        <n v="-1.00160075318946"/>
        <n v="1.1780855188710599"/>
        <n v="1.6252391823554899"/>
        <n v="-0.13916428907798201"/>
        <n v="14.700000422831501"/>
        <n v="-4.0056317860644404"/>
        <n v="1.69561826463837"/>
        <n v="-0.70635294117637704"/>
        <n v="7.4556245189015199E-2"/>
        <n v="-2.4036107500464299E-2"/>
        <n v="1.7256106910010101"/>
        <n v="-1.20000004458646"/>
        <n v="3.9619027865246599"/>
        <n v="2.6756617134113299"/>
        <n v="1.1507372045407001"/>
        <n v="5.0310243682899802"/>
        <n v="-7.8236319750643899"/>
        <n v="15.482359070013301"/>
        <n v="2.6875187882754701"/>
        <n v="0.50367487907483599"/>
        <n v="6.3081166971337401"/>
        <n v="6.2031838198845897"/>
        <n v="-2.0418981684339599"/>
        <n v="3.4034170096194201"/>
        <n v="3.1772912783485201"/>
        <n v="7.38972104432428"/>
        <n v="8.1999951794804993"/>
        <n v="-11.3524394768174"/>
        <n v="7.6968087114899904"/>
        <n v="-12.4498220370713"/>
        <n v="6.8991217158370004"/>
        <n v="4.4988249932748099"/>
        <n v="2.4726850377301002"/>
        <n v="13.900001094354"/>
        <n v="8.2670735443124403"/>
        <n v="6.28074900897695"/>
        <n v="7.5523745080478601"/>
        <n v="1.3495022299200901"/>
        <n v="-1.8191205125230701"/>
        <n v="4.8847351025103798"/>
        <n v="-3.1806753672577601"/>
        <n v="-0.36104418038227898"/>
        <n v="4.0034760128128504"/>
        <n v="4.6903487681229699"/>
        <n v="-26.668449335162698"/>
        <n v="4.0788927770411103"/>
        <n v="1.3446897069269099"/>
        <n v="4.1773881094425303"/>
        <n v="6.5000045516446399"/>
        <n v="3.6952974226781499"/>
        <n v="4.3296479338953002"/>
        <n v="-1.69761272858247"/>
        <n v="0.93392913825824997"/>
        <n v="-3.6534273655092903E-2"/>
        <n v="2.29930141383986"/>
        <n v="-6.5000006636470298"/>
        <n v="3.7644434069955302"/>
        <n v="6.36194124692142"/>
        <n v="-1.0235017886986999"/>
        <n v="5.1997664436911704"/>
        <n v="3.4998221400369398"/>
        <n v="-6.1056976460826702"/>
        <n v="-4.1784723727767696"/>
        <n v="5.0913926847242301"/>
        <n v="2.72645178301019"/>
        <n v="4.3240627537182696"/>
        <n v="4.1920509742158503"/>
        <n v="-51.030864950591699"/>
        <n v="3.1300294278687302"/>
        <n v="5.6922944937575002"/>
        <n v="-2.5023951034775802"/>
        <n v="0.99999283313445597"/>
        <n v="2.8169332732916699"/>
        <n v="4.6350363470598204"/>
        <n v="-9.3064818467780697E-2"/>
        <n v="-1.2843553810081301"/>
        <n v="-2.3992910969102299"/>
        <n v="6.3999953069393003"/>
        <n v="-0.59999963133663003"/>
        <n v="7.04507164384201"/>
        <n v="6.4741401508592098"/>
        <n v="-0.48107202778166402"/>
        <n v="6.9885529331854599"/>
        <n v="4.9968364514421797"/>
        <n v="-3.8085993724514702"/>
        <n v="8.5351371664717401"/>
        <n v="-5.3955989070717196"/>
        <n v="-7.13747970825791"/>
        <n v="2.61342300463021"/>
        <n v="1.43834679108514"/>
        <n v="-14.2252117588441"/>
        <n v="-6.3095343931008498"/>
        <n v="8.7302318286141407"/>
        <n v="11.7452037933746"/>
        <n v="4.8999991388879103"/>
        <n v="-0.65061690812294204"/>
        <n v="6.3681504032866902"/>
        <n v="-0.19071240340269899"/>
        <n v="2.50420327438201"/>
        <n v="-2.5143796535735401"/>
        <n v="4.5999872445227803"/>
        <n v="-7.0999990962252504"/>
        <n v="2.0719882113419201"/>
        <n v="5.5540954959264202"/>
        <n v="-3.6133383882315698E-2"/>
        <n v="5.5317820723121303"/>
        <n v="1.0099983658612599"/>
        <n v="-3.1000032107907201"/>
        <n v="8.0014433463192596"/>
        <n v="8.5309234328659507"/>
        <n v="-8.6724801281975292"/>
        <n v="3.2709473005163501"/>
        <n v="-0.79949395992763095"/>
        <n v="-35.085681092070899"/>
        <n v="1.18615228657475"/>
        <n v="-7.3329781353231898"/>
        <n v="-3.2186624903075201"/>
        <n v="-5.23133058993331"/>
        <n v="9.6609424527245995"/>
        <n v="4.10640661228756"/>
        <n v="0.38546712072602002"/>
        <n v="-6.5164446013597201"/>
        <n v="5.87272523445922"/>
        <n v="4.3999912518561501"/>
        <n v="-29.0000010554471"/>
        <n v="0.58432213380650899"/>
        <n v="3.4183568915253599"/>
        <n v="-1.7309221735256599"/>
        <n v="-9.0155698205530008"/>
        <n v="-6.2399999992022996"/>
        <n v="-7.9320665745657397"/>
        <n v="-15.709837045207699"/>
        <n v="3.0059374776450301"/>
        <n v="13.1428339596483"/>
        <n v="5.0441445420409003"/>
        <n v="0.353197256372624"/>
        <n v="-32.9753914988814"/>
        <n v="2.0965598192496802"/>
        <n v="9.6918402678066293"/>
        <n v="3.1721681773032202"/>
        <n v="8.7671418244606905"/>
        <n v="6.0394102268840602"/>
        <n v="3.8498500216171299"/>
        <n v="-0.39113849306281201"/>
        <n v="1.44943787573517"/>
        <n v="-8.1086918735224707"/>
        <n v="6.9000632519723304"/>
        <n v="-16.399999844882199"/>
        <n v="1.2058008087037999"/>
        <n v="8.3262925204952403"/>
        <n v="6.7972740490711798"/>
        <n v="1.05145850909602"/>
        <n v="-3.8299999966925502"/>
        <n v="2.1239354436073699"/>
        <n v="10.1368876335147"/>
        <n v="-5.27668203789099"/>
        <n v="3.1899645701300998"/>
        <n v="3.9700991059506201"/>
        <n v="2.6327845185903298"/>
        <n v="-21.762349799732998"/>
        <n v="-7.1608256492027095E-2"/>
        <n v="-10.2401817338935"/>
        <n v="3.7799340510106698"/>
        <n v="6.1588624806474597"/>
        <n v="7.4779583583742504"/>
        <n v="8.2160027093266699"/>
        <n v="3.33761186435513"/>
        <n v="4.00456170421623"/>
        <n v="-50.248067104998597"/>
        <n v="5.5999187272134598"/>
        <n v="-21.2999980130949"/>
        <n v="1.56766176561416"/>
        <n v="6.4036357432406303"/>
        <n v="-8.6254419523127996"/>
        <n v="9.2351987418700894"/>
        <n v="-7.9200000006571996"/>
        <n v="3.4697921483269001"/>
        <n v="1.23654931686494"/>
        <n v="3.61012947783628"/>
        <n v="6.1275114123847496"/>
        <n v="4.6076732020219699"/>
        <n v="4.4062165258050801"/>
        <n v="-4.2662116040955604"/>
        <n v="1.7122131758249599"/>
        <n v="16.728817592001501"/>
        <n v="0.92102239769160099"/>
        <n v="2.2373100453749499"/>
        <n v="6.9480514367987496"/>
        <n v="3.46845188342333"/>
        <n v="5.9119077946102996"/>
        <n v="2.6057558543661399"/>
        <n v="35.224078307843698"/>
        <n v="5.5000852320522702"/>
        <n v="-12.400000373295599"/>
        <n v="3.5699118682941098"/>
        <n v="11.523243808244199"/>
        <n v="2.8976688934169799"/>
        <n v="0.15802575242264499"/>
        <n v="-8.0000000013725305"/>
        <n v="4.36108651788504"/>
        <n v="2.2144730346744099"/>
        <n v="-1.29166843572652"/>
        <n v="12.4261737798184"/>
        <n v="4.4615750849505096"/>
        <n v="4.1468392671670999"/>
        <n v="12.1212121212121"/>
        <n v="2.1489150482302102"/>
        <n v="7.3166815111922396"/>
        <n v="7.05578540412266"/>
        <n v="-5.8770601613995304"/>
        <n v="26.845321911800799"/>
        <n v="6.4427153474501599"/>
        <n v="5.3282841745095597"/>
        <n v="6.3442683043654302"/>
        <n v="3.4190930985409098"/>
        <n v="12.745695757101201"/>
        <n v="3.79996720523084"/>
        <n v="-16.6999987664469"/>
        <n v="4.5443668018247196"/>
        <n v="9.0721145819309204"/>
        <n v="6.2185464889429296"/>
        <n v="10.360696743294801"/>
        <n v="-1.5899999971999299"/>
        <n v="5.2313207086864804"/>
        <n v="5.6533923278835498"/>
        <n v="4.0303406688696999"/>
        <n v="3.1339068670042098"/>
        <n v="5.18160345884999"/>
        <n v="2.70471342634906"/>
        <n v="0.47490192048410101"/>
        <n v="106.279809220986"/>
        <n v="3.6934926062314002"/>
        <n v="3.79241909896268"/>
        <n v="4.8290243393480701"/>
        <n v="1.64706446813105"/>
        <n v="10.842031640483899"/>
        <n v="5.65158296317676"/>
        <n v="5.0486125359023601"/>
        <n v="3.96665097334412"/>
        <n v="2.75396562350956"/>
        <n v="13.8497524860346"/>
        <n v="6.4053996977280896"/>
        <n v="1.69999579975382"/>
        <n v="3.52527819146272"/>
        <n v="5.1000018636117499"/>
        <n v="3.81400749718355"/>
        <n v="2.6805941737693102"/>
        <n v="4.7499999920647999"/>
        <n v="4.5022912410183604"/>
        <n v="6.95157991354007"/>
        <n v="1.2826624751014299"/>
        <n v="-3.4581391483898001"/>
        <n v="3.6441212424800802"/>
        <n v="2.1818409576637401"/>
        <n v="3.2902137230934598"/>
        <n v="30.2081310211946"/>
        <n v="3.9323364428415002"/>
        <n v="3.8952536296371298"/>
        <n v="7.57166763990283"/>
        <n v="-6.5421920203155999"/>
        <n v="11.859393980897099"/>
        <n v="5.8662131529920503"/>
        <n v="3.0163894816854899"/>
        <n v="3.7116814475378601"/>
        <n v="10.4222625215939"/>
        <n v="8.8586694956528298"/>
        <n v="4.6984230462325796"/>
        <n v="5.3000007677630503"/>
        <n v="3.7085115959470998"/>
        <n v="4.9052654839079297"/>
        <n v="-0.38574614579034999"/>
        <n v="2.88521191729652"/>
        <n v="-1.0099999961991999"/>
        <n v="4.2920169452500501"/>
        <n v="-0.68285021729774098"/>
        <n v="1.9241236664489401"/>
        <n v="5.1621458242367302"/>
        <n v="3.8120040345377801"/>
        <n v="2.71024735082645"/>
        <n v="2.3053885959187301"/>
        <n v="21.741447884978001"/>
        <n v="4.6591157004199504"/>
        <n v="3.0422780913400098"/>
        <n v="5.7009436541914198"/>
        <n v="-3.3682544416364402"/>
        <n v="7.8229740270040899"/>
        <n v="10.945129982025801"/>
        <n v="4.4125732709716896"/>
        <n v="7.0359704803362897"/>
        <n v="-0.56875833186579405"/>
        <n v="4.3223781577431204"/>
        <n v="4.3005404979237598"/>
        <n v="3.6999996731532399"/>
        <n v="4.8403823252684504"/>
        <n v="8.0539483765949509"/>
        <n v="4.6501897463741004"/>
        <n v="-0.817820898748295"/>
        <n v="-0.85686405922355402"/>
        <n v="3.5533743641612698"/>
        <n v="-0.87968102544483895"/>
        <n v="10.8480749512697"/>
        <n v="6.0732174923104596"/>
        <n v="2.5030605614563499"/>
        <n v="0.87005979468143801"/>
        <n v="0.59969539161363605"/>
        <n v="28.615933349588701"/>
        <n v="4.7600650989119799"/>
        <n v="1.57607783734666"/>
        <n v="-6.0834971813136497E-2"/>
        <n v="2.10771605209754"/>
        <n v="1.6785029847974999"/>
        <n v="13.745930555989901"/>
        <n v="6.1999999875977103"/>
        <n v="4.1015901530124399"/>
        <n v="-1.40950935004449"/>
        <n v="8.3709081733702195"/>
        <n v="6.0000331601439898"/>
        <n v="8.3000010122285204"/>
        <n v="4.9338466271145798"/>
        <n v="3.1419073382037199"/>
        <n v="3.8973229434189598"/>
        <n v="-3.0591896255346902"/>
        <n v="2.0558071093132599"/>
        <n v="4.3680842421700099"/>
        <n v="11.658134654294001"/>
        <n v="2.3329364937754802"/>
        <n v="8.3013063215748399"/>
        <n v="3.65834647077443"/>
        <n v="-1.0443748924879399"/>
        <n v="3.7799064962898701"/>
        <n v="26.973917835915302"/>
        <n v="2.9187172984168699"/>
        <n v="6.0178244030905601"/>
        <n v="-4.9749638464943997"/>
        <n v="15.3762394579174"/>
        <n v="6.10000028090667"/>
        <n v="12.7209658181604"/>
        <n v="11.3439970698499"/>
        <n v="4.7997626438878598"/>
        <n v="2.9608435289963499"/>
        <n v="7.1043406120674897"/>
        <n v="8.4845817272909407"/>
        <n v="-1.54540813414314"/>
        <n v="10.200001052183501"/>
        <n v="5.9978288575808696"/>
        <n v="5.1836611262893699"/>
        <n v="5.3168682741841904"/>
        <n v="1.4396150744607299"/>
        <n v="4.4465194189146304"/>
        <n v="4.2372036771851196"/>
        <n v="8.4912098189805594"/>
        <n v="2.3247792591424701"/>
        <n v="1.5147256932108499"/>
        <n v="5.1646094657592601"/>
        <n v="-0.25146433893770798"/>
        <n v="0.54685952999452103"/>
        <n v="-0.70094828890135796"/>
        <n v="3.7627649991322398"/>
        <n v="-12.673788136279001"/>
        <n v="1.70000001363076"/>
        <n v="3.1063082520568601"/>
        <n v="7.7999997870180797"/>
        <n v="8.7940575812753394"/>
        <n v="12.025513433977199"/>
        <n v="0.120266897385847"/>
        <n v="0.75393894095596203"/>
        <n v="2.99912203563383"/>
        <n v="13.192067570011"/>
        <n v="2.3768774742280798"/>
        <n v="3.9646756856609202"/>
        <n v="10.7999999187409"/>
        <n v="7.1635535364827501"/>
        <n v="8.7326857640152902"/>
        <n v="4.5060142803260099"/>
        <n v="-8.8940234172610406"/>
        <n v="-1.2237279592396499"/>
        <n v="4.5671952563738802"/>
        <n v="14.7216670121033"/>
        <n v="2.1041019529446601"/>
        <n v="-2.1613597214194198"/>
        <n v="1.2486012600021901"/>
        <n v="0.36380034852912502"/>
        <n v="2.9324755461927299"/>
        <n v="5.9801455955031297"/>
        <n v="-30.1452225240931"/>
        <n v="9.7848921313328994"/>
        <n v="5.7056394374716"/>
        <n v="9.1190419953242703"/>
        <n v="6.5999999061263104"/>
        <n v="6.5006066677159904"/>
        <n v="13.843996890138101"/>
        <n v="3.9450377673063302"/>
        <n v="2.5207329360950399"/>
        <n v="5.2999999983132096"/>
        <n v="2.2023723717093699"/>
        <n v="6.5734726993345403"/>
        <n v="5.9402690776047802"/>
        <n v="10.999997112295"/>
        <n v="6.8862265322819702"/>
        <n v="6.4732586714868701"/>
        <n v="6.94497398221226"/>
        <n v="-16.995074527550099"/>
        <n v="4.8336577616482401"/>
        <n v="6.7809559237731598"/>
        <n v="33.629371852465901"/>
        <n v="1.91960237946122"/>
        <n v="13.5726031535762"/>
        <n v="2.3401173126173198"/>
        <n v="-3.5228881659758602"/>
        <n v="5.1042997756893396"/>
        <n v="2.61212675795448"/>
        <n v="2.6206052559568001"/>
        <n v="5.2570036042099604"/>
        <n v="5.4204976936605496"/>
        <n v="1.5599986605349201"/>
        <n v="7.39999984026029"/>
        <n v="7.8111861081321301"/>
        <n v="13.564661616294201"/>
        <n v="4.6826032453513404"/>
        <n v="5.3121705202133302"/>
        <n v="0.10000000083576301"/>
        <n v="7.4476763788479303"/>
        <n v="3.8322270846451301"/>
        <n v="5.4450612778996801"/>
        <n v="10.300001709580901"/>
        <n v="7.8282983809593798"/>
        <n v="6.8072333442704398"/>
        <n v="7.0323951151521698"/>
        <n v="-5.8075383034693999"/>
        <n v="0.90000000286400506"/>
        <n v="2.02066230714679"/>
        <n v="17.3325337350837"/>
        <n v="2.8374077642228999"/>
        <n v="11.818765935324899"/>
        <n v="2.9972725615751599"/>
        <n v="1.80501122760435"/>
        <n v="5.9066660816801297"/>
        <n v="6.0332297483318804"/>
        <n v="5.2819757300214896"/>
        <n v="4.6028999651506801"/>
        <n v="3.2687258275753002"/>
        <n v="6.5347626571099902"/>
        <n v="7.5000000953419503"/>
        <n v="8.7206678772082409"/>
        <n v="13.5689500216101"/>
        <n v="3.4791810463114698"/>
        <n v="4.2823983052872903"/>
        <n v="4.4999999993622204"/>
        <n v="9.3779159267004797"/>
        <n v="7.0937704467562499"/>
        <n v="6.2417480446522502"/>
        <n v="6.69999705736541"/>
        <n v="8.1733358341381308"/>
        <n v="6.3325651163091603"/>
        <n v="7.2355990065554296"/>
        <n v="-5.7110838330467999"/>
        <n v="5.3846573982125303"/>
        <n v="3.45766879254916"/>
        <n v="0.64826201409454098"/>
        <n v="2.64689986791771"/>
        <n v="10.834727071885901"/>
        <n v="1.18014044631364"/>
        <n v="2.24922160032366"/>
        <n v="6.4724942986248202"/>
        <n v="4.5030317556850301"/>
        <n v="8.0431620224482607"/>
        <n v="5.0226070023249001"/>
        <n v="4.6999999920261102"/>
        <n v="4.6621868797987496"/>
        <n v="4.7999998687385501"/>
        <n v="9.8510554647083097"/>
        <n v="13.076101379581001"/>
        <n v="3.3646147880716599"/>
        <n v="3.80486461731704"/>
        <n v="5.8000000015313704"/>
        <n v="9.2270758442820107"/>
        <n v="9.1156465459020701"/>
        <n v="7.6682919001127097"/>
        <n v="7.0000018947117004"/>
        <n v="4.6605709954801604"/>
        <n v="10.7847443860372"/>
        <n v="7.9036944448008102"/>
        <n v="-3.4614950504017798"/>
        <n v="4.7858319508881397"/>
        <n v="4.9022017324404699"/>
        <n v="3.2714995788864298"/>
        <n v="0.80015279901626002"/>
        <n v="11.4561669954333"/>
        <n v="6.82747442663229"/>
        <n v="3.3432790146125102"/>
        <n v="6.8507297706313803"/>
        <n v="7.2860829859042999"/>
        <n v="9.5348928575071898"/>
        <n v="6.2405784511612401"/>
        <n v="9.60000000260818"/>
        <n v="3.4936168106396899"/>
        <n v="3.00000019887585"/>
        <n v="7.4260609905568904"/>
        <n v="11.991435240049899"/>
        <n v="3.41156027569262"/>
        <n v="5.0763520180987296"/>
        <n v="3.1465703955973101"/>
        <n v="7.6332870391909902"/>
        <n v="3.2536049123670798"/>
        <n v="6.7968261189581103"/>
        <n v="7.8000013444648602"/>
        <n v="8.4643812415567101"/>
        <n v="8.4124259655052498"/>
        <n v="8.3524362444740792"/>
        <n v="-3.6533270433956302"/>
        <n v="5.0481187832760703"/>
        <n v="3.4888009190369198"/>
        <n v="3.0526915319682502"/>
        <n v="0.40026685523495997"/>
        <n v="10.7885216814493"/>
        <n v="4.1366161530800696"/>
        <n v="0.843944329286344"/>
        <n v="0.23228274566594101"/>
        <n v="2.6448186528497399"/>
        <n v="7.1469392850702604"/>
        <n v="7.1285135388162102"/>
        <n v="7.6397367741039197"/>
        <n v="4.7733827267623896"/>
        <n v="7.800000100239"/>
        <n v="6.8762054468780303"/>
        <n v="10.255305393015499"/>
        <n v="6.1046391423169002"/>
        <n v="3.4357169360807802"/>
        <n v="9.5876732094864998"/>
        <n v="11.1612446148125"/>
        <n v="8.1861718189639596"/>
        <n v="5.9500881450785004"/>
        <n v="7.8999978311158099"/>
        <n v="5.5665956483045296"/>
        <n v="8.7087519014194008"/>
        <n v="7.7738958154236002"/>
        <n v="-17.668946597618699"/>
        <n v="3.4684254250000102"/>
        <n v="2.1986641019343298"/>
        <n v="4.2176955518963304"/>
        <n v="1.9499999778070201"/>
        <n v="8.8025532023887401"/>
        <n v="-1.1176385946021801"/>
        <n v="3.0832476875642199"/>
        <n v="3.30693981534758"/>
        <n v="3.34166553304867"/>
        <n v="5.30009907470476"/>
        <n v="-4.0138605828051199"/>
        <n v="8.3281102762457504"/>
        <n v="4.6790656995892004"/>
        <n v="-6.00000025914159"/>
        <n v="6.35197029435533"/>
        <n v="10.550009096178499"/>
        <n v="4.5330787203928402"/>
        <n v="-3.2926651586197"/>
        <n v="-0.71267117377095701"/>
        <n v="6.2482625635957003"/>
        <n v="2.42628134399851"/>
        <n v="3.5389120529913201"/>
        <n v="3.8000009923572802"/>
        <n v="5.38234616843563"/>
        <n v="6.80151734801436"/>
        <n v="9.2203484058663001"/>
        <n v="12.0195605024805"/>
        <n v="3.7859025431217201"/>
        <n v="3.4225076411544002"/>
        <n v="13.550100859549"/>
        <n v="2.1999999817327298"/>
        <n v="12.5505383420508"/>
        <n v="4.82071541392241"/>
        <n v="-5.4977923372738902"/>
        <n v="8.4056992242171908"/>
        <n v="3.3095748392563298"/>
        <n v="6.0999446923734704"/>
        <n v="0.26311085570331699"/>
        <n v="6.8740656350095399"/>
        <n v="5.4134522222476598"/>
        <n v="7.1000000924347697"/>
        <n v="6.6872216323158504"/>
        <n v="9.6344394521446599"/>
        <n v="4.8164146502244396"/>
        <n v="4.4100991171654602"/>
        <n v="8.3692397984907796"/>
        <n v="7.3346387734400498"/>
        <n v="6.6719853199217498"/>
        <n v="8.0159594065227502"/>
        <n v="6.5000003530785797"/>
        <n v="6.3588860812991799"/>
        <n v="5.6375998025085501"/>
        <n v="10.2982058517493"/>
        <n v="12.5810269716888"/>
        <n v="4.1916256809539902"/>
        <n v="4.1292771605696696"/>
        <n v="8.2869798438167705E-2"/>
        <n v="2.6000000881785801"/>
        <n v="11.1782962356071"/>
        <n v="5.6121042791249502"/>
        <n v="5.5237377543330801"/>
        <n v="6.1082637197964997"/>
        <n v="4.8125633232016298"/>
        <n v="8.1999981459765792"/>
        <n v="1.45439216770913"/>
        <n v="4.8540551089832196"/>
        <n v="3.2402529131995101"/>
        <n v="6.8000002876897803"/>
        <n v="7.11760663190503"/>
        <n v="5.5914823781961003"/>
        <n v="3.4218282408747198"/>
        <n v="6.3166855349184203"/>
        <n v="2.27828473880811"/>
        <n v="8.0171069145887692"/>
        <n v="4.3982016882656998"/>
        <n v="8.4047381311287008"/>
        <n v="7.3999993828456603"/>
        <n v="7.9045075723474101"/>
        <n v="9.3916677490511091"/>
        <n v="5.5646247167387299"/>
        <n v="15.4457329845232"/>
        <n v="4.0193655295110498"/>
        <n v="4.5432650156673597"/>
        <n v="8.8825760717031592"/>
        <n v="2.9999999719327"/>
        <n v="8.6478116353910508"/>
        <n v="5.9169117315477804"/>
        <n v="2.88509605084626"/>
        <n v="4.5632091307111997"/>
        <n v="2.89534856958733"/>
        <n v="7.99445127045679"/>
        <n v="3.0275080923156299"/>
        <n v="1.88579950731867"/>
        <n v="-0.83617886564337596"/>
        <n v="-0.70000015311698904"/>
        <n v="7.1981858257921196"/>
        <n v="7.3326704471545101"/>
        <n v="4.78119225754814"/>
        <n v="6.4961365432094498"/>
        <n v="11.849819181667399"/>
        <n v="8.6457290195359295"/>
        <n v="3.1419758486854898"/>
        <n v="9.1445793876353303"/>
        <n v="7.4999991689212404"/>
        <n v="5.14101362067316"/>
        <n v="3.8374556059748799"/>
        <n v="7.5976169688654496"/>
        <n v="14.779595141064499"/>
        <n v="4.5940542182263204"/>
        <n v="5.4042657097173503"/>
        <n v="5.7000013628586403"/>
        <n v="3.4999999938922701"/>
        <n v="10.582270040227399"/>
        <n v="3.9347840250179198"/>
        <n v="4.2340528909557804"/>
        <n v="5.8786894770261702"/>
        <n v="3.4312300087234999"/>
        <n v="8.7038750157604596"/>
        <n v="2.2552040402516802"/>
        <n v="5.1999999983554899"/>
        <n v="2.3035848092943598"/>
        <n v="9.4000000992282402"/>
        <n v="7.1416832995044901"/>
        <n v="8.4260010248518693"/>
        <n v="4.1288776763109203"/>
        <n v="4.9270940634137901"/>
        <n v="5.2684148973020397"/>
        <n v="4.6588729265100604"/>
        <n v="4.8147943869875096"/>
        <n v="3.3957227742917402"/>
        <n v="7.4000005698825904"/>
        <n v="7.2630609971293003"/>
        <n v="3.5869058261957201"/>
        <n v="5.0593763782265704"/>
        <n v="5.5297872075575896"/>
        <n v="4.6609181844736698"/>
        <n v="5.8840593266804602"/>
        <n v="6.89998504532167"/>
        <n v="2.0616394689951401"/>
        <n v="8.9205846249251302"/>
        <n v="10.2574929647496"/>
        <n v="3.7074516130114001"/>
        <n v="2.8101484983685299"/>
        <n v="5.3571167781201199"/>
        <n v="1.1980709759736901"/>
        <n v="0.70114163582337596"/>
        <n v="3.31585416456267"/>
        <n v="5.7000000037720904"/>
        <n v="7.0433562036595303"/>
        <n v="4.7999997494270001"/>
        <n v="7.4440694921197101"/>
        <n v="7.9912433435203196"/>
        <n v="5.9889846608802504"/>
        <n v="4.7854602004422304"/>
        <n v="7.5290430684910499"/>
        <n v="7.6245757495927204"/>
        <n v="6.5499331020344398"/>
        <n v="4.9607065405657496"/>
        <n v="6.6992506598828401"/>
        <n v="6.9651349357290497"/>
        <n v="5.1063073242880703"/>
        <n v="4.6958263726904796"/>
        <n v="2.1270839080275201"/>
        <n v="-3.9211427505320602"/>
        <n v="5.6514637436283"/>
        <n v="2.7676756848447002"/>
        <n v="1.0151184591981099"/>
        <n v="9.6837981164817393"/>
        <n v="10.3924630218107"/>
        <n v="3.81494988965694"/>
        <n v="1.2112183431569199"/>
        <n v="5.7185071313351399"/>
        <n v="4.0944545357409901"/>
        <n v="0"/>
        <n v="3.1166147142309901"/>
        <n v="2.79999999900333"/>
        <n v="5.9625815905151702"/>
        <n v="-0.40000012951054498"/>
        <n v="6.5939859064514801"/>
        <n v="6.9925155741065597"/>
        <n v="3.3229054393755701"/>
        <n v="4.76860879419793"/>
        <n v="4.33759111585388"/>
        <n v="8.86797737443902"/>
        <n v="3.81998853521304"/>
        <n v="5.0076833047278102"/>
        <n v="6"/>
        <n v="6.9593142468231397"/>
        <n v="5.1878598626103001"/>
        <n v="2.9198811101871298"/>
        <n v="1.6895945920784201"/>
        <n v="-0.57043445065876597"/>
        <n v="4.4504532662990499"/>
        <n v="-6.25552708545281"/>
        <n v="2.2000000228954701"/>
        <n v="8.7222600610529195"/>
        <n v="7.5617666902314902"/>
        <n v="10.4541058171845"/>
        <n v="1.45270702675029"/>
        <n v="5.8691928491103198"/>
        <n v="4.0688961425550803"/>
        <n v="-1.6000000000000101"/>
        <n v="4.1799902356671801"/>
        <n v="2.4840406264186798"/>
        <n v="5.7999999950521204"/>
        <n v="4.4999999656168903"/>
        <n v="3.7629430392301702"/>
        <n v="5.8719822263758203"/>
        <n v="0.41289187687314699"/>
        <n v="4.6587591916021296"/>
        <n v="4.92571448640469"/>
        <n v="5.98131491296596"/>
        <n v="4.1792092680181998"/>
        <n v="4.4688296883747798"/>
        <n v="6.9000014547358903"/>
        <n v="6.9681294933237004"/>
        <n v="4.6565755980861496"/>
        <n v="3.7571778047637401"/>
        <n v="0.615713754356918"/>
        <n v="0.51913901039000598"/>
        <n v="3.1770847058806302"/>
        <n v="-2.9537715489237302"/>
        <n v="2.4999999999999898"/>
        <n v="4.0902636277002697"/>
        <n v="10.245810850259"/>
        <n v="8.2498442298828305"/>
        <n v="1.17327950545638"/>
        <n v="4.8854444803254999"/>
        <n v="4.46609985599589"/>
        <n v="2.4545964367369799"/>
        <n v="4.1707947658651303"/>
        <n v="4.00003051653042"/>
        <n v="5.2999999996793603"/>
        <n v="4.4999998997969497"/>
        <n v="3.7106974241939001"/>
        <n v="6.36884052643458"/>
        <n v="7.4994022885534397"/>
        <n v="4.8610949762172"/>
        <n v="4.8945165911239004"/>
        <n v="6.1005940483540799"/>
        <n v="3.8749602212071501"/>
        <n v="3.1125580949443301"/>
        <n v="7.1000007076357701"/>
        <n v="7.1041612647215304"/>
        <n v="3.9647798883388798"/>
        <n v="4.0767154973014401"/>
        <n v="3.4470951447746399"/>
      </sharedItems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60040010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kefeng" refreshedDate="43547.864913541664" createdVersion="6" refreshedVersion="6" minRefreshableVersion="3" recordCount="1624" xr:uid="{00000000-000A-0000-FFFF-FFFF14000000}">
  <cacheSource type="worksheet">
    <worksheetSource ref="A4:D1628" sheet="Indicateur3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containsInteger="1" minValue="0" maxValue="5746393000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9248008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4">
  <r>
    <x v="0"/>
    <s v="Exports of goods and services (% of GDP)"/>
    <n v="12.4999996173469"/>
    <x v="0"/>
  </r>
  <r>
    <x v="1"/>
    <s v="Exports of goods and services (% of GDP)"/>
    <m/>
    <x v="0"/>
  </r>
  <r>
    <x v="2"/>
    <s v="Exports of goods and services (% of GDP)"/>
    <n v="13.3896456825921"/>
    <x v="0"/>
  </r>
  <r>
    <x v="3"/>
    <s v="Exports of goods and services (% of GDP)"/>
    <m/>
    <x v="0"/>
  </r>
  <r>
    <x v="4"/>
    <s v="Exports of goods and services (% of GDP)"/>
    <m/>
    <x v="0"/>
  </r>
  <r>
    <x v="5"/>
    <s v="Exports of goods and services (% of GDP)"/>
    <m/>
    <x v="0"/>
  </r>
  <r>
    <x v="6"/>
    <s v="Exports of goods and services (% of GDP)"/>
    <m/>
    <x v="0"/>
  </r>
  <r>
    <x v="7"/>
    <s v="Exports of goods and services (% of GDP)"/>
    <m/>
    <x v="0"/>
  </r>
  <r>
    <x v="8"/>
    <s v="Exports of goods and services (% of GDP)"/>
    <n v="31.095746519435"/>
    <x v="0"/>
  </r>
  <r>
    <x v="9"/>
    <s v="Exports of goods and services (% of GDP)"/>
    <m/>
    <x v="0"/>
  </r>
  <r>
    <x v="10"/>
    <s v="Exports of goods and services (% of GDP)"/>
    <n v="45.827830144108297"/>
    <x v="0"/>
  </r>
  <r>
    <x v="11"/>
    <s v="Exports of goods and services (% of GDP)"/>
    <n v="10.030184184754001"/>
    <x v="0"/>
  </r>
  <r>
    <x v="12"/>
    <s v="Exports of goods and services (% of GDP)"/>
    <n v="22.079037800687299"/>
    <x v="0"/>
  </r>
  <r>
    <x v="13"/>
    <s v="Exports of goods and services (% of GDP)"/>
    <m/>
    <x v="0"/>
  </r>
  <r>
    <x v="14"/>
    <s v="Exports of goods and services (% of GDP)"/>
    <m/>
    <x v="0"/>
  </r>
  <r>
    <x v="15"/>
    <s v="Exports of goods and services (% of GDP)"/>
    <m/>
    <x v="0"/>
  </r>
  <r>
    <x v="16"/>
    <s v="Exports of goods and services (% of GDP)"/>
    <m/>
    <x v="0"/>
  </r>
  <r>
    <x v="17"/>
    <s v="Exports of goods and services (% of GDP)"/>
    <m/>
    <x v="0"/>
  </r>
  <r>
    <x v="18"/>
    <s v="Exports of goods and services (% of GDP)"/>
    <n v="23.652970528497701"/>
    <x v="0"/>
  </r>
  <r>
    <x v="19"/>
    <s v="Exports of goods and services (% of GDP)"/>
    <n v="7.1004107317726497"/>
    <x v="0"/>
  </r>
  <r>
    <x v="20"/>
    <s v="Exports of goods and services (% of GDP)"/>
    <n v="12.436972281618999"/>
    <x v="0"/>
  </r>
  <r>
    <x v="21"/>
    <s v="Exports of goods and services (% of GDP)"/>
    <m/>
    <x v="0"/>
  </r>
  <r>
    <x v="22"/>
    <s v="Exports of goods and services (% of GDP)"/>
    <n v="29.953249888243199"/>
    <x v="0"/>
  </r>
  <r>
    <x v="23"/>
    <s v="Exports of goods and services (% of GDP)"/>
    <m/>
    <x v="0"/>
  </r>
  <r>
    <x v="24"/>
    <s v="Exports of goods and services (% of GDP)"/>
    <m/>
    <x v="0"/>
  </r>
  <r>
    <x v="25"/>
    <s v="Exports of goods and services (% of GDP)"/>
    <n v="27.329451121298501"/>
    <x v="0"/>
  </r>
  <r>
    <x v="26"/>
    <s v="Exports of goods and services (% of GDP)"/>
    <m/>
    <x v="0"/>
  </r>
  <r>
    <x v="27"/>
    <s v="Exports of goods and services (% of GDP)"/>
    <m/>
    <x v="0"/>
  </r>
  <r>
    <x v="0"/>
    <s v="Exports of goods and services (% of GDP)"/>
    <n v="12.9310349923561"/>
    <x v="1"/>
  </r>
  <r>
    <x v="1"/>
    <s v="Exports of goods and services (% of GDP)"/>
    <m/>
    <x v="1"/>
  </r>
  <r>
    <x v="2"/>
    <s v="Exports of goods and services (% of GDP)"/>
    <n v="13.9110330044899"/>
    <x v="1"/>
  </r>
  <r>
    <x v="3"/>
    <s v="Exports of goods and services (% of GDP)"/>
    <m/>
    <x v="1"/>
  </r>
  <r>
    <x v="4"/>
    <s v="Exports of goods and services (% of GDP)"/>
    <m/>
    <x v="1"/>
  </r>
  <r>
    <x v="5"/>
    <s v="Exports of goods and services (% of GDP)"/>
    <m/>
    <x v="1"/>
  </r>
  <r>
    <x v="6"/>
    <s v="Exports of goods and services (% of GDP)"/>
    <m/>
    <x v="1"/>
  </r>
  <r>
    <x v="7"/>
    <s v="Exports of goods and services (% of GDP)"/>
    <m/>
    <x v="1"/>
  </r>
  <r>
    <x v="8"/>
    <s v="Exports of goods and services (% of GDP)"/>
    <n v="32.717169681453797"/>
    <x v="1"/>
  </r>
  <r>
    <x v="9"/>
    <s v="Exports of goods and services (% of GDP)"/>
    <m/>
    <x v="1"/>
  </r>
  <r>
    <x v="10"/>
    <s v="Exports of goods and services (% of GDP)"/>
    <n v="34.580083068318999"/>
    <x v="1"/>
  </r>
  <r>
    <x v="11"/>
    <s v="Exports of goods and services (% of GDP)"/>
    <n v="14.6047493240543"/>
    <x v="1"/>
  </r>
  <r>
    <x v="12"/>
    <s v="Exports of goods and services (% of GDP)"/>
    <n v="20.609462710505198"/>
    <x v="1"/>
  </r>
  <r>
    <x v="13"/>
    <s v="Exports of goods and services (% of GDP)"/>
    <m/>
    <x v="1"/>
  </r>
  <r>
    <x v="14"/>
    <s v="Exports of goods and services (% of GDP)"/>
    <m/>
    <x v="1"/>
  </r>
  <r>
    <x v="15"/>
    <s v="Exports of goods and services (% of GDP)"/>
    <m/>
    <x v="1"/>
  </r>
  <r>
    <x v="16"/>
    <s v="Exports of goods and services (% of GDP)"/>
    <m/>
    <x v="1"/>
  </r>
  <r>
    <x v="17"/>
    <s v="Exports of goods and services (% of GDP)"/>
    <m/>
    <x v="1"/>
  </r>
  <r>
    <x v="18"/>
    <s v="Exports of goods and services (% of GDP)"/>
    <n v="23.401895618851601"/>
    <x v="1"/>
  </r>
  <r>
    <x v="19"/>
    <s v="Exports of goods and services (% of GDP)"/>
    <n v="8.1212351414334094"/>
    <x v="1"/>
  </r>
  <r>
    <x v="20"/>
    <s v="Exports of goods and services (% of GDP)"/>
    <n v="11.475408331094"/>
    <x v="1"/>
  </r>
  <r>
    <x v="21"/>
    <s v="Exports of goods and services (% of GDP)"/>
    <m/>
    <x v="1"/>
  </r>
  <r>
    <x v="22"/>
    <s v="Exports of goods and services (% of GDP)"/>
    <n v="27.5375436843795"/>
    <x v="1"/>
  </r>
  <r>
    <x v="23"/>
    <s v="Exports of goods and services (% of GDP)"/>
    <m/>
    <x v="1"/>
  </r>
  <r>
    <x v="24"/>
    <s v="Exports of goods and services (% of GDP)"/>
    <m/>
    <x v="1"/>
  </r>
  <r>
    <x v="25"/>
    <s v="Exports of goods and services (% of GDP)"/>
    <n v="24.418229213653898"/>
    <x v="1"/>
  </r>
  <r>
    <x v="26"/>
    <s v="Exports of goods and services (% of GDP)"/>
    <m/>
    <x v="1"/>
  </r>
  <r>
    <x v="27"/>
    <s v="Exports of goods and services (% of GDP)"/>
    <m/>
    <x v="1"/>
  </r>
  <r>
    <x v="0"/>
    <s v="Exports of goods and services (% of GDP)"/>
    <n v="13.114753729796099"/>
    <x v="2"/>
  </r>
  <r>
    <x v="1"/>
    <s v="Exports of goods and services (% of GDP)"/>
    <m/>
    <x v="2"/>
  </r>
  <r>
    <x v="2"/>
    <s v="Exports of goods and services (% of GDP)"/>
    <n v="14.030383007458999"/>
    <x v="2"/>
  </r>
  <r>
    <x v="3"/>
    <s v="Exports of goods and services (% of GDP)"/>
    <m/>
    <x v="2"/>
  </r>
  <r>
    <x v="4"/>
    <s v="Exports of goods and services (% of GDP)"/>
    <m/>
    <x v="2"/>
  </r>
  <r>
    <x v="5"/>
    <s v="Exports of goods and services (% of GDP)"/>
    <m/>
    <x v="2"/>
  </r>
  <r>
    <x v="6"/>
    <s v="Exports of goods and services (% of GDP)"/>
    <m/>
    <x v="2"/>
  </r>
  <r>
    <x v="7"/>
    <s v="Exports of goods and services (% of GDP)"/>
    <m/>
    <x v="2"/>
  </r>
  <r>
    <x v="8"/>
    <s v="Exports of goods and services (% of GDP)"/>
    <n v="32.037809261394798"/>
    <x v="2"/>
  </r>
  <r>
    <x v="9"/>
    <s v="Exports of goods and services (% of GDP)"/>
    <m/>
    <x v="2"/>
  </r>
  <r>
    <x v="10"/>
    <s v="Exports of goods and services (% of GDP)"/>
    <n v="36.5888363394902"/>
    <x v="2"/>
  </r>
  <r>
    <x v="11"/>
    <s v="Exports of goods and services (% of GDP)"/>
    <n v="13.7550293037585"/>
    <x v="2"/>
  </r>
  <r>
    <x v="12"/>
    <s v="Exports of goods and services (% of GDP)"/>
    <n v="21.406727828746199"/>
    <x v="2"/>
  </r>
  <r>
    <x v="13"/>
    <s v="Exports of goods and services (% of GDP)"/>
    <m/>
    <x v="2"/>
  </r>
  <r>
    <x v="14"/>
    <s v="Exports of goods and services (% of GDP)"/>
    <m/>
    <x v="2"/>
  </r>
  <r>
    <x v="15"/>
    <s v="Exports of goods and services (% of GDP)"/>
    <m/>
    <x v="2"/>
  </r>
  <r>
    <x v="16"/>
    <s v="Exports of goods and services (% of GDP)"/>
    <m/>
    <x v="2"/>
  </r>
  <r>
    <x v="17"/>
    <s v="Exports of goods and services (% of GDP)"/>
    <m/>
    <x v="2"/>
  </r>
  <r>
    <x v="18"/>
    <s v="Exports of goods and services (% of GDP)"/>
    <n v="26.431557700624499"/>
    <x v="2"/>
  </r>
  <r>
    <x v="19"/>
    <s v="Exports of goods and services (% of GDP)"/>
    <n v="9.2835749143705897"/>
    <x v="2"/>
  </r>
  <r>
    <x v="20"/>
    <s v="Exports of goods and services (% of GDP)"/>
    <n v="9.2799994060800408"/>
    <x v="2"/>
  </r>
  <r>
    <x v="21"/>
    <s v="Exports of goods and services (% of GDP)"/>
    <m/>
    <x v="2"/>
  </r>
  <r>
    <x v="22"/>
    <s v="Exports of goods and services (% of GDP)"/>
    <n v="27.792673642229101"/>
    <x v="2"/>
  </r>
  <r>
    <x v="23"/>
    <s v="Exports of goods and services (% of GDP)"/>
    <m/>
    <x v="2"/>
  </r>
  <r>
    <x v="24"/>
    <s v="Exports of goods and services (% of GDP)"/>
    <m/>
    <x v="2"/>
  </r>
  <r>
    <x v="25"/>
    <s v="Exports of goods and services (% of GDP)"/>
    <n v="24.107405487933001"/>
    <x v="2"/>
  </r>
  <r>
    <x v="26"/>
    <s v="Exports of goods and services (% of GDP)"/>
    <m/>
    <x v="2"/>
  </r>
  <r>
    <x v="27"/>
    <s v="Exports of goods and services (% of GDP)"/>
    <m/>
    <x v="2"/>
  </r>
  <r>
    <x v="0"/>
    <s v="Exports of goods and services (% of GDP)"/>
    <n v="7.5187970570895502"/>
    <x v="3"/>
  </r>
  <r>
    <x v="1"/>
    <s v="Exports of goods and services (% of GDP)"/>
    <m/>
    <x v="3"/>
  </r>
  <r>
    <x v="2"/>
    <s v="Exports of goods and services (% of GDP)"/>
    <n v="12.9482750255812"/>
    <x v="3"/>
  </r>
  <r>
    <x v="3"/>
    <s v="Exports of goods and services (% of GDP)"/>
    <m/>
    <x v="3"/>
  </r>
  <r>
    <x v="4"/>
    <s v="Exports of goods and services (% of GDP)"/>
    <m/>
    <x v="3"/>
  </r>
  <r>
    <x v="5"/>
    <s v="Exports of goods and services (% of GDP)"/>
    <m/>
    <x v="3"/>
  </r>
  <r>
    <x v="6"/>
    <s v="Exports of goods and services (% of GDP)"/>
    <m/>
    <x v="3"/>
  </r>
  <r>
    <x v="7"/>
    <s v="Exports of goods and services (% of GDP)"/>
    <m/>
    <x v="3"/>
  </r>
  <r>
    <x v="8"/>
    <s v="Exports of goods and services (% of GDP)"/>
    <n v="32.032947656704003"/>
    <x v="3"/>
  </r>
  <r>
    <x v="9"/>
    <s v="Exports of goods and services (% of GDP)"/>
    <m/>
    <x v="3"/>
  </r>
  <r>
    <x v="10"/>
    <s v="Exports of goods and services (% of GDP)"/>
    <n v="38.705566010220302"/>
    <x v="3"/>
  </r>
  <r>
    <x v="11"/>
    <s v="Exports of goods and services (% of GDP)"/>
    <n v="12.7804480657338"/>
    <x v="3"/>
  </r>
  <r>
    <x v="12"/>
    <s v="Exports of goods and services (% of GDP)"/>
    <n v="21.863536316947901"/>
    <x v="3"/>
  </r>
  <r>
    <x v="13"/>
    <s v="Exports of goods and services (% of GDP)"/>
    <m/>
    <x v="3"/>
  </r>
  <r>
    <x v="14"/>
    <s v="Exports of goods and services (% of GDP)"/>
    <m/>
    <x v="3"/>
  </r>
  <r>
    <x v="15"/>
    <s v="Exports of goods and services (% of GDP)"/>
    <m/>
    <x v="3"/>
  </r>
  <r>
    <x v="16"/>
    <s v="Exports of goods and services (% of GDP)"/>
    <m/>
    <x v="3"/>
  </r>
  <r>
    <x v="17"/>
    <s v="Exports of goods and services (% of GDP)"/>
    <m/>
    <x v="3"/>
  </r>
  <r>
    <x v="18"/>
    <s v="Exports of goods and services (% of GDP)"/>
    <n v="28.824290928488299"/>
    <x v="3"/>
  </r>
  <r>
    <x v="19"/>
    <s v="Exports of goods and services (% of GDP)"/>
    <n v="9.3111499744899202"/>
    <x v="3"/>
  </r>
  <r>
    <x v="20"/>
    <s v="Exports of goods and services (% of GDP)"/>
    <n v="5.9375"/>
    <x v="3"/>
  </r>
  <r>
    <x v="21"/>
    <s v="Exports of goods and services (% of GDP)"/>
    <m/>
    <x v="3"/>
  </r>
  <r>
    <x v="22"/>
    <s v="Exports of goods and services (% of GDP)"/>
    <n v="25.7568075413568"/>
    <x v="3"/>
  </r>
  <r>
    <x v="23"/>
    <s v="Exports of goods and services (% of GDP)"/>
    <m/>
    <x v="3"/>
  </r>
  <r>
    <x v="24"/>
    <s v="Exports of goods and services (% of GDP)"/>
    <m/>
    <x v="3"/>
  </r>
  <r>
    <x v="25"/>
    <s v="Exports of goods and services (% of GDP)"/>
    <n v="28.290939369015401"/>
    <x v="3"/>
  </r>
  <r>
    <x v="26"/>
    <s v="Exports of goods and services (% of GDP)"/>
    <m/>
    <x v="3"/>
  </r>
  <r>
    <x v="27"/>
    <s v="Exports of goods and services (% of GDP)"/>
    <m/>
    <x v="3"/>
  </r>
  <r>
    <x v="0"/>
    <s v="Exports of goods and services (% of GDP)"/>
    <n v="14.093959299130701"/>
    <x v="4"/>
  </r>
  <r>
    <x v="1"/>
    <s v="Exports of goods and services (% of GDP)"/>
    <m/>
    <x v="4"/>
  </r>
  <r>
    <x v="2"/>
    <s v="Exports of goods and services (% of GDP)"/>
    <n v="13.7276219911725"/>
    <x v="4"/>
  </r>
  <r>
    <x v="3"/>
    <s v="Exports of goods and services (% of GDP)"/>
    <m/>
    <x v="4"/>
  </r>
  <r>
    <x v="4"/>
    <s v="Exports of goods and services (% of GDP)"/>
    <m/>
    <x v="4"/>
  </r>
  <r>
    <x v="5"/>
    <s v="Exports of goods and services (% of GDP)"/>
    <m/>
    <x v="4"/>
  </r>
  <r>
    <x v="6"/>
    <s v="Exports of goods and services (% of GDP)"/>
    <m/>
    <x v="4"/>
  </r>
  <r>
    <x v="7"/>
    <s v="Exports of goods and services (% of GDP)"/>
    <m/>
    <x v="4"/>
  </r>
  <r>
    <x v="8"/>
    <s v="Exports of goods and services (% of GDP)"/>
    <n v="33.389413153894701"/>
    <x v="4"/>
  </r>
  <r>
    <x v="9"/>
    <s v="Exports of goods and services (% of GDP)"/>
    <m/>
    <x v="4"/>
  </r>
  <r>
    <x v="10"/>
    <s v="Exports of goods and services (% of GDP)"/>
    <n v="61.937860247906698"/>
    <x v="4"/>
  </r>
  <r>
    <x v="11"/>
    <s v="Exports of goods and services (% of GDP)"/>
    <n v="13.3027974495759"/>
    <x v="4"/>
  </r>
  <r>
    <x v="12"/>
    <s v="Exports of goods and services (% of GDP)"/>
    <n v="19.482386772106398"/>
    <x v="4"/>
  </r>
  <r>
    <x v="13"/>
    <s v="Exports of goods and services (% of GDP)"/>
    <m/>
    <x v="4"/>
  </r>
  <r>
    <x v="14"/>
    <s v="Exports of goods and services (% of GDP)"/>
    <m/>
    <x v="4"/>
  </r>
  <r>
    <x v="15"/>
    <s v="Exports of goods and services (% of GDP)"/>
    <m/>
    <x v="4"/>
  </r>
  <r>
    <x v="16"/>
    <s v="Exports of goods and services (% of GDP)"/>
    <m/>
    <x v="4"/>
  </r>
  <r>
    <x v="17"/>
    <s v="Exports of goods and services (% of GDP)"/>
    <m/>
    <x v="4"/>
  </r>
  <r>
    <x v="18"/>
    <s v="Exports of goods and services (% of GDP)"/>
    <n v="28.873966346893798"/>
    <x v="4"/>
  </r>
  <r>
    <x v="19"/>
    <s v="Exports of goods and services (% of GDP)"/>
    <n v="9.2666605298503608"/>
    <x v="4"/>
  </r>
  <r>
    <x v="20"/>
    <s v="Exports of goods and services (% of GDP)"/>
    <n v="12.000000553846199"/>
    <x v="4"/>
  </r>
  <r>
    <x v="21"/>
    <s v="Exports of goods and services (% of GDP)"/>
    <m/>
    <x v="4"/>
  </r>
  <r>
    <x v="22"/>
    <s v="Exports of goods and services (% of GDP)"/>
    <n v="24.6155221290607"/>
    <x v="4"/>
  </r>
  <r>
    <x v="23"/>
    <s v="Exports of goods and services (% of GDP)"/>
    <m/>
    <x v="4"/>
  </r>
  <r>
    <x v="24"/>
    <s v="Exports of goods and services (% of GDP)"/>
    <m/>
    <x v="4"/>
  </r>
  <r>
    <x v="25"/>
    <s v="Exports of goods and services (% of GDP)"/>
    <n v="29.897857498754401"/>
    <x v="4"/>
  </r>
  <r>
    <x v="26"/>
    <s v="Exports of goods and services (% of GDP)"/>
    <m/>
    <x v="4"/>
  </r>
  <r>
    <x v="27"/>
    <s v="Exports of goods and services (% of GDP)"/>
    <m/>
    <x v="4"/>
  </r>
  <r>
    <x v="0"/>
    <s v="Exports of goods and services (% of GDP)"/>
    <n v="10.3479635040849"/>
    <x v="5"/>
  </r>
  <r>
    <x v="1"/>
    <s v="Exports of goods and services (% of GDP)"/>
    <n v="23.759392439595398"/>
    <x v="5"/>
  </r>
  <r>
    <x v="2"/>
    <s v="Exports of goods and services (% of GDP)"/>
    <n v="13.500255004902799"/>
    <x v="5"/>
  </r>
  <r>
    <x v="3"/>
    <s v="Exports of goods and services (% of GDP)"/>
    <m/>
    <x v="5"/>
  </r>
  <r>
    <x v="4"/>
    <s v="Exports of goods and services (% of GDP)"/>
    <m/>
    <x v="5"/>
  </r>
  <r>
    <x v="5"/>
    <s v="Exports of goods and services (% of GDP)"/>
    <m/>
    <x v="5"/>
  </r>
  <r>
    <x v="6"/>
    <s v="Exports of goods and services (% of GDP)"/>
    <m/>
    <x v="5"/>
  </r>
  <r>
    <x v="7"/>
    <s v="Exports of goods and services (% of GDP)"/>
    <m/>
    <x v="5"/>
  </r>
  <r>
    <x v="8"/>
    <s v="Exports of goods and services (% of GDP)"/>
    <n v="31.397315206878599"/>
    <x v="5"/>
  </r>
  <r>
    <x v="9"/>
    <s v="Exports of goods and services (% of GDP)"/>
    <m/>
    <x v="5"/>
  </r>
  <r>
    <x v="10"/>
    <s v="Exports of goods and services (% of GDP)"/>
    <n v="62.897800234492799"/>
    <x v="5"/>
  </r>
  <r>
    <x v="11"/>
    <s v="Exports of goods and services (% of GDP)"/>
    <n v="13.2117044602017"/>
    <x v="5"/>
  </r>
  <r>
    <x v="12"/>
    <s v="Exports of goods and services (% of GDP)"/>
    <n v="19.4630872483221"/>
    <x v="5"/>
  </r>
  <r>
    <x v="13"/>
    <s v="Exports of goods and services (% of GDP)"/>
    <m/>
    <x v="5"/>
  </r>
  <r>
    <x v="14"/>
    <s v="Exports of goods and services (% of GDP)"/>
    <m/>
    <x v="5"/>
  </r>
  <r>
    <x v="15"/>
    <s v="Exports of goods and services (% of GDP)"/>
    <m/>
    <x v="5"/>
  </r>
  <r>
    <x v="16"/>
    <s v="Exports of goods and services (% of GDP)"/>
    <m/>
    <x v="5"/>
  </r>
  <r>
    <x v="17"/>
    <s v="Exports of goods and services (% of GDP)"/>
    <n v="7.7650840372203502"/>
    <x v="5"/>
  </r>
  <r>
    <x v="18"/>
    <s v="Exports of goods and services (% of GDP)"/>
    <n v="29.300518666976298"/>
    <x v="5"/>
  </r>
  <r>
    <x v="19"/>
    <s v="Exports of goods and services (% of GDP)"/>
    <n v="9.4848510176361795"/>
    <x v="5"/>
  </r>
  <r>
    <x v="20"/>
    <s v="Exports of goods and services (% of GDP)"/>
    <n v="12.096775819459101"/>
    <x v="5"/>
  </r>
  <r>
    <x v="21"/>
    <s v="Exports of goods and services (% of GDP)"/>
    <m/>
    <x v="5"/>
  </r>
  <r>
    <x v="22"/>
    <s v="Exports of goods and services (% of GDP)"/>
    <n v="25.903018307768399"/>
    <x v="5"/>
  </r>
  <r>
    <x v="23"/>
    <s v="Exports of goods and services (% of GDP)"/>
    <m/>
    <x v="5"/>
  </r>
  <r>
    <x v="24"/>
    <s v="Exports of goods and services (% of GDP)"/>
    <m/>
    <x v="5"/>
  </r>
  <r>
    <x v="25"/>
    <s v="Exports of goods and services (% of GDP)"/>
    <n v="25.5777144666034"/>
    <x v="5"/>
  </r>
  <r>
    <x v="26"/>
    <s v="Exports of goods and services (% of GDP)"/>
    <m/>
    <x v="5"/>
  </r>
  <r>
    <x v="27"/>
    <s v="Exports of goods and services (% of GDP)"/>
    <m/>
    <x v="5"/>
  </r>
  <r>
    <x v="0"/>
    <s v="Exports of goods and services (% of GDP)"/>
    <n v="10.776159818739499"/>
    <x v="6"/>
  </r>
  <r>
    <x v="1"/>
    <s v="Exports of goods and services (% of GDP)"/>
    <n v="20.994734857892201"/>
    <x v="6"/>
  </r>
  <r>
    <x v="2"/>
    <s v="Exports of goods and services (% of GDP)"/>
    <n v="13.912615534923599"/>
    <x v="6"/>
  </r>
  <r>
    <x v="3"/>
    <s v="Exports of goods and services (% of GDP)"/>
    <m/>
    <x v="6"/>
  </r>
  <r>
    <x v="4"/>
    <s v="Exports of goods and services (% of GDP)"/>
    <m/>
    <x v="6"/>
  </r>
  <r>
    <x v="5"/>
    <s v="Exports of goods and services (% of GDP)"/>
    <m/>
    <x v="6"/>
  </r>
  <r>
    <x v="6"/>
    <s v="Exports of goods and services (% of GDP)"/>
    <m/>
    <x v="6"/>
  </r>
  <r>
    <x v="7"/>
    <s v="Exports of goods and services (% of GDP)"/>
    <m/>
    <x v="6"/>
  </r>
  <r>
    <x v="8"/>
    <s v="Exports of goods and services (% of GDP)"/>
    <n v="32.411633516273902"/>
    <x v="6"/>
  </r>
  <r>
    <x v="9"/>
    <s v="Exports of goods and services (% of GDP)"/>
    <m/>
    <x v="6"/>
  </r>
  <r>
    <x v="10"/>
    <s v="Exports of goods and services (% of GDP)"/>
    <n v="67.986721726911796"/>
    <x v="6"/>
  </r>
  <r>
    <x v="11"/>
    <s v="Exports of goods and services (% of GDP)"/>
    <n v="17.2947153056537"/>
    <x v="6"/>
  </r>
  <r>
    <x v="12"/>
    <s v="Exports of goods and services (% of GDP)"/>
    <n v="21.505376344085999"/>
    <x v="6"/>
  </r>
  <r>
    <x v="13"/>
    <s v="Exports of goods and services (% of GDP)"/>
    <m/>
    <x v="6"/>
  </r>
  <r>
    <x v="14"/>
    <s v="Exports of goods and services (% of GDP)"/>
    <m/>
    <x v="6"/>
  </r>
  <r>
    <x v="15"/>
    <s v="Exports of goods and services (% of GDP)"/>
    <m/>
    <x v="6"/>
  </r>
  <r>
    <x v="16"/>
    <s v="Exports of goods and services (% of GDP)"/>
    <m/>
    <x v="6"/>
  </r>
  <r>
    <x v="17"/>
    <s v="Exports of goods and services (% of GDP)"/>
    <n v="5.6448109525311603"/>
    <x v="6"/>
  </r>
  <r>
    <x v="18"/>
    <s v="Exports of goods and services (% of GDP)"/>
    <n v="27.115170431526"/>
    <x v="6"/>
  </r>
  <r>
    <x v="19"/>
    <s v="Exports of goods and services (% of GDP)"/>
    <n v="12.4527143653732"/>
    <x v="6"/>
  </r>
  <r>
    <x v="20"/>
    <s v="Exports of goods and services (% of GDP)"/>
    <n v="11.2793686930404"/>
    <x v="6"/>
  </r>
  <r>
    <x v="21"/>
    <s v="Exports of goods and services (% of GDP)"/>
    <m/>
    <x v="6"/>
  </r>
  <r>
    <x v="22"/>
    <s v="Exports of goods and services (% of GDP)"/>
    <n v="22.370157130862399"/>
    <x v="6"/>
  </r>
  <r>
    <x v="23"/>
    <s v="Exports of goods and services (% of GDP)"/>
    <m/>
    <x v="6"/>
  </r>
  <r>
    <x v="24"/>
    <s v="Exports of goods and services (% of GDP)"/>
    <m/>
    <x v="6"/>
  </r>
  <r>
    <x v="25"/>
    <s v="Exports of goods and services (% of GDP)"/>
    <n v="25.5673222390318"/>
    <x v="6"/>
  </r>
  <r>
    <x v="26"/>
    <s v="Exports of goods and services (% of GDP)"/>
    <m/>
    <x v="6"/>
  </r>
  <r>
    <x v="27"/>
    <s v="Exports of goods and services (% of GDP)"/>
    <m/>
    <x v="6"/>
  </r>
  <r>
    <x v="0"/>
    <s v="Exports of goods and services (% of GDP)"/>
    <n v="10.8005897057881"/>
    <x v="7"/>
  </r>
  <r>
    <x v="1"/>
    <s v="Exports of goods and services (% of GDP)"/>
    <n v="20.625272657141402"/>
    <x v="7"/>
  </r>
  <r>
    <x v="2"/>
    <s v="Exports of goods and services (% of GDP)"/>
    <n v="14.3618954557805"/>
    <x v="7"/>
  </r>
  <r>
    <x v="3"/>
    <s v="Exports of goods and services (% of GDP)"/>
    <m/>
    <x v="7"/>
  </r>
  <r>
    <x v="4"/>
    <s v="Exports of goods and services (% of GDP)"/>
    <m/>
    <x v="7"/>
  </r>
  <r>
    <x v="5"/>
    <s v="Exports of goods and services (% of GDP)"/>
    <m/>
    <x v="7"/>
  </r>
  <r>
    <x v="6"/>
    <s v="Exports of goods and services (% of GDP)"/>
    <m/>
    <x v="7"/>
  </r>
  <r>
    <x v="7"/>
    <s v="Exports of goods and services (% of GDP)"/>
    <m/>
    <x v="7"/>
  </r>
  <r>
    <x v="8"/>
    <s v="Exports of goods and services (% of GDP)"/>
    <n v="28.464334393457499"/>
    <x v="7"/>
  </r>
  <r>
    <x v="9"/>
    <s v="Exports of goods and services (% of GDP)"/>
    <m/>
    <x v="7"/>
  </r>
  <r>
    <x v="10"/>
    <s v="Exports of goods and services (% of GDP)"/>
    <n v="78.728302307486302"/>
    <x v="7"/>
  </r>
  <r>
    <x v="11"/>
    <s v="Exports of goods and services (% of GDP)"/>
    <n v="17.5142528784686"/>
    <x v="7"/>
  </r>
  <r>
    <x v="12"/>
    <s v="Exports of goods and services (% of GDP)"/>
    <n v="24.053224155578299"/>
    <x v="7"/>
  </r>
  <r>
    <x v="13"/>
    <s v="Exports of goods and services (% of GDP)"/>
    <n v="11.361640608219099"/>
    <x v="7"/>
  </r>
  <r>
    <x v="14"/>
    <s v="Exports of goods and services (% of GDP)"/>
    <m/>
    <x v="7"/>
  </r>
  <r>
    <x v="15"/>
    <s v="Exports of goods and services (% of GDP)"/>
    <m/>
    <x v="7"/>
  </r>
  <r>
    <x v="16"/>
    <s v="Exports of goods and services (% of GDP)"/>
    <m/>
    <x v="7"/>
  </r>
  <r>
    <x v="17"/>
    <s v="Exports of goods and services (% of GDP)"/>
    <n v="6.8745127533201398"/>
    <x v="7"/>
  </r>
  <r>
    <x v="18"/>
    <s v="Exports of goods and services (% of GDP)"/>
    <n v="26.461892589816099"/>
    <x v="7"/>
  </r>
  <r>
    <x v="19"/>
    <s v="Exports of goods and services (% of GDP)"/>
    <n v="8.4295356093115803"/>
    <x v="7"/>
  </r>
  <r>
    <x v="20"/>
    <s v="Exports of goods and services (% of GDP)"/>
    <n v="10.512031905135499"/>
    <x v="7"/>
  </r>
  <r>
    <x v="21"/>
    <s v="Exports of goods and services (% of GDP)"/>
    <m/>
    <x v="7"/>
  </r>
  <r>
    <x v="22"/>
    <s v="Exports of goods and services (% of GDP)"/>
    <n v="20.460329755449798"/>
    <x v="7"/>
  </r>
  <r>
    <x v="23"/>
    <s v="Exports of goods and services (% of GDP)"/>
    <m/>
    <x v="7"/>
  </r>
  <r>
    <x v="24"/>
    <s v="Exports of goods and services (% of GDP)"/>
    <m/>
    <x v="7"/>
  </r>
  <r>
    <x v="25"/>
    <s v="Exports of goods and services (% of GDP)"/>
    <n v="25.300332899117102"/>
    <x v="7"/>
  </r>
  <r>
    <x v="26"/>
    <s v="Exports of goods and services (% of GDP)"/>
    <m/>
    <x v="7"/>
  </r>
  <r>
    <x v="27"/>
    <s v="Exports of goods and services (% of GDP)"/>
    <m/>
    <x v="7"/>
  </r>
  <r>
    <x v="0"/>
    <s v="Exports of goods and services (% of GDP)"/>
    <n v="10.2956955708047"/>
    <x v="8"/>
  </r>
  <r>
    <x v="1"/>
    <s v="Exports of goods and services (% of GDP)"/>
    <n v="22.123551689286099"/>
    <x v="8"/>
  </r>
  <r>
    <x v="2"/>
    <s v="Exports of goods and services (% of GDP)"/>
    <n v="14.941012395936401"/>
    <x v="8"/>
  </r>
  <r>
    <x v="3"/>
    <s v="Exports of goods and services (% of GDP)"/>
    <m/>
    <x v="8"/>
  </r>
  <r>
    <x v="4"/>
    <s v="Exports of goods and services (% of GDP)"/>
    <m/>
    <x v="8"/>
  </r>
  <r>
    <x v="5"/>
    <s v="Exports of goods and services (% of GDP)"/>
    <m/>
    <x v="8"/>
  </r>
  <r>
    <x v="6"/>
    <s v="Exports of goods and services (% of GDP)"/>
    <m/>
    <x v="8"/>
  </r>
  <r>
    <x v="7"/>
    <s v="Exports of goods and services (% of GDP)"/>
    <m/>
    <x v="8"/>
  </r>
  <r>
    <x v="8"/>
    <s v="Exports of goods and services (% of GDP)"/>
    <n v="29.4008110568567"/>
    <x v="8"/>
  </r>
  <r>
    <x v="9"/>
    <s v="Exports of goods and services (% of GDP)"/>
    <m/>
    <x v="8"/>
  </r>
  <r>
    <x v="10"/>
    <s v="Exports of goods and services (% of GDP)"/>
    <n v="84.314503937024995"/>
    <x v="8"/>
  </r>
  <r>
    <x v="11"/>
    <s v="Exports of goods and services (% of GDP)"/>
    <n v="17.750338775661099"/>
    <x v="8"/>
  </r>
  <r>
    <x v="12"/>
    <s v="Exports of goods and services (% of GDP)"/>
    <n v="23.837493881546699"/>
    <x v="8"/>
  </r>
  <r>
    <x v="13"/>
    <s v="Exports of goods and services (% of GDP)"/>
    <n v="10.222569980724201"/>
    <x v="8"/>
  </r>
  <r>
    <x v="14"/>
    <s v="Exports of goods and services (% of GDP)"/>
    <m/>
    <x v="8"/>
  </r>
  <r>
    <x v="15"/>
    <s v="Exports of goods and services (% of GDP)"/>
    <m/>
    <x v="8"/>
  </r>
  <r>
    <x v="16"/>
    <s v="Exports of goods and services (% of GDP)"/>
    <m/>
    <x v="8"/>
  </r>
  <r>
    <x v="17"/>
    <s v="Exports of goods and services (% of GDP)"/>
    <n v="6.8451134296636402"/>
    <x v="8"/>
  </r>
  <r>
    <x v="18"/>
    <s v="Exports of goods and services (% of GDP)"/>
    <n v="26.6848685578443"/>
    <x v="8"/>
  </r>
  <r>
    <x v="19"/>
    <s v="Exports of goods and services (% of GDP)"/>
    <n v="7.9775985591896603"/>
    <x v="8"/>
  </r>
  <r>
    <x v="20"/>
    <s v="Exports of goods and services (% of GDP)"/>
    <n v="8.7398359040821898"/>
    <x v="8"/>
  </r>
  <r>
    <x v="21"/>
    <s v="Exports of goods and services (% of GDP)"/>
    <m/>
    <x v="8"/>
  </r>
  <r>
    <x v="22"/>
    <s v="Exports of goods and services (% of GDP)"/>
    <n v="20.621442567882799"/>
    <x v="8"/>
  </r>
  <r>
    <x v="23"/>
    <s v="Exports of goods and services (% of GDP)"/>
    <m/>
    <x v="8"/>
  </r>
  <r>
    <x v="24"/>
    <s v="Exports of goods and services (% of GDP)"/>
    <m/>
    <x v="8"/>
  </r>
  <r>
    <x v="25"/>
    <s v="Exports of goods and services (% of GDP)"/>
    <n v="23.940620782726"/>
    <x v="8"/>
  </r>
  <r>
    <x v="26"/>
    <s v="Exports of goods and services (% of GDP)"/>
    <m/>
    <x v="8"/>
  </r>
  <r>
    <x v="27"/>
    <s v="Exports of goods and services (% of GDP)"/>
    <m/>
    <x v="8"/>
  </r>
  <r>
    <x v="0"/>
    <s v="Exports of goods and services (% of GDP)"/>
    <n v="9.6587153758336797"/>
    <x v="9"/>
  </r>
  <r>
    <x v="1"/>
    <s v="Exports of goods and services (% of GDP)"/>
    <n v="23.383428616446398"/>
    <x v="9"/>
  </r>
  <r>
    <x v="2"/>
    <s v="Exports of goods and services (% of GDP)"/>
    <n v="13.2067876155599"/>
    <x v="9"/>
  </r>
  <r>
    <x v="3"/>
    <s v="Exports of goods and services (% of GDP)"/>
    <m/>
    <x v="9"/>
  </r>
  <r>
    <x v="4"/>
    <s v="Exports of goods and services (% of GDP)"/>
    <m/>
    <x v="9"/>
  </r>
  <r>
    <x v="5"/>
    <s v="Exports of goods and services (% of GDP)"/>
    <m/>
    <x v="9"/>
  </r>
  <r>
    <x v="6"/>
    <s v="Exports of goods and services (% of GDP)"/>
    <m/>
    <x v="9"/>
  </r>
  <r>
    <x v="7"/>
    <s v="Exports of goods and services (% of GDP)"/>
    <m/>
    <x v="9"/>
  </r>
  <r>
    <x v="8"/>
    <s v="Exports of goods and services (% of GDP)"/>
    <n v="29.5286550830373"/>
    <x v="9"/>
  </r>
  <r>
    <x v="9"/>
    <s v="Exports of goods and services (% of GDP)"/>
    <m/>
    <x v="9"/>
  </r>
  <r>
    <x v="10"/>
    <s v="Exports of goods and services (% of GDP)"/>
    <n v="89.229278692006602"/>
    <x v="9"/>
  </r>
  <r>
    <x v="11"/>
    <s v="Exports of goods and services (% of GDP)"/>
    <n v="18.109269659193501"/>
    <x v="9"/>
  </r>
  <r>
    <x v="12"/>
    <s v="Exports of goods and services (% of GDP)"/>
    <n v="23.476297968397301"/>
    <x v="9"/>
  </r>
  <r>
    <x v="13"/>
    <s v="Exports of goods and services (% of GDP)"/>
    <n v="11.2036320725528"/>
    <x v="9"/>
  </r>
  <r>
    <x v="14"/>
    <s v="Exports of goods and services (% of GDP)"/>
    <m/>
    <x v="9"/>
  </r>
  <r>
    <x v="15"/>
    <s v="Exports of goods and services (% of GDP)"/>
    <m/>
    <x v="9"/>
  </r>
  <r>
    <x v="16"/>
    <s v="Exports of goods and services (% of GDP)"/>
    <m/>
    <x v="9"/>
  </r>
  <r>
    <x v="17"/>
    <s v="Exports of goods and services (% of GDP)"/>
    <n v="7.0131497434333099"/>
    <x v="9"/>
  </r>
  <r>
    <x v="18"/>
    <s v="Exports of goods and services (% of GDP)"/>
    <n v="24.3859582232446"/>
    <x v="9"/>
  </r>
  <r>
    <x v="19"/>
    <s v="Exports of goods and services (% of GDP)"/>
    <n v="9.3576559667711994"/>
    <x v="9"/>
  </r>
  <r>
    <x v="20"/>
    <s v="Exports of goods and services (% of GDP)"/>
    <n v="7.6788532903149296"/>
    <x v="9"/>
  </r>
  <r>
    <x v="21"/>
    <s v="Exports of goods and services (% of GDP)"/>
    <m/>
    <x v="9"/>
  </r>
  <r>
    <x v="22"/>
    <s v="Exports of goods and services (% of GDP)"/>
    <n v="18.3924754168448"/>
    <x v="9"/>
  </r>
  <r>
    <x v="23"/>
    <s v="Exports of goods and services (% of GDP)"/>
    <m/>
    <x v="9"/>
  </r>
  <r>
    <x v="24"/>
    <s v="Exports of goods and services (% of GDP)"/>
    <m/>
    <x v="9"/>
  </r>
  <r>
    <x v="25"/>
    <s v="Exports of goods and services (% of GDP)"/>
    <n v="21.528692943572501"/>
    <x v="9"/>
  </r>
  <r>
    <x v="26"/>
    <s v="Exports of goods and services (% of GDP)"/>
    <m/>
    <x v="9"/>
  </r>
  <r>
    <x v="27"/>
    <s v="Exports of goods and services (% of GDP)"/>
    <m/>
    <x v="9"/>
  </r>
  <r>
    <x v="0"/>
    <s v="Exports of goods and services (% of GDP)"/>
    <n v="10.688776831409999"/>
    <x v="10"/>
  </r>
  <r>
    <x v="1"/>
    <s v="Exports of goods and services (% of GDP)"/>
    <n v="26.209931675918298"/>
    <x v="10"/>
  </r>
  <r>
    <x v="2"/>
    <s v="Exports of goods and services (% of GDP)"/>
    <n v="16.259836962238602"/>
    <x v="10"/>
  </r>
  <r>
    <x v="3"/>
    <s v="Exports of goods and services (% of GDP)"/>
    <m/>
    <x v="10"/>
  </r>
  <r>
    <x v="4"/>
    <s v="Exports of goods and services (% of GDP)"/>
    <m/>
    <x v="10"/>
  </r>
  <r>
    <x v="5"/>
    <s v="Exports of goods and services (% of GDP)"/>
    <m/>
    <x v="10"/>
  </r>
  <r>
    <x v="6"/>
    <s v="Exports of goods and services (% of GDP)"/>
    <m/>
    <x v="10"/>
  </r>
  <r>
    <x v="7"/>
    <s v="Exports of goods and services (% of GDP)"/>
    <m/>
    <x v="10"/>
  </r>
  <r>
    <x v="8"/>
    <s v="Exports of goods and services (% of GDP)"/>
    <n v="29.825725561415201"/>
    <x v="10"/>
  </r>
  <r>
    <x v="9"/>
    <s v="Exports of goods and services (% of GDP)"/>
    <m/>
    <x v="10"/>
  </r>
  <r>
    <x v="10"/>
    <s v="Exports of goods and services (% of GDP)"/>
    <n v="74.311427711012996"/>
    <x v="10"/>
  </r>
  <r>
    <x v="11"/>
    <s v="Exports of goods and services (% of GDP)"/>
    <n v="19.1603376936907"/>
    <x v="10"/>
  </r>
  <r>
    <x v="12"/>
    <s v="Exports of goods and services (% of GDP)"/>
    <n v="24.246179264766599"/>
    <x v="10"/>
  </r>
  <r>
    <x v="13"/>
    <s v="Exports of goods and services (% of GDP)"/>
    <n v="12.469555617669799"/>
    <x v="10"/>
  </r>
  <r>
    <x v="14"/>
    <s v="Exports of goods and services (% of GDP)"/>
    <m/>
    <x v="10"/>
  </r>
  <r>
    <x v="15"/>
    <s v="Exports of goods and services (% of GDP)"/>
    <m/>
    <x v="10"/>
  </r>
  <r>
    <x v="16"/>
    <s v="Exports of goods and services (% of GDP)"/>
    <m/>
    <x v="10"/>
  </r>
  <r>
    <x v="17"/>
    <s v="Exports of goods and services (% of GDP)"/>
    <n v="4.9041970802919703"/>
    <x v="10"/>
  </r>
  <r>
    <x v="18"/>
    <s v="Exports of goods and services (% of GDP)"/>
    <n v="26.732400887636899"/>
    <x v="10"/>
  </r>
  <r>
    <x v="19"/>
    <s v="Exports of goods and services (% of GDP)"/>
    <n v="10.7723830375582"/>
    <x v="10"/>
  </r>
  <r>
    <x v="20"/>
    <s v="Exports of goods and services (% of GDP)"/>
    <n v="11.505228881167"/>
    <x v="10"/>
  </r>
  <r>
    <x v="21"/>
    <s v="Exports of goods and services (% of GDP)"/>
    <m/>
    <x v="10"/>
  </r>
  <r>
    <x v="22"/>
    <s v="Exports of goods and services (% of GDP)"/>
    <n v="25.453747072599501"/>
    <x v="10"/>
  </r>
  <r>
    <x v="23"/>
    <s v="Exports of goods and services (% of GDP)"/>
    <m/>
    <x v="10"/>
  </r>
  <r>
    <x v="24"/>
    <s v="Exports of goods and services (% of GDP)"/>
    <m/>
    <x v="10"/>
  </r>
  <r>
    <x v="25"/>
    <s v="Exports of goods and services (% of GDP)"/>
    <n v="23.352228520617999"/>
    <x v="10"/>
  </r>
  <r>
    <x v="26"/>
    <s v="Exports of goods and services (% of GDP)"/>
    <m/>
    <x v="10"/>
  </r>
  <r>
    <x v="27"/>
    <s v="Exports of goods and services (% of GDP)"/>
    <m/>
    <x v="10"/>
  </r>
  <r>
    <x v="0"/>
    <s v="Exports of goods and services (% of GDP)"/>
    <n v="8.4357498971690994"/>
    <x v="11"/>
  </r>
  <r>
    <x v="1"/>
    <s v="Exports of goods and services (% of GDP)"/>
    <n v="23.018157775206099"/>
    <x v="11"/>
  </r>
  <r>
    <x v="2"/>
    <s v="Exports of goods and services (% of GDP)"/>
    <n v="15.912384843112701"/>
    <x v="11"/>
  </r>
  <r>
    <x v="3"/>
    <s v="Exports of goods and services (% of GDP)"/>
    <m/>
    <x v="11"/>
  </r>
  <r>
    <x v="4"/>
    <s v="Exports of goods and services (% of GDP)"/>
    <m/>
    <x v="11"/>
  </r>
  <r>
    <x v="5"/>
    <s v="Exports of goods and services (% of GDP)"/>
    <m/>
    <x v="11"/>
  </r>
  <r>
    <x v="6"/>
    <s v="Exports of goods and services (% of GDP)"/>
    <m/>
    <x v="11"/>
  </r>
  <r>
    <x v="7"/>
    <s v="Exports of goods and services (% of GDP)"/>
    <m/>
    <x v="11"/>
  </r>
  <r>
    <x v="8"/>
    <s v="Exports of goods and services (% of GDP)"/>
    <n v="28.639355102812001"/>
    <x v="11"/>
  </r>
  <r>
    <x v="9"/>
    <s v="Exports of goods and services (% of GDP)"/>
    <m/>
    <x v="11"/>
  </r>
  <r>
    <x v="10"/>
    <s v="Exports of goods and services (% of GDP)"/>
    <n v="73.724223970561894"/>
    <x v="11"/>
  </r>
  <r>
    <x v="11"/>
    <s v="Exports of goods and services (% of GDP)"/>
    <n v="14.4446683335605"/>
    <x v="11"/>
  </r>
  <r>
    <x v="12"/>
    <s v="Exports of goods and services (% of GDP)"/>
    <n v="23.451910408432099"/>
    <x v="11"/>
  </r>
  <r>
    <x v="13"/>
    <s v="Exports of goods and services (% of GDP)"/>
    <n v="13.4159110067238"/>
    <x v="11"/>
  </r>
  <r>
    <x v="14"/>
    <s v="Exports of goods and services (% of GDP)"/>
    <m/>
    <x v="11"/>
  </r>
  <r>
    <x v="15"/>
    <s v="Exports of goods and services (% of GDP)"/>
    <m/>
    <x v="11"/>
  </r>
  <r>
    <x v="16"/>
    <s v="Exports of goods and services (% of GDP)"/>
    <m/>
    <x v="11"/>
  </r>
  <r>
    <x v="17"/>
    <s v="Exports of goods and services (% of GDP)"/>
    <n v="5.4038932466371303"/>
    <x v="11"/>
  </r>
  <r>
    <x v="18"/>
    <s v="Exports of goods and services (% of GDP)"/>
    <n v="26.299689809499998"/>
    <x v="11"/>
  </r>
  <r>
    <x v="19"/>
    <s v="Exports of goods and services (% of GDP)"/>
    <n v="12.3678397656615"/>
    <x v="11"/>
  </r>
  <r>
    <x v="20"/>
    <s v="Exports of goods and services (% of GDP)"/>
    <n v="10.211426634483599"/>
    <x v="11"/>
  </r>
  <r>
    <x v="21"/>
    <s v="Exports of goods and services (% of GDP)"/>
    <m/>
    <x v="11"/>
  </r>
  <r>
    <x v="22"/>
    <s v="Exports of goods and services (% of GDP)"/>
    <n v="24.612099644128101"/>
    <x v="11"/>
  </r>
  <r>
    <x v="23"/>
    <s v="Exports of goods and services (% of GDP)"/>
    <m/>
    <x v="11"/>
  </r>
  <r>
    <x v="24"/>
    <s v="Exports of goods and services (% of GDP)"/>
    <m/>
    <x v="11"/>
  </r>
  <r>
    <x v="25"/>
    <s v="Exports of goods and services (% of GDP)"/>
    <n v="19.816260001975699"/>
    <x v="11"/>
  </r>
  <r>
    <x v="26"/>
    <s v="Exports of goods and services (% of GDP)"/>
    <m/>
    <x v="11"/>
  </r>
  <r>
    <x v="27"/>
    <s v="Exports of goods and services (% of GDP)"/>
    <m/>
    <x v="11"/>
  </r>
  <r>
    <x v="0"/>
    <s v="Exports of goods and services (% of GDP)"/>
    <n v="11.7344434462895"/>
    <x v="12"/>
  </r>
  <r>
    <x v="1"/>
    <s v="Exports of goods and services (% of GDP)"/>
    <n v="20.391869575477902"/>
    <x v="12"/>
  </r>
  <r>
    <x v="2"/>
    <s v="Exports of goods and services (% of GDP)"/>
    <n v="14.565098290729001"/>
    <x v="12"/>
  </r>
  <r>
    <x v="3"/>
    <s v="Exports of goods and services (% of GDP)"/>
    <m/>
    <x v="12"/>
  </r>
  <r>
    <x v="4"/>
    <s v="Exports of goods and services (% of GDP)"/>
    <m/>
    <x v="12"/>
  </r>
  <r>
    <x v="5"/>
    <s v="Exports of goods and services (% of GDP)"/>
    <m/>
    <x v="12"/>
  </r>
  <r>
    <x v="6"/>
    <s v="Exports of goods and services (% of GDP)"/>
    <m/>
    <x v="12"/>
  </r>
  <r>
    <x v="7"/>
    <s v="Exports of goods and services (% of GDP)"/>
    <m/>
    <x v="12"/>
  </r>
  <r>
    <x v="8"/>
    <s v="Exports of goods and services (% of GDP)"/>
    <n v="26.5878288599522"/>
    <x v="12"/>
  </r>
  <r>
    <x v="9"/>
    <s v="Exports of goods and services (% of GDP)"/>
    <m/>
    <x v="12"/>
  </r>
  <r>
    <x v="10"/>
    <s v="Exports of goods and services (% of GDP)"/>
    <n v="74.654059516759105"/>
    <x v="12"/>
  </r>
  <r>
    <x v="11"/>
    <s v="Exports of goods and services (% of GDP)"/>
    <n v="14.262974393354799"/>
    <x v="12"/>
  </r>
  <r>
    <x v="12"/>
    <s v="Exports of goods and services (% of GDP)"/>
    <n v="23.287250384024599"/>
    <x v="12"/>
  </r>
  <r>
    <x v="13"/>
    <s v="Exports of goods and services (% of GDP)"/>
    <n v="10.029272804745901"/>
    <x v="12"/>
  </r>
  <r>
    <x v="14"/>
    <s v="Exports of goods and services (% of GDP)"/>
    <m/>
    <x v="12"/>
  </r>
  <r>
    <x v="15"/>
    <s v="Exports of goods and services (% of GDP)"/>
    <m/>
    <x v="12"/>
  </r>
  <r>
    <x v="16"/>
    <s v="Exports of goods and services (% of GDP)"/>
    <m/>
    <x v="12"/>
  </r>
  <r>
    <x v="17"/>
    <s v="Exports of goods and services (% of GDP)"/>
    <n v="5.6611049990893996"/>
    <x v="12"/>
  </r>
  <r>
    <x v="18"/>
    <s v="Exports of goods and services (% of GDP)"/>
    <n v="35.289251539244503"/>
    <x v="12"/>
  </r>
  <r>
    <x v="19"/>
    <s v="Exports of goods and services (% of GDP)"/>
    <n v="14.2137063199685"/>
    <x v="12"/>
  </r>
  <r>
    <x v="20"/>
    <s v="Exports of goods and services (% of GDP)"/>
    <n v="8.2819386178656806"/>
    <x v="12"/>
  </r>
  <r>
    <x v="21"/>
    <s v="Exports of goods and services (% of GDP)"/>
    <m/>
    <x v="12"/>
  </r>
  <r>
    <x v="22"/>
    <s v="Exports of goods and services (% of GDP)"/>
    <n v="22.325703417065601"/>
    <x v="12"/>
  </r>
  <r>
    <x v="23"/>
    <s v="Exports of goods and services (% of GDP)"/>
    <m/>
    <x v="12"/>
  </r>
  <r>
    <x v="24"/>
    <s v="Exports of goods and services (% of GDP)"/>
    <m/>
    <x v="12"/>
  </r>
  <r>
    <x v="25"/>
    <s v="Exports of goods and services (% of GDP)"/>
    <n v="19.389671361502302"/>
    <x v="12"/>
  </r>
  <r>
    <x v="26"/>
    <s v="Exports of goods and services (% of GDP)"/>
    <m/>
    <x v="12"/>
  </r>
  <r>
    <x v="27"/>
    <s v="Exports of goods and services (% of GDP)"/>
    <m/>
    <x v="12"/>
  </r>
  <r>
    <x v="0"/>
    <s v="Exports of goods and services (% of GDP)"/>
    <n v="11.016173203969601"/>
    <x v="13"/>
  </r>
  <r>
    <x v="1"/>
    <s v="Exports of goods and services (% of GDP)"/>
    <n v="20.6937259205293"/>
    <x v="13"/>
  </r>
  <r>
    <x v="2"/>
    <s v="Exports of goods and services (% of GDP)"/>
    <n v="15.7287774480533"/>
    <x v="13"/>
  </r>
  <r>
    <x v="3"/>
    <s v="Exports of goods and services (% of GDP)"/>
    <m/>
    <x v="13"/>
  </r>
  <r>
    <x v="4"/>
    <s v="Exports of goods and services (% of GDP)"/>
    <m/>
    <x v="13"/>
  </r>
  <r>
    <x v="5"/>
    <s v="Exports of goods and services (% of GDP)"/>
    <m/>
    <x v="13"/>
  </r>
  <r>
    <x v="6"/>
    <s v="Exports of goods and services (% of GDP)"/>
    <m/>
    <x v="13"/>
  </r>
  <r>
    <x v="7"/>
    <s v="Exports of goods and services (% of GDP)"/>
    <m/>
    <x v="13"/>
  </r>
  <r>
    <x v="8"/>
    <s v="Exports of goods and services (% of GDP)"/>
    <n v="27.393834680632999"/>
    <x v="13"/>
  </r>
  <r>
    <x v="9"/>
    <s v="Exports of goods and services (% of GDP)"/>
    <m/>
    <x v="13"/>
  </r>
  <r>
    <x v="10"/>
    <s v="Exports of goods and services (% of GDP)"/>
    <n v="85.252409564297693"/>
    <x v="13"/>
  </r>
  <r>
    <x v="11"/>
    <s v="Exports of goods and services (% of GDP)"/>
    <n v="14.2478557674161"/>
    <x v="13"/>
  </r>
  <r>
    <x v="12"/>
    <s v="Exports of goods and services (% of GDP)"/>
    <n v="27.6373626373626"/>
    <x v="13"/>
  </r>
  <r>
    <x v="13"/>
    <s v="Exports of goods and services (% of GDP)"/>
    <n v="10.187919348142"/>
    <x v="13"/>
  </r>
  <r>
    <x v="14"/>
    <s v="Exports of goods and services (% of GDP)"/>
    <m/>
    <x v="13"/>
  </r>
  <r>
    <x v="15"/>
    <s v="Exports of goods and services (% of GDP)"/>
    <m/>
    <x v="13"/>
  </r>
  <r>
    <x v="16"/>
    <s v="Exports of goods and services (% of GDP)"/>
    <m/>
    <x v="13"/>
  </r>
  <r>
    <x v="17"/>
    <s v="Exports of goods and services (% of GDP)"/>
    <n v="6.61049226159124"/>
    <x v="13"/>
  </r>
  <r>
    <x v="18"/>
    <s v="Exports of goods and services (% of GDP)"/>
    <n v="28.210319366030799"/>
    <x v="13"/>
  </r>
  <r>
    <x v="19"/>
    <s v="Exports of goods and services (% of GDP)"/>
    <n v="15.5147694594512"/>
    <x v="13"/>
  </r>
  <r>
    <x v="20"/>
    <s v="Exports of goods and services (% of GDP)"/>
    <n v="11.5983615409165"/>
    <x v="13"/>
  </r>
  <r>
    <x v="21"/>
    <s v="Exports of goods and services (% of GDP)"/>
    <m/>
    <x v="13"/>
  </r>
  <r>
    <x v="22"/>
    <s v="Exports of goods and services (% of GDP)"/>
    <n v="24.3479678330798"/>
    <x v="13"/>
  </r>
  <r>
    <x v="23"/>
    <s v="Exports of goods and services (% of GDP)"/>
    <m/>
    <x v="13"/>
  </r>
  <r>
    <x v="24"/>
    <s v="Exports of goods and services (% of GDP)"/>
    <m/>
    <x v="13"/>
  </r>
  <r>
    <x v="25"/>
    <s v="Exports of goods and services (% of GDP)"/>
    <n v="16.551497203027299"/>
    <x v="13"/>
  </r>
  <r>
    <x v="26"/>
    <s v="Exports of goods and services (% of GDP)"/>
    <m/>
    <x v="13"/>
  </r>
  <r>
    <x v="27"/>
    <s v="Exports of goods and services (% of GDP)"/>
    <m/>
    <x v="13"/>
  </r>
  <r>
    <x v="0"/>
    <s v="Exports of goods and services (% of GDP)"/>
    <n v="9.7533974512219803"/>
    <x v="14"/>
  </r>
  <r>
    <x v="1"/>
    <s v="Exports of goods and services (% of GDP)"/>
    <n v="25.438089807625499"/>
    <x v="14"/>
  </r>
  <r>
    <x v="2"/>
    <s v="Exports of goods and services (% of GDP)"/>
    <n v="18.391080709713201"/>
    <x v="14"/>
  </r>
  <r>
    <x v="3"/>
    <s v="Exports of goods and services (% of GDP)"/>
    <m/>
    <x v="14"/>
  </r>
  <r>
    <x v="4"/>
    <s v="Exports of goods and services (% of GDP)"/>
    <m/>
    <x v="14"/>
  </r>
  <r>
    <x v="5"/>
    <s v="Exports of goods and services (% of GDP)"/>
    <m/>
    <x v="14"/>
  </r>
  <r>
    <x v="6"/>
    <s v="Exports of goods and services (% of GDP)"/>
    <m/>
    <x v="14"/>
  </r>
  <r>
    <x v="7"/>
    <s v="Exports of goods and services (% of GDP)"/>
    <m/>
    <x v="14"/>
  </r>
  <r>
    <x v="8"/>
    <s v="Exports of goods and services (% of GDP)"/>
    <n v="33.675883850287498"/>
    <x v="14"/>
  </r>
  <r>
    <x v="9"/>
    <s v="Exports of goods and services (% of GDP)"/>
    <m/>
    <x v="14"/>
  </r>
  <r>
    <x v="10"/>
    <s v="Exports of goods and services (% of GDP)"/>
    <n v="83.621689889209506"/>
    <x v="14"/>
  </r>
  <r>
    <x v="11"/>
    <s v="Exports of goods and services (% of GDP)"/>
    <n v="15.5261612545993"/>
    <x v="14"/>
  </r>
  <r>
    <x v="12"/>
    <s v="Exports of goods and services (% of GDP)"/>
    <n v="28.017334777898199"/>
    <x v="14"/>
  </r>
  <r>
    <x v="13"/>
    <s v="Exports of goods and services (% of GDP)"/>
    <n v="12.7237253147348"/>
    <x v="14"/>
  </r>
  <r>
    <x v="14"/>
    <s v="Exports of goods and services (% of GDP)"/>
    <m/>
    <x v="14"/>
  </r>
  <r>
    <x v="15"/>
    <s v="Exports of goods and services (% of GDP)"/>
    <m/>
    <x v="14"/>
  </r>
  <r>
    <x v="16"/>
    <s v="Exports of goods and services (% of GDP)"/>
    <m/>
    <x v="14"/>
  </r>
  <r>
    <x v="17"/>
    <s v="Exports of goods and services (% of GDP)"/>
    <n v="5.44971913841814"/>
    <x v="14"/>
  </r>
  <r>
    <x v="18"/>
    <s v="Exports of goods and services (% of GDP)"/>
    <n v="29.074889338299201"/>
    <x v="14"/>
  </r>
  <r>
    <x v="19"/>
    <s v="Exports of goods and services (% of GDP)"/>
    <n v="12.270563048803099"/>
    <x v="14"/>
  </r>
  <r>
    <x v="20"/>
    <s v="Exports of goods and services (% of GDP)"/>
    <n v="12.1687577317595"/>
    <x v="14"/>
  </r>
  <r>
    <x v="21"/>
    <s v="Exports of goods and services (% of GDP)"/>
    <m/>
    <x v="14"/>
  </r>
  <r>
    <x v="22"/>
    <s v="Exports of goods and services (% of GDP)"/>
    <n v="26.431365950107299"/>
    <x v="14"/>
  </r>
  <r>
    <x v="23"/>
    <s v="Exports of goods and services (% of GDP)"/>
    <m/>
    <x v="14"/>
  </r>
  <r>
    <x v="24"/>
    <s v="Exports of goods and services (% of GDP)"/>
    <m/>
    <x v="14"/>
  </r>
  <r>
    <x v="25"/>
    <s v="Exports of goods and services (% of GDP)"/>
    <n v="14.7194674636598"/>
    <x v="14"/>
  </r>
  <r>
    <x v="26"/>
    <s v="Exports of goods and services (% of GDP)"/>
    <m/>
    <x v="14"/>
  </r>
  <r>
    <x v="27"/>
    <s v="Exports of goods and services (% of GDP)"/>
    <m/>
    <x v="14"/>
  </r>
  <r>
    <x v="0"/>
    <s v="Exports of goods and services (% of GDP)"/>
    <n v="8.2756457241793306"/>
    <x v="15"/>
  </r>
  <r>
    <x v="1"/>
    <s v="Exports of goods and services (% of GDP)"/>
    <n v="22.684959133732701"/>
    <x v="15"/>
  </r>
  <r>
    <x v="2"/>
    <s v="Exports of goods and services (% of GDP)"/>
    <n v="14.4026671718867"/>
    <x v="15"/>
  </r>
  <r>
    <x v="3"/>
    <s v="Exports of goods and services (% of GDP)"/>
    <m/>
    <x v="15"/>
  </r>
  <r>
    <x v="4"/>
    <s v="Exports of goods and services (% of GDP)"/>
    <m/>
    <x v="15"/>
  </r>
  <r>
    <x v="5"/>
    <s v="Exports of goods and services (% of GDP)"/>
    <m/>
    <x v="15"/>
  </r>
  <r>
    <x v="6"/>
    <s v="Exports of goods and services (% of GDP)"/>
    <m/>
    <x v="15"/>
  </r>
  <r>
    <x v="7"/>
    <s v="Exports of goods and services (% of GDP)"/>
    <m/>
    <x v="15"/>
  </r>
  <r>
    <x v="8"/>
    <s v="Exports of goods and services (% of GDP)"/>
    <n v="29.823685969750201"/>
    <x v="15"/>
  </r>
  <r>
    <x v="9"/>
    <s v="Exports of goods and services (% of GDP)"/>
    <m/>
    <x v="15"/>
  </r>
  <r>
    <x v="10"/>
    <s v="Exports of goods and services (% of GDP)"/>
    <n v="69.898794786869303"/>
    <x v="15"/>
  </r>
  <r>
    <x v="11"/>
    <s v="Exports of goods and services (% of GDP)"/>
    <n v="15.8595183896258"/>
    <x v="15"/>
  </r>
  <r>
    <x v="12"/>
    <s v="Exports of goods and services (% of GDP)"/>
    <n v="29.129696054370399"/>
    <x v="15"/>
  </r>
  <r>
    <x v="13"/>
    <s v="Exports of goods and services (% of GDP)"/>
    <n v="9.6611850135864099"/>
    <x v="15"/>
  </r>
  <r>
    <x v="14"/>
    <s v="Exports of goods and services (% of GDP)"/>
    <m/>
    <x v="15"/>
  </r>
  <r>
    <x v="15"/>
    <s v="Exports of goods and services (% of GDP)"/>
    <m/>
    <x v="15"/>
  </r>
  <r>
    <x v="16"/>
    <s v="Exports of goods and services (% of GDP)"/>
    <m/>
    <x v="15"/>
  </r>
  <r>
    <x v="17"/>
    <s v="Exports of goods and services (% of GDP)"/>
    <n v="8.9010929805213106"/>
    <x v="15"/>
  </r>
  <r>
    <x v="18"/>
    <s v="Exports of goods and services (% of GDP)"/>
    <n v="28.042757516087502"/>
    <x v="15"/>
  </r>
  <r>
    <x v="19"/>
    <s v="Exports of goods and services (% of GDP)"/>
    <n v="19.246529376492798"/>
    <x v="15"/>
  </r>
  <r>
    <x v="20"/>
    <s v="Exports of goods and services (% of GDP)"/>
    <n v="9.1718815945671093"/>
    <x v="15"/>
  </r>
  <r>
    <x v="21"/>
    <s v="Exports of goods and services (% of GDP)"/>
    <m/>
    <x v="15"/>
  </r>
  <r>
    <x v="22"/>
    <s v="Exports of goods and services (% of GDP)"/>
    <n v="27.4899349061218"/>
    <x v="15"/>
  </r>
  <r>
    <x v="23"/>
    <s v="Exports of goods and services (% of GDP)"/>
    <m/>
    <x v="15"/>
  </r>
  <r>
    <x v="24"/>
    <s v="Exports of goods and services (% of GDP)"/>
    <m/>
    <x v="15"/>
  </r>
  <r>
    <x v="25"/>
    <s v="Exports of goods and services (% of GDP)"/>
    <n v="8.6504049726878893"/>
    <x v="15"/>
  </r>
  <r>
    <x v="26"/>
    <s v="Exports of goods and services (% of GDP)"/>
    <m/>
    <x v="15"/>
  </r>
  <r>
    <x v="27"/>
    <s v="Exports of goods and services (% of GDP)"/>
    <n v="22.764979311535399"/>
    <x v="15"/>
  </r>
  <r>
    <x v="0"/>
    <s v="Exports of goods and services (% of GDP)"/>
    <n v="13.7264838813102"/>
    <x v="16"/>
  </r>
  <r>
    <x v="1"/>
    <s v="Exports of goods and services (% of GDP)"/>
    <n v="22.642596864459701"/>
    <x v="16"/>
  </r>
  <r>
    <x v="2"/>
    <s v="Exports of goods and services (% of GDP)"/>
    <n v="16.083928186568102"/>
    <x v="16"/>
  </r>
  <r>
    <x v="3"/>
    <s v="Exports of goods and services (% of GDP)"/>
    <m/>
    <x v="16"/>
  </r>
  <r>
    <x v="4"/>
    <s v="Exports of goods and services (% of GDP)"/>
    <m/>
    <x v="16"/>
  </r>
  <r>
    <x v="5"/>
    <s v="Exports of goods and services (% of GDP)"/>
    <m/>
    <x v="16"/>
  </r>
  <r>
    <x v="6"/>
    <s v="Exports of goods and services (% of GDP)"/>
    <m/>
    <x v="16"/>
  </r>
  <r>
    <x v="7"/>
    <s v="Exports of goods and services (% of GDP)"/>
    <m/>
    <x v="16"/>
  </r>
  <r>
    <x v="8"/>
    <s v="Exports of goods and services (% of GDP)"/>
    <n v="32.450471243808501"/>
    <x v="16"/>
  </r>
  <r>
    <x v="9"/>
    <s v="Exports of goods and services (% of GDP)"/>
    <m/>
    <x v="16"/>
  </r>
  <r>
    <x v="10"/>
    <s v="Exports of goods and services (% of GDP)"/>
    <n v="78.2837645307158"/>
    <x v="16"/>
  </r>
  <r>
    <x v="11"/>
    <s v="Exports of goods and services (% of GDP)"/>
    <n v="15.1637418440442"/>
    <x v="16"/>
  </r>
  <r>
    <x v="12"/>
    <s v="Exports of goods and services (% of GDP)"/>
    <n v="30.4411764705882"/>
    <x v="16"/>
  </r>
  <r>
    <x v="13"/>
    <s v="Exports of goods and services (% of GDP)"/>
    <n v="11.0057080159312"/>
    <x v="16"/>
  </r>
  <r>
    <x v="14"/>
    <s v="Exports of goods and services (% of GDP)"/>
    <m/>
    <x v="16"/>
  </r>
  <r>
    <x v="15"/>
    <s v="Exports of goods and services (% of GDP)"/>
    <m/>
    <x v="16"/>
  </r>
  <r>
    <x v="16"/>
    <s v="Exports of goods and services (% of GDP)"/>
    <m/>
    <x v="16"/>
  </r>
  <r>
    <x v="17"/>
    <s v="Exports of goods and services (% of GDP)"/>
    <n v="10.7738301182812"/>
    <x v="16"/>
  </r>
  <r>
    <x v="18"/>
    <s v="Exports of goods and services (% of GDP)"/>
    <n v="32.994720731335597"/>
    <x v="16"/>
  </r>
  <r>
    <x v="19"/>
    <s v="Exports of goods and services (% of GDP)"/>
    <n v="22.2636539756868"/>
    <x v="16"/>
  </r>
  <r>
    <x v="20"/>
    <s v="Exports of goods and services (% of GDP)"/>
    <n v="14.578953413609399"/>
    <x v="16"/>
  </r>
  <r>
    <x v="21"/>
    <s v="Exports of goods and services (% of GDP)"/>
    <m/>
    <x v="16"/>
  </r>
  <r>
    <x v="22"/>
    <s v="Exports of goods and services (% of GDP)"/>
    <n v="29.0467834321094"/>
    <x v="16"/>
  </r>
  <r>
    <x v="23"/>
    <s v="Exports of goods and services (% of GDP)"/>
    <m/>
    <x v="16"/>
  </r>
  <r>
    <x v="24"/>
    <s v="Exports of goods and services (% of GDP)"/>
    <m/>
    <x v="16"/>
  </r>
  <r>
    <x v="25"/>
    <s v="Exports of goods and services (% of GDP)"/>
    <n v="11.3880603113635"/>
    <x v="16"/>
  </r>
  <r>
    <x v="26"/>
    <s v="Exports of goods and services (% of GDP)"/>
    <m/>
    <x v="16"/>
  </r>
  <r>
    <x v="27"/>
    <s v="Exports of goods and services (% of GDP)"/>
    <n v="21.9602479823415"/>
    <x v="16"/>
  </r>
  <r>
    <x v="0"/>
    <s v="Exports of goods and services (% of GDP)"/>
    <n v="17.595610229269699"/>
    <x v="17"/>
  </r>
  <r>
    <x v="1"/>
    <s v="Exports of goods and services (% of GDP)"/>
    <n v="25.0599528630765"/>
    <x v="17"/>
  </r>
  <r>
    <x v="2"/>
    <s v="Exports of goods and services (% of GDP)"/>
    <n v="15.354041503933701"/>
    <x v="17"/>
  </r>
  <r>
    <x v="3"/>
    <s v="Exports of goods and services (% of GDP)"/>
    <m/>
    <x v="17"/>
  </r>
  <r>
    <x v="4"/>
    <s v="Exports of goods and services (% of GDP)"/>
    <m/>
    <x v="17"/>
  </r>
  <r>
    <x v="5"/>
    <s v="Exports of goods and services (% of GDP)"/>
    <m/>
    <x v="17"/>
  </r>
  <r>
    <x v="6"/>
    <s v="Exports of goods and services (% of GDP)"/>
    <m/>
    <x v="17"/>
  </r>
  <r>
    <x v="7"/>
    <s v="Exports of goods and services (% of GDP)"/>
    <m/>
    <x v="17"/>
  </r>
  <r>
    <x v="8"/>
    <s v="Exports of goods and services (% of GDP)"/>
    <n v="34.958868756384803"/>
    <x v="17"/>
  </r>
  <r>
    <x v="9"/>
    <s v="Exports of goods and services (% of GDP)"/>
    <m/>
    <x v="17"/>
  </r>
  <r>
    <x v="10"/>
    <s v="Exports of goods and services (% of GDP)"/>
    <n v="68.201020905168505"/>
    <x v="17"/>
  </r>
  <r>
    <x v="11"/>
    <s v="Exports of goods and services (% of GDP)"/>
    <n v="16.444991262526202"/>
    <x v="17"/>
  </r>
  <r>
    <x v="12"/>
    <s v="Exports of goods and services (% of GDP)"/>
    <n v="30"/>
    <x v="17"/>
  </r>
  <r>
    <x v="13"/>
    <s v="Exports of goods and services (% of GDP)"/>
    <n v="12.755695068087499"/>
    <x v="17"/>
  </r>
  <r>
    <x v="14"/>
    <s v="Exports of goods and services (% of GDP)"/>
    <m/>
    <x v="17"/>
  </r>
  <r>
    <x v="15"/>
    <s v="Exports of goods and services (% of GDP)"/>
    <m/>
    <x v="17"/>
  </r>
  <r>
    <x v="16"/>
    <s v="Exports of goods and services (% of GDP)"/>
    <m/>
    <x v="17"/>
  </r>
  <r>
    <x v="17"/>
    <s v="Exports of goods and services (% of GDP)"/>
    <n v="11.7881938657407"/>
    <x v="17"/>
  </r>
  <r>
    <x v="18"/>
    <s v="Exports of goods and services (% of GDP)"/>
    <n v="32.091333524753402"/>
    <x v="17"/>
  </r>
  <r>
    <x v="19"/>
    <s v="Exports of goods and services (% of GDP)"/>
    <n v="19.6425919430317"/>
    <x v="17"/>
  </r>
  <r>
    <x v="20"/>
    <s v="Exports of goods and services (% of GDP)"/>
    <n v="14.2677661185406"/>
    <x v="17"/>
  </r>
  <r>
    <x v="21"/>
    <s v="Exports of goods and services (% of GDP)"/>
    <m/>
    <x v="17"/>
  </r>
  <r>
    <x v="22"/>
    <s v="Exports of goods and services (% of GDP)"/>
    <n v="33.814925701101402"/>
    <x v="17"/>
  </r>
  <r>
    <x v="23"/>
    <s v="Exports of goods and services (% of GDP)"/>
    <m/>
    <x v="17"/>
  </r>
  <r>
    <x v="24"/>
    <s v="Exports of goods and services (% of GDP)"/>
    <m/>
    <x v="17"/>
  </r>
  <r>
    <x v="25"/>
    <s v="Exports of goods and services (% of GDP)"/>
    <n v="9.1526442307692299"/>
    <x v="17"/>
  </r>
  <r>
    <x v="26"/>
    <s v="Exports of goods and services (% of GDP)"/>
    <m/>
    <x v="17"/>
  </r>
  <r>
    <x v="27"/>
    <s v="Exports of goods and services (% of GDP)"/>
    <n v="21.3950286341794"/>
    <x v="17"/>
  </r>
  <r>
    <x v="0"/>
    <s v="Exports of goods and services (% of GDP)"/>
    <n v="11.7076927839069"/>
    <x v="18"/>
  </r>
  <r>
    <x v="1"/>
    <s v="Exports of goods and services (% of GDP)"/>
    <n v="23.6551978051174"/>
    <x v="18"/>
  </r>
  <r>
    <x v="2"/>
    <s v="Exports of goods and services (% of GDP)"/>
    <n v="16.422741221328899"/>
    <x v="18"/>
  </r>
  <r>
    <x v="3"/>
    <s v="Exports of goods and services (% of GDP)"/>
    <m/>
    <x v="18"/>
  </r>
  <r>
    <x v="4"/>
    <s v="Exports of goods and services (% of GDP)"/>
    <m/>
    <x v="18"/>
  </r>
  <r>
    <x v="5"/>
    <s v="Exports of goods and services (% of GDP)"/>
    <m/>
    <x v="18"/>
  </r>
  <r>
    <x v="6"/>
    <s v="Exports of goods and services (% of GDP)"/>
    <m/>
    <x v="18"/>
  </r>
  <r>
    <x v="7"/>
    <s v="Exports of goods and services (% of GDP)"/>
    <m/>
    <x v="18"/>
  </r>
  <r>
    <x v="8"/>
    <s v="Exports of goods and services (% of GDP)"/>
    <n v="28.935518336561401"/>
    <x v="18"/>
  </r>
  <r>
    <x v="9"/>
    <s v="Exports of goods and services (% of GDP)"/>
    <m/>
    <x v="18"/>
  </r>
  <r>
    <x v="10"/>
    <s v="Exports of goods and services (% of GDP)"/>
    <n v="69.711633644730597"/>
    <x v="18"/>
  </r>
  <r>
    <x v="11"/>
    <s v="Exports of goods and services (% of GDP)"/>
    <n v="17.151038309536101"/>
    <x v="18"/>
  </r>
  <r>
    <x v="12"/>
    <s v="Exports of goods and services (% of GDP)"/>
    <n v="23.192206819033299"/>
    <x v="18"/>
  </r>
  <r>
    <x v="13"/>
    <s v="Exports of goods and services (% of GDP)"/>
    <n v="11.5979848249111"/>
    <x v="18"/>
  </r>
  <r>
    <x v="14"/>
    <s v="Exports of goods and services (% of GDP)"/>
    <m/>
    <x v="18"/>
  </r>
  <r>
    <x v="15"/>
    <s v="Exports of goods and services (% of GDP)"/>
    <m/>
    <x v="18"/>
  </r>
  <r>
    <x v="16"/>
    <s v="Exports of goods and services (% of GDP)"/>
    <m/>
    <x v="18"/>
  </r>
  <r>
    <x v="17"/>
    <s v="Exports of goods and services (% of GDP)"/>
    <n v="10.5716598187042"/>
    <x v="18"/>
  </r>
  <r>
    <x v="18"/>
    <s v="Exports of goods and services (% of GDP)"/>
    <n v="34.4096982244766"/>
    <x v="18"/>
  </r>
  <r>
    <x v="19"/>
    <s v="Exports of goods and services (% of GDP)"/>
    <n v="22.530647872260101"/>
    <x v="18"/>
  </r>
  <r>
    <x v="20"/>
    <s v="Exports of goods and services (% of GDP)"/>
    <n v="14.780998002497499"/>
    <x v="18"/>
  </r>
  <r>
    <x v="21"/>
    <s v="Exports of goods and services (% of GDP)"/>
    <m/>
    <x v="18"/>
  </r>
  <r>
    <x v="22"/>
    <s v="Exports of goods and services (% of GDP)"/>
    <n v="34.770889487870598"/>
    <x v="18"/>
  </r>
  <r>
    <x v="23"/>
    <s v="Exports of goods and services (% of GDP)"/>
    <m/>
    <x v="18"/>
  </r>
  <r>
    <x v="24"/>
    <s v="Exports of goods and services (% of GDP)"/>
    <m/>
    <x v="18"/>
  </r>
  <r>
    <x v="25"/>
    <s v="Exports of goods and services (% of GDP)"/>
    <n v="13.6528581180613"/>
    <x v="18"/>
  </r>
  <r>
    <x v="26"/>
    <s v="Exports of goods and services (% of GDP)"/>
    <m/>
    <x v="18"/>
  </r>
  <r>
    <x v="27"/>
    <s v="Exports of goods and services (% of GDP)"/>
    <n v="22.021695236040198"/>
    <x v="18"/>
  </r>
  <r>
    <x v="0"/>
    <s v="Exports of goods and services (% of GDP)"/>
    <n v="14.1626446403038"/>
    <x v="19"/>
  </r>
  <r>
    <x v="1"/>
    <s v="Exports of goods and services (% of GDP)"/>
    <n v="21.078546799413701"/>
    <x v="19"/>
  </r>
  <r>
    <x v="2"/>
    <s v="Exports of goods and services (% of GDP)"/>
    <n v="17.7786010417657"/>
    <x v="19"/>
  </r>
  <r>
    <x v="3"/>
    <s v="Exports of goods and services (% of GDP)"/>
    <m/>
    <x v="19"/>
  </r>
  <r>
    <x v="4"/>
    <s v="Exports of goods and services (% of GDP)"/>
    <m/>
    <x v="19"/>
  </r>
  <r>
    <x v="5"/>
    <s v="Exports of goods and services (% of GDP)"/>
    <m/>
    <x v="19"/>
  </r>
  <r>
    <x v="6"/>
    <s v="Exports of goods and services (% of GDP)"/>
    <m/>
    <x v="19"/>
  </r>
  <r>
    <x v="7"/>
    <s v="Exports of goods and services (% of GDP)"/>
    <m/>
    <x v="19"/>
  </r>
  <r>
    <x v="8"/>
    <s v="Exports of goods and services (% of GDP)"/>
    <n v="25.753154235687902"/>
    <x v="19"/>
  </r>
  <r>
    <x v="9"/>
    <s v="Exports of goods and services (% of GDP)"/>
    <m/>
    <x v="19"/>
  </r>
  <r>
    <x v="10"/>
    <s v="Exports of goods and services (% of GDP)"/>
    <n v="68.004155427329806"/>
    <x v="19"/>
  </r>
  <r>
    <x v="11"/>
    <s v="Exports of goods and services (% of GDP)"/>
    <n v="14.575381808721801"/>
    <x v="19"/>
  </r>
  <r>
    <x v="12"/>
    <s v="Exports of goods and services (% of GDP)"/>
    <n v="23.1925968768074"/>
    <x v="19"/>
  </r>
  <r>
    <x v="13"/>
    <s v="Exports of goods and services (% of GDP)"/>
    <n v="11.992421178423401"/>
    <x v="19"/>
  </r>
  <r>
    <x v="14"/>
    <s v="Exports of goods and services (% of GDP)"/>
    <m/>
    <x v="19"/>
  </r>
  <r>
    <x v="15"/>
    <s v="Exports of goods and services (% of GDP)"/>
    <m/>
    <x v="19"/>
  </r>
  <r>
    <x v="16"/>
    <s v="Exports of goods and services (% of GDP)"/>
    <m/>
    <x v="19"/>
  </r>
  <r>
    <x v="17"/>
    <s v="Exports of goods and services (% of GDP)"/>
    <n v="11.7848295665774"/>
    <x v="19"/>
  </r>
  <r>
    <x v="18"/>
    <s v="Exports of goods and services (% of GDP)"/>
    <n v="42.024580211101501"/>
    <x v="19"/>
  </r>
  <r>
    <x v="19"/>
    <s v="Exports of goods and services (% of GDP)"/>
    <n v="28.541148540586899"/>
    <x v="19"/>
  </r>
  <r>
    <x v="20"/>
    <s v="Exports of goods and services (% of GDP)"/>
    <n v="21.046063133841901"/>
    <x v="19"/>
  </r>
  <r>
    <x v="21"/>
    <s v="Exports of goods and services (% of GDP)"/>
    <m/>
    <x v="19"/>
  </r>
  <r>
    <x v="22"/>
    <s v="Exports of goods and services (% of GDP)"/>
    <n v="33.7106534063794"/>
    <x v="19"/>
  </r>
  <r>
    <x v="23"/>
    <s v="Exports of goods and services (% of GDP)"/>
    <m/>
    <x v="19"/>
  </r>
  <r>
    <x v="24"/>
    <s v="Exports of goods and services (% of GDP)"/>
    <m/>
    <x v="19"/>
  </r>
  <r>
    <x v="25"/>
    <s v="Exports of goods and services (% of GDP)"/>
    <n v="19.401362770421098"/>
    <x v="19"/>
  </r>
  <r>
    <x v="26"/>
    <s v="Exports of goods and services (% of GDP)"/>
    <m/>
    <x v="19"/>
  </r>
  <r>
    <x v="27"/>
    <s v="Exports of goods and services (% of GDP)"/>
    <n v="21.800002912625398"/>
    <x v="19"/>
  </r>
  <r>
    <x v="0"/>
    <s v="Exports of goods and services (% of GDP)"/>
    <n v="8.8093805647571592"/>
    <x v="20"/>
  </r>
  <r>
    <x v="1"/>
    <s v="Exports of goods and services (% of GDP)"/>
    <n v="27.884748187111398"/>
    <x v="20"/>
  </r>
  <r>
    <x v="2"/>
    <s v="Exports of goods and services (% of GDP)"/>
    <n v="16.944906743021299"/>
    <x v="20"/>
  </r>
  <r>
    <x v="3"/>
    <s v="Exports of goods and services (% of GDP)"/>
    <n v="8.6993182007384107"/>
    <x v="20"/>
  </r>
  <r>
    <x v="4"/>
    <s v="Exports of goods and services (% of GDP)"/>
    <m/>
    <x v="20"/>
  </r>
  <r>
    <x v="5"/>
    <s v="Exports of goods and services (% of GDP)"/>
    <m/>
    <x v="20"/>
  </r>
  <r>
    <x v="6"/>
    <s v="Exports of goods and services (% of GDP)"/>
    <m/>
    <x v="20"/>
  </r>
  <r>
    <x v="7"/>
    <s v="Exports of goods and services (% of GDP)"/>
    <m/>
    <x v="20"/>
  </r>
  <r>
    <x v="8"/>
    <s v="Exports of goods and services (% of GDP)"/>
    <n v="29.516964217512001"/>
    <x v="20"/>
  </r>
  <r>
    <x v="9"/>
    <s v="Exports of goods and services (% of GDP)"/>
    <m/>
    <x v="20"/>
  </r>
  <r>
    <x v="10"/>
    <s v="Exports of goods and services (% of GDP)"/>
    <n v="71.778594297607995"/>
    <x v="20"/>
  </r>
  <r>
    <x v="11"/>
    <s v="Exports of goods and services (% of GDP)"/>
    <n v="13.3427556649841"/>
    <x v="20"/>
  </r>
  <r>
    <x v="12"/>
    <s v="Exports of goods and services (% of GDP)"/>
    <n v="24.843299174211499"/>
    <x v="20"/>
  </r>
  <r>
    <x v="13"/>
    <s v="Exports of goods and services (% of GDP)"/>
    <n v="14.806874349387201"/>
    <x v="20"/>
  </r>
  <r>
    <x v="14"/>
    <s v="Exports of goods and services (% of GDP)"/>
    <m/>
    <x v="20"/>
  </r>
  <r>
    <x v="15"/>
    <s v="Exports of goods and services (% of GDP)"/>
    <n v="10.861895271580201"/>
    <x v="20"/>
  </r>
  <r>
    <x v="16"/>
    <s v="Exports of goods and services (% of GDP)"/>
    <m/>
    <x v="20"/>
  </r>
  <r>
    <x v="17"/>
    <s v="Exports of goods and services (% of GDP)"/>
    <n v="11.5412625387034"/>
    <x v="20"/>
  </r>
  <r>
    <x v="18"/>
    <s v="Exports of goods and services (% of GDP)"/>
    <n v="24.228800356556398"/>
    <x v="20"/>
  </r>
  <r>
    <x v="19"/>
    <s v="Exports of goods and services (% of GDP)"/>
    <n v="24.584222503717299"/>
    <x v="20"/>
  </r>
  <r>
    <x v="20"/>
    <s v="Exports of goods and services (% of GDP)"/>
    <n v="14.436521583244801"/>
    <x v="20"/>
  </r>
  <r>
    <x v="21"/>
    <s v="Exports of goods and services (% of GDP)"/>
    <m/>
    <x v="20"/>
  </r>
  <r>
    <x v="22"/>
    <s v="Exports of goods and services (% of GDP)"/>
    <n v="32.218497752792103"/>
    <x v="20"/>
  </r>
  <r>
    <x v="23"/>
    <s v="Exports of goods and services (% of GDP)"/>
    <m/>
    <x v="20"/>
  </r>
  <r>
    <x v="24"/>
    <s v="Exports of goods and services (% of GDP)"/>
    <m/>
    <x v="20"/>
  </r>
  <r>
    <x v="25"/>
    <s v="Exports of goods and services (% of GDP)"/>
    <n v="19.443841846040101"/>
    <x v="20"/>
  </r>
  <r>
    <x v="26"/>
    <s v="Exports of goods and services (% of GDP)"/>
    <m/>
    <x v="20"/>
  </r>
  <r>
    <x v="27"/>
    <s v="Exports of goods and services (% of GDP)"/>
    <n v="23.367391798508599"/>
    <x v="20"/>
  </r>
  <r>
    <x v="0"/>
    <s v="Exports of goods and services (% of GDP)"/>
    <n v="9.1433505094353897"/>
    <x v="21"/>
  </r>
  <r>
    <x v="1"/>
    <s v="Exports of goods and services (% of GDP)"/>
    <n v="21.867053341210401"/>
    <x v="21"/>
  </r>
  <r>
    <x v="2"/>
    <s v="Exports of goods and services (% of GDP)"/>
    <n v="15.1004602128159"/>
    <x v="21"/>
  </r>
  <r>
    <x v="3"/>
    <s v="Exports of goods and services (% of GDP)"/>
    <n v="11.758075822086701"/>
    <x v="21"/>
  </r>
  <r>
    <x v="4"/>
    <s v="Exports of goods and services (% of GDP)"/>
    <m/>
    <x v="21"/>
  </r>
  <r>
    <x v="5"/>
    <s v="Exports of goods and services (% of GDP)"/>
    <m/>
    <x v="21"/>
  </r>
  <r>
    <x v="6"/>
    <s v="Exports of goods and services (% of GDP)"/>
    <m/>
    <x v="21"/>
  </r>
  <r>
    <x v="7"/>
    <s v="Exports of goods and services (% of GDP)"/>
    <m/>
    <x v="21"/>
  </r>
  <r>
    <x v="8"/>
    <s v="Exports of goods and services (% of GDP)"/>
    <n v="30.4598813209494"/>
    <x v="21"/>
  </r>
  <r>
    <x v="9"/>
    <s v="Exports of goods and services (% of GDP)"/>
    <m/>
    <x v="21"/>
  </r>
  <r>
    <x v="10"/>
    <s v="Exports of goods and services (% of GDP)"/>
    <n v="69.461302789261097"/>
    <x v="21"/>
  </r>
  <r>
    <x v="11"/>
    <s v="Exports of goods and services (% of GDP)"/>
    <n v="11.5052727797532"/>
    <x v="21"/>
  </r>
  <r>
    <x v="12"/>
    <s v="Exports of goods and services (% of GDP)"/>
    <n v="25.665553650392599"/>
    <x v="21"/>
  </r>
  <r>
    <x v="13"/>
    <s v="Exports of goods and services (% of GDP)"/>
    <n v="13.299784945839599"/>
    <x v="21"/>
  </r>
  <r>
    <x v="14"/>
    <s v="Exports of goods and services (% of GDP)"/>
    <m/>
    <x v="21"/>
  </r>
  <r>
    <x v="15"/>
    <s v="Exports of goods and services (% of GDP)"/>
    <n v="9.9495753630477708"/>
    <x v="21"/>
  </r>
  <r>
    <x v="16"/>
    <s v="Exports of goods and services (% of GDP)"/>
    <m/>
    <x v="21"/>
  </r>
  <r>
    <x v="17"/>
    <s v="Exports of goods and services (% of GDP)"/>
    <n v="12.901454300373199"/>
    <x v="21"/>
  </r>
  <r>
    <x v="18"/>
    <s v="Exports of goods and services (% of GDP)"/>
    <n v="22.344165713605101"/>
    <x v="21"/>
  </r>
  <r>
    <x v="19"/>
    <s v="Exports of goods and services (% of GDP)"/>
    <n v="24.155824162405501"/>
    <x v="21"/>
  </r>
  <r>
    <x v="20"/>
    <s v="Exports of goods and services (% of GDP)"/>
    <n v="9.8255055432608103"/>
    <x v="21"/>
  </r>
  <r>
    <x v="21"/>
    <s v="Exports of goods and services (% of GDP)"/>
    <m/>
    <x v="21"/>
  </r>
  <r>
    <x v="22"/>
    <s v="Exports of goods and services (% of GDP)"/>
    <n v="30.459384742074"/>
    <x v="21"/>
  </r>
  <r>
    <x v="23"/>
    <s v="Exports of goods and services (% of GDP)"/>
    <m/>
    <x v="21"/>
  </r>
  <r>
    <x v="24"/>
    <s v="Exports of goods and services (% of GDP)"/>
    <m/>
    <x v="21"/>
  </r>
  <r>
    <x v="25"/>
    <s v="Exports of goods and services (% of GDP)"/>
    <n v="16.0771704180064"/>
    <x v="21"/>
  </r>
  <r>
    <x v="26"/>
    <s v="Exports of goods and services (% of GDP)"/>
    <m/>
    <x v="21"/>
  </r>
  <r>
    <x v="27"/>
    <s v="Exports of goods and services (% of GDP)"/>
    <n v="19.425226419968102"/>
    <x v="21"/>
  </r>
  <r>
    <x v="0"/>
    <s v="Exports of goods and services (% of GDP)"/>
    <n v="10.211974997258499"/>
    <x v="22"/>
  </r>
  <r>
    <x v="1"/>
    <s v="Exports of goods and services (% of GDP)"/>
    <n v="33.214337860807603"/>
    <x v="22"/>
  </r>
  <r>
    <x v="2"/>
    <s v="Exports of goods and services (% of GDP)"/>
    <n v="6.5619714664725297"/>
    <x v="22"/>
  </r>
  <r>
    <x v="3"/>
    <s v="Exports of goods and services (% of GDP)"/>
    <n v="15.686270910296701"/>
    <x v="22"/>
  </r>
  <r>
    <x v="4"/>
    <s v="Exports of goods and services (% of GDP)"/>
    <m/>
    <x v="22"/>
  </r>
  <r>
    <x v="5"/>
    <s v="Exports of goods and services (% of GDP)"/>
    <m/>
    <x v="22"/>
  </r>
  <r>
    <x v="6"/>
    <s v="Exports of goods and services (% of GDP)"/>
    <m/>
    <x v="22"/>
  </r>
  <r>
    <x v="7"/>
    <s v="Exports of goods and services (% of GDP)"/>
    <m/>
    <x v="22"/>
  </r>
  <r>
    <x v="8"/>
    <s v="Exports of goods and services (% of GDP)"/>
    <n v="26.657465998935201"/>
    <x v="22"/>
  </r>
  <r>
    <x v="9"/>
    <s v="Exports of goods and services (% of GDP)"/>
    <m/>
    <x v="22"/>
  </r>
  <r>
    <x v="10"/>
    <s v="Exports of goods and services (% of GDP)"/>
    <n v="62.389094434615998"/>
    <x v="22"/>
  </r>
  <r>
    <x v="11"/>
    <s v="Exports of goods and services (% of GDP)"/>
    <n v="11.2246900150919"/>
    <x v="22"/>
  </r>
  <r>
    <x v="12"/>
    <s v="Exports of goods and services (% of GDP)"/>
    <n v="22.495183044316001"/>
    <x v="22"/>
  </r>
  <r>
    <x v="13"/>
    <s v="Exports of goods and services (% of GDP)"/>
    <n v="14.255043144415501"/>
    <x v="22"/>
  </r>
  <r>
    <x v="14"/>
    <s v="Exports of goods and services (% of GDP)"/>
    <m/>
    <x v="22"/>
  </r>
  <r>
    <x v="15"/>
    <s v="Exports of goods and services (% of GDP)"/>
    <n v="8.3136748837887193"/>
    <x v="22"/>
  </r>
  <r>
    <x v="16"/>
    <s v="Exports of goods and services (% of GDP)"/>
    <m/>
    <x v="22"/>
  </r>
  <r>
    <x v="17"/>
    <s v="Exports of goods and services (% of GDP)"/>
    <n v="11.5915841381589"/>
    <x v="22"/>
  </r>
  <r>
    <x v="18"/>
    <s v="Exports of goods and services (% of GDP)"/>
    <n v="15.978821506868499"/>
    <x v="22"/>
  </r>
  <r>
    <x v="19"/>
    <s v="Exports of goods and services (% of GDP)"/>
    <n v="20.9705721016811"/>
    <x v="22"/>
  </r>
  <r>
    <x v="20"/>
    <s v="Exports of goods and services (% of GDP)"/>
    <n v="11.552558750475299"/>
    <x v="22"/>
  </r>
  <r>
    <x v="21"/>
    <s v="Exports of goods and services (% of GDP)"/>
    <m/>
    <x v="22"/>
  </r>
  <r>
    <x v="22"/>
    <s v="Exports of goods and services (% of GDP)"/>
    <n v="27.356456196215198"/>
    <x v="22"/>
  </r>
  <r>
    <x v="23"/>
    <s v="Exports of goods and services (% of GDP)"/>
    <m/>
    <x v="22"/>
  </r>
  <r>
    <x v="24"/>
    <s v="Exports of goods and services (% of GDP)"/>
    <m/>
    <x v="22"/>
  </r>
  <r>
    <x v="25"/>
    <s v="Exports of goods and services (% of GDP)"/>
    <n v="8.3811710677382294"/>
    <x v="22"/>
  </r>
  <r>
    <x v="26"/>
    <s v="Exports of goods and services (% of GDP)"/>
    <m/>
    <x v="22"/>
  </r>
  <r>
    <x v="27"/>
    <s v="Exports of goods and services (% of GDP)"/>
    <n v="16.925580307515901"/>
    <x v="22"/>
  </r>
  <r>
    <x v="0"/>
    <s v="Exports of goods and services (% of GDP)"/>
    <n v="9.04558008305351"/>
    <x v="23"/>
  </r>
  <r>
    <x v="1"/>
    <s v="Exports of goods and services (% of GDP)"/>
    <n v="30.397603276165999"/>
    <x v="23"/>
  </r>
  <r>
    <x v="2"/>
    <s v="Exports of goods and services (% of GDP)"/>
    <n v="16.418876600336699"/>
    <x v="23"/>
  </r>
  <r>
    <x v="3"/>
    <s v="Exports of goods and services (% of GDP)"/>
    <n v="19.8277482586596"/>
    <x v="23"/>
  </r>
  <r>
    <x v="4"/>
    <s v="Exports of goods and services (% of GDP)"/>
    <m/>
    <x v="23"/>
  </r>
  <r>
    <x v="5"/>
    <s v="Exports of goods and services (% of GDP)"/>
    <m/>
    <x v="23"/>
  </r>
  <r>
    <x v="6"/>
    <s v="Exports of goods and services (% of GDP)"/>
    <m/>
    <x v="23"/>
  </r>
  <r>
    <x v="7"/>
    <s v="Exports of goods and services (% of GDP)"/>
    <m/>
    <x v="23"/>
  </r>
  <r>
    <x v="8"/>
    <s v="Exports of goods and services (% of GDP)"/>
    <n v="25.949932405436702"/>
    <x v="23"/>
  </r>
  <r>
    <x v="9"/>
    <s v="Exports of goods and services (% of GDP)"/>
    <m/>
    <x v="23"/>
  </r>
  <r>
    <x v="10"/>
    <s v="Exports of goods and services (% of GDP)"/>
    <n v="59.1468236401182"/>
    <x v="23"/>
  </r>
  <r>
    <x v="11"/>
    <s v="Exports of goods and services (% of GDP)"/>
    <n v="10.570551504478599"/>
    <x v="23"/>
  </r>
  <r>
    <x v="12"/>
    <s v="Exports of goods and services (% of GDP)"/>
    <n v="20.751567206093799"/>
    <x v="23"/>
  </r>
  <r>
    <x v="13"/>
    <s v="Exports of goods and services (% of GDP)"/>
    <n v="15.9260948830904"/>
    <x v="23"/>
  </r>
  <r>
    <x v="14"/>
    <s v="Exports of goods and services (% of GDP)"/>
    <m/>
    <x v="23"/>
  </r>
  <r>
    <x v="15"/>
    <s v="Exports of goods and services (% of GDP)"/>
    <n v="6.1170828065132303"/>
    <x v="23"/>
  </r>
  <r>
    <x v="16"/>
    <s v="Exports of goods and services (% of GDP)"/>
    <m/>
    <x v="23"/>
  </r>
  <r>
    <x v="17"/>
    <s v="Exports of goods and services (% of GDP)"/>
    <n v="10.231042950237001"/>
    <x v="23"/>
  </r>
  <r>
    <x v="18"/>
    <s v="Exports of goods and services (% of GDP)"/>
    <n v="19.400305598500299"/>
    <x v="23"/>
  </r>
  <r>
    <x v="19"/>
    <s v="Exports of goods and services (% of GDP)"/>
    <n v="20.8249206114142"/>
    <x v="23"/>
  </r>
  <r>
    <x v="20"/>
    <s v="Exports of goods and services (% of GDP)"/>
    <n v="11.581767489545999"/>
    <x v="23"/>
  </r>
  <r>
    <x v="21"/>
    <s v="Exports of goods and services (% of GDP)"/>
    <m/>
    <x v="23"/>
  </r>
  <r>
    <x v="22"/>
    <s v="Exports of goods and services (% of GDP)"/>
    <n v="26.328730849252899"/>
    <x v="23"/>
  </r>
  <r>
    <x v="23"/>
    <s v="Exports of goods and services (% of GDP)"/>
    <m/>
    <x v="23"/>
  </r>
  <r>
    <x v="24"/>
    <s v="Exports of goods and services (% of GDP)"/>
    <m/>
    <x v="23"/>
  </r>
  <r>
    <x v="25"/>
    <s v="Exports of goods and services (% of GDP)"/>
    <n v="8.6594256807022791"/>
    <x v="23"/>
  </r>
  <r>
    <x v="26"/>
    <s v="Exports of goods and services (% of GDP)"/>
    <m/>
    <x v="23"/>
  </r>
  <r>
    <x v="27"/>
    <s v="Exports of goods and services (% of GDP)"/>
    <n v="16.442924822776501"/>
    <x v="23"/>
  </r>
  <r>
    <x v="0"/>
    <s v="Exports of goods and services (% of GDP)"/>
    <n v="11.5040069052475"/>
    <x v="24"/>
  </r>
  <r>
    <x v="1"/>
    <s v="Exports of goods and services (% of GDP)"/>
    <n v="33.4785941985375"/>
    <x v="24"/>
  </r>
  <r>
    <x v="2"/>
    <s v="Exports of goods and services (% of GDP)"/>
    <n v="18.0178072509275"/>
    <x v="24"/>
  </r>
  <r>
    <x v="3"/>
    <s v="Exports of goods and services (% of GDP)"/>
    <n v="9.0189063935135998"/>
    <x v="24"/>
  </r>
  <r>
    <x v="4"/>
    <s v="Exports of goods and services (% of GDP)"/>
    <m/>
    <x v="24"/>
  </r>
  <r>
    <x v="5"/>
    <s v="Exports of goods and services (% of GDP)"/>
    <m/>
    <x v="24"/>
  </r>
  <r>
    <x v="6"/>
    <s v="Exports of goods and services (% of GDP)"/>
    <m/>
    <x v="24"/>
  </r>
  <r>
    <x v="7"/>
    <s v="Exports of goods and services (% of GDP)"/>
    <m/>
    <x v="24"/>
  </r>
  <r>
    <x v="8"/>
    <s v="Exports of goods and services (% of GDP)"/>
    <n v="26.749892652163901"/>
    <x v="24"/>
  </r>
  <r>
    <x v="9"/>
    <s v="Exports of goods and services (% of GDP)"/>
    <m/>
    <x v="24"/>
  </r>
  <r>
    <x v="10"/>
    <s v="Exports of goods and services (% of GDP)"/>
    <n v="55.511154498588802"/>
    <x v="24"/>
  </r>
  <r>
    <x v="11"/>
    <s v="Exports of goods and services (% of GDP)"/>
    <n v="13.282972366288"/>
    <x v="24"/>
  </r>
  <r>
    <x v="12"/>
    <s v="Exports of goods and services (% of GDP)"/>
    <n v="28.370623659987299"/>
    <x v="24"/>
  </r>
  <r>
    <x v="13"/>
    <s v="Exports of goods and services (% of GDP)"/>
    <n v="19.064372433231501"/>
    <x v="24"/>
  </r>
  <r>
    <x v="14"/>
    <s v="Exports of goods and services (% of GDP)"/>
    <m/>
    <x v="24"/>
  </r>
  <r>
    <x v="15"/>
    <s v="Exports of goods and services (% of GDP)"/>
    <n v="4.1456601026757296"/>
    <x v="24"/>
  </r>
  <r>
    <x v="16"/>
    <s v="Exports of goods and services (% of GDP)"/>
    <m/>
    <x v="24"/>
  </r>
  <r>
    <x v="17"/>
    <s v="Exports of goods and services (% of GDP)"/>
    <n v="10.652450103762501"/>
    <x v="24"/>
  </r>
  <r>
    <x v="18"/>
    <s v="Exports of goods and services (% of GDP)"/>
    <n v="16.4430387120894"/>
    <x v="24"/>
  </r>
  <r>
    <x v="19"/>
    <s v="Exports of goods and services (% of GDP)"/>
    <n v="22.905326429343901"/>
    <x v="24"/>
  </r>
  <r>
    <x v="20"/>
    <s v="Exports of goods and services (% of GDP)"/>
    <n v="12.631433634054099"/>
    <x v="24"/>
  </r>
  <r>
    <x v="21"/>
    <s v="Exports of goods and services (% of GDP)"/>
    <m/>
    <x v="24"/>
  </r>
  <r>
    <x v="22"/>
    <s v="Exports of goods and services (% of GDP)"/>
    <n v="28.804001404914601"/>
    <x v="24"/>
  </r>
  <r>
    <x v="23"/>
    <s v="Exports of goods and services (% of GDP)"/>
    <m/>
    <x v="24"/>
  </r>
  <r>
    <x v="24"/>
    <s v="Exports of goods and services (% of GDP)"/>
    <m/>
    <x v="24"/>
  </r>
  <r>
    <x v="25"/>
    <s v="Exports of goods and services (% of GDP)"/>
    <n v="12.692422639177501"/>
    <x v="24"/>
  </r>
  <r>
    <x v="26"/>
    <s v="Exports of goods and services (% of GDP)"/>
    <m/>
    <x v="24"/>
  </r>
  <r>
    <x v="27"/>
    <s v="Exports of goods and services (% of GDP)"/>
    <n v="20.561138437133302"/>
    <x v="24"/>
  </r>
  <r>
    <x v="0"/>
    <s v="Exports of goods and services (% of GDP)"/>
    <n v="11.026619161184801"/>
    <x v="25"/>
  </r>
  <r>
    <x v="1"/>
    <s v="Exports of goods and services (% of GDP)"/>
    <n v="33.448771058462199"/>
    <x v="25"/>
  </r>
  <r>
    <x v="2"/>
    <s v="Exports of goods and services (% of GDP)"/>
    <n v="11.906635100695301"/>
    <x v="25"/>
  </r>
  <r>
    <x v="3"/>
    <s v="Exports of goods and services (% of GDP)"/>
    <n v="16.9978189127898"/>
    <x v="25"/>
  </r>
  <r>
    <x v="4"/>
    <s v="Exports of goods and services (% of GDP)"/>
    <m/>
    <x v="25"/>
  </r>
  <r>
    <x v="5"/>
    <s v="Exports of goods and services (% of GDP)"/>
    <m/>
    <x v="25"/>
  </r>
  <r>
    <x v="6"/>
    <s v="Exports of goods and services (% of GDP)"/>
    <m/>
    <x v="25"/>
  </r>
  <r>
    <x v="7"/>
    <s v="Exports of goods and services (% of GDP)"/>
    <m/>
    <x v="25"/>
  </r>
  <r>
    <x v="8"/>
    <s v="Exports of goods and services (% of GDP)"/>
    <n v="25.2989329600959"/>
    <x v="25"/>
  </r>
  <r>
    <x v="9"/>
    <s v="Exports of goods and services (% of GDP)"/>
    <m/>
    <x v="25"/>
  </r>
  <r>
    <x v="10"/>
    <s v="Exports of goods and services (% of GDP)"/>
    <n v="54.8575401672814"/>
    <x v="25"/>
  </r>
  <r>
    <x v="11"/>
    <s v="Exports of goods and services (% of GDP)"/>
    <n v="12.2416548115918"/>
    <x v="25"/>
  </r>
  <r>
    <x v="12"/>
    <s v="Exports of goods and services (% of GDP)"/>
    <n v="24.191475140110001"/>
    <x v="25"/>
  </r>
  <r>
    <x v="13"/>
    <s v="Exports of goods and services (% of GDP)"/>
    <n v="17.0165380643252"/>
    <x v="25"/>
  </r>
  <r>
    <x v="14"/>
    <s v="Exports of goods and services (% of GDP)"/>
    <m/>
    <x v="25"/>
  </r>
  <r>
    <x v="15"/>
    <s v="Exports of goods and services (% of GDP)"/>
    <n v="2.85959765123402"/>
    <x v="25"/>
  </r>
  <r>
    <x v="16"/>
    <s v="Exports of goods and services (% of GDP)"/>
    <m/>
    <x v="25"/>
  </r>
  <r>
    <x v="17"/>
    <s v="Exports of goods and services (% of GDP)"/>
    <n v="11.529214356244401"/>
    <x v="25"/>
  </r>
  <r>
    <x v="18"/>
    <s v="Exports of goods and services (% of GDP)"/>
    <n v="14.7661996361284"/>
    <x v="25"/>
  </r>
  <r>
    <x v="19"/>
    <s v="Exports of goods and services (% of GDP)"/>
    <n v="20.685952380441201"/>
    <x v="25"/>
  </r>
  <r>
    <x v="20"/>
    <s v="Exports of goods and services (% of GDP)"/>
    <n v="10.782506693740499"/>
    <x v="25"/>
  </r>
  <r>
    <x v="21"/>
    <s v="Exports of goods and services (% of GDP)"/>
    <m/>
    <x v="25"/>
  </r>
  <r>
    <x v="22"/>
    <s v="Exports of goods and services (% of GDP)"/>
    <n v="26.012009237875301"/>
    <x v="25"/>
  </r>
  <r>
    <x v="23"/>
    <s v="Exports of goods and services (% of GDP)"/>
    <m/>
    <x v="25"/>
  </r>
  <r>
    <x v="24"/>
    <s v="Exports of goods and services (% of GDP)"/>
    <m/>
    <x v="25"/>
  </r>
  <r>
    <x v="25"/>
    <s v="Exports of goods and services (% of GDP)"/>
    <n v="13.738524870531"/>
    <x v="25"/>
  </r>
  <r>
    <x v="26"/>
    <s v="Exports of goods and services (% of GDP)"/>
    <m/>
    <x v="25"/>
  </r>
  <r>
    <x v="27"/>
    <s v="Exports of goods and services (% of GDP)"/>
    <n v="22.205774710416499"/>
    <x v="25"/>
  </r>
  <r>
    <x v="0"/>
    <s v="Exports of goods and services (% of GDP)"/>
    <n v="11.7232284021254"/>
    <x v="26"/>
  </r>
  <r>
    <x v="1"/>
    <s v="Exports of goods and services (% of GDP)"/>
    <n v="23.281370600862001"/>
    <x v="26"/>
  </r>
  <r>
    <x v="2"/>
    <s v="Exports of goods and services (% of GDP)"/>
    <n v="13.394104417129499"/>
    <x v="26"/>
  </r>
  <r>
    <x v="3"/>
    <s v="Exports of goods and services (% of GDP)"/>
    <n v="16.440377258858401"/>
    <x v="26"/>
  </r>
  <r>
    <x v="4"/>
    <s v="Exports of goods and services (% of GDP)"/>
    <m/>
    <x v="26"/>
  </r>
  <r>
    <x v="5"/>
    <s v="Exports of goods and services (% of GDP)"/>
    <m/>
    <x v="26"/>
  </r>
  <r>
    <x v="6"/>
    <s v="Exports of goods and services (% of GDP)"/>
    <n v="31.091899879753498"/>
    <x v="26"/>
  </r>
  <r>
    <x v="7"/>
    <s v="Exports of goods and services (% of GDP)"/>
    <m/>
    <x v="26"/>
  </r>
  <r>
    <x v="8"/>
    <s v="Exports of goods and services (% of GDP)"/>
    <n v="25.848355272679601"/>
    <x v="26"/>
  </r>
  <r>
    <x v="9"/>
    <s v="Exports of goods and services (% of GDP)"/>
    <m/>
    <x v="26"/>
  </r>
  <r>
    <x v="10"/>
    <s v="Exports of goods and services (% of GDP)"/>
    <n v="55.174749371079201"/>
    <x v="26"/>
  </r>
  <r>
    <x v="11"/>
    <s v="Exports of goods and services (% of GDP)"/>
    <n v="12.1485579091572"/>
    <x v="26"/>
  </r>
  <r>
    <x v="12"/>
    <s v="Exports of goods and services (% of GDP)"/>
    <n v="22.910708611375899"/>
    <x v="26"/>
  </r>
  <r>
    <x v="13"/>
    <s v="Exports of goods and services (% of GDP)"/>
    <n v="14.4912388792245"/>
    <x v="26"/>
  </r>
  <r>
    <x v="14"/>
    <s v="Exports of goods and services (% of GDP)"/>
    <m/>
    <x v="26"/>
  </r>
  <r>
    <x v="15"/>
    <s v="Exports of goods and services (% of GDP)"/>
    <n v="2.5246878812151299"/>
    <x v="26"/>
  </r>
  <r>
    <x v="16"/>
    <s v="Exports of goods and services (% of GDP)"/>
    <m/>
    <x v="26"/>
  </r>
  <r>
    <x v="17"/>
    <s v="Exports of goods and services (% of GDP)"/>
    <n v="11.6622999066829"/>
    <x v="26"/>
  </r>
  <r>
    <x v="18"/>
    <s v="Exports of goods and services (% of GDP)"/>
    <n v="12.7763132748443"/>
    <x v="26"/>
  </r>
  <r>
    <x v="19"/>
    <s v="Exports of goods and services (% of GDP)"/>
    <n v="20.000424634495399"/>
    <x v="26"/>
  </r>
  <r>
    <x v="20"/>
    <s v="Exports of goods and services (% of GDP)"/>
    <n v="12.584317915545499"/>
    <x v="26"/>
  </r>
  <r>
    <x v="21"/>
    <s v="Exports of goods and services (% of GDP)"/>
    <m/>
    <x v="26"/>
  </r>
  <r>
    <x v="22"/>
    <s v="Exports of goods and services (% of GDP)"/>
    <n v="23.718198736307201"/>
    <x v="26"/>
  </r>
  <r>
    <x v="23"/>
    <s v="Exports of goods and services (% of GDP)"/>
    <m/>
    <x v="26"/>
  </r>
  <r>
    <x v="24"/>
    <s v="Exports of goods and services (% of GDP)"/>
    <m/>
    <x v="26"/>
  </r>
  <r>
    <x v="25"/>
    <s v="Exports of goods and services (% of GDP)"/>
    <n v="12.8101121198077"/>
    <x v="26"/>
  </r>
  <r>
    <x v="26"/>
    <s v="Exports of goods and services (% of GDP)"/>
    <m/>
    <x v="26"/>
  </r>
  <r>
    <x v="27"/>
    <s v="Exports of goods and services (% of GDP)"/>
    <n v="24.049410539440299"/>
    <x v="26"/>
  </r>
  <r>
    <x v="0"/>
    <s v="Exports of goods and services (% of GDP)"/>
    <n v="9.7449029355383292"/>
    <x v="27"/>
  </r>
  <r>
    <x v="1"/>
    <s v="Exports of goods and services (% of GDP)"/>
    <n v="16.6942564322114"/>
    <x v="27"/>
  </r>
  <r>
    <x v="2"/>
    <s v="Exports of goods and services (% of GDP)"/>
    <n v="15.4492482751286"/>
    <x v="27"/>
  </r>
  <r>
    <x v="3"/>
    <s v="Exports of goods and services (% of GDP)"/>
    <n v="15.2451958635359"/>
    <x v="27"/>
  </r>
  <r>
    <x v="4"/>
    <s v="Exports of goods and services (% of GDP)"/>
    <m/>
    <x v="27"/>
  </r>
  <r>
    <x v="5"/>
    <s v="Exports of goods and services (% of GDP)"/>
    <m/>
    <x v="27"/>
  </r>
  <r>
    <x v="6"/>
    <s v="Exports of goods and services (% of GDP)"/>
    <n v="31.631352984221401"/>
    <x v="27"/>
  </r>
  <r>
    <x v="7"/>
    <s v="Exports of goods and services (% of GDP)"/>
    <m/>
    <x v="27"/>
  </r>
  <r>
    <x v="8"/>
    <s v="Exports of goods and services (% of GDP)"/>
    <n v="21.305221347435602"/>
    <x v="27"/>
  </r>
  <r>
    <x v="9"/>
    <s v="Exports of goods and services (% of GDP)"/>
    <m/>
    <x v="27"/>
  </r>
  <r>
    <x v="10"/>
    <s v="Exports of goods and services (% of GDP)"/>
    <m/>
    <x v="27"/>
  </r>
  <r>
    <x v="11"/>
    <s v="Exports of goods and services (% of GDP)"/>
    <n v="16.564550338242501"/>
    <x v="27"/>
  </r>
  <r>
    <x v="12"/>
    <s v="Exports of goods and services (% of GDP)"/>
    <n v="25.452527649152302"/>
    <x v="27"/>
  </r>
  <r>
    <x v="13"/>
    <s v="Exports of goods and services (% of GDP)"/>
    <n v="15.561726454991"/>
    <x v="27"/>
  </r>
  <r>
    <x v="14"/>
    <s v="Exports of goods and services (% of GDP)"/>
    <m/>
    <x v="27"/>
  </r>
  <r>
    <x v="15"/>
    <s v="Exports of goods and services (% of GDP)"/>
    <n v="6.6411833032582104"/>
    <x v="27"/>
  </r>
  <r>
    <x v="16"/>
    <s v="Exports of goods and services (% of GDP)"/>
    <m/>
    <x v="27"/>
  </r>
  <r>
    <x v="17"/>
    <s v="Exports of goods and services (% of GDP)"/>
    <n v="11.8132750845547"/>
    <x v="27"/>
  </r>
  <r>
    <x v="18"/>
    <s v="Exports of goods and services (% of GDP)"/>
    <n v="11.7706828688996"/>
    <x v="27"/>
  </r>
  <r>
    <x v="19"/>
    <s v="Exports of goods and services (% of GDP)"/>
    <n v="20.8029218654525"/>
    <x v="27"/>
  </r>
  <r>
    <x v="20"/>
    <s v="Exports of goods and services (% of GDP)"/>
    <n v="7.4500525246594202"/>
    <x v="27"/>
  </r>
  <r>
    <x v="21"/>
    <s v="Exports of goods and services (% of GDP)"/>
    <m/>
    <x v="27"/>
  </r>
  <r>
    <x v="22"/>
    <s v="Exports of goods and services (% of GDP)"/>
    <n v="25.1922754329692"/>
    <x v="27"/>
  </r>
  <r>
    <x v="23"/>
    <s v="Exports of goods and services (% of GDP)"/>
    <m/>
    <x v="27"/>
  </r>
  <r>
    <x v="24"/>
    <s v="Exports of goods and services (% of GDP)"/>
    <m/>
    <x v="27"/>
  </r>
  <r>
    <x v="25"/>
    <s v="Exports of goods and services (% of GDP)"/>
    <n v="8.2470987512090197"/>
    <x v="27"/>
  </r>
  <r>
    <x v="26"/>
    <s v="Exports of goods and services (% of GDP)"/>
    <m/>
    <x v="27"/>
  </r>
  <r>
    <x v="27"/>
    <s v="Exports of goods and services (% of GDP)"/>
    <n v="24.015710461456699"/>
    <x v="27"/>
  </r>
  <r>
    <x v="0"/>
    <s v="Exports of goods and services (% of GDP)"/>
    <n v="12.590770050801501"/>
    <x v="28"/>
  </r>
  <r>
    <x v="1"/>
    <s v="Exports of goods and services (% of GDP)"/>
    <n v="16.0329748693173"/>
    <x v="28"/>
  </r>
  <r>
    <x v="2"/>
    <s v="Exports of goods and services (% of GDP)"/>
    <n v="15.0191432988044"/>
    <x v="28"/>
  </r>
  <r>
    <x v="3"/>
    <s v="Exports of goods and services (% of GDP)"/>
    <n v="17.9849835813887"/>
    <x v="28"/>
  </r>
  <r>
    <x v="4"/>
    <s v="Exports of goods and services (% of GDP)"/>
    <m/>
    <x v="28"/>
  </r>
  <r>
    <x v="5"/>
    <s v="Exports of goods and services (% of GDP)"/>
    <m/>
    <x v="28"/>
  </r>
  <r>
    <x v="6"/>
    <s v="Exports of goods and services (% of GDP)"/>
    <n v="26.872585491998901"/>
    <x v="28"/>
  </r>
  <r>
    <x v="7"/>
    <s v="Exports of goods and services (% of GDP)"/>
    <m/>
    <x v="28"/>
  </r>
  <r>
    <x v="8"/>
    <s v="Exports of goods and services (% of GDP)"/>
    <n v="22.3712135609168"/>
    <x v="28"/>
  </r>
  <r>
    <x v="9"/>
    <s v="Exports of goods and services (% of GDP)"/>
    <m/>
    <x v="28"/>
  </r>
  <r>
    <x v="10"/>
    <s v="Exports of goods and services (% of GDP)"/>
    <m/>
    <x v="28"/>
  </r>
  <r>
    <x v="11"/>
    <s v="Exports of goods and services (% of GDP)"/>
    <n v="16.299242540370599"/>
    <x v="28"/>
  </r>
  <r>
    <x v="12"/>
    <s v="Exports of goods and services (% of GDP)"/>
    <n v="23.322204617474"/>
    <x v="28"/>
  </r>
  <r>
    <x v="13"/>
    <s v="Exports of goods and services (% of GDP)"/>
    <n v="14.5807207561982"/>
    <x v="28"/>
  </r>
  <r>
    <x v="14"/>
    <s v="Exports of goods and services (% of GDP)"/>
    <m/>
    <x v="28"/>
  </r>
  <r>
    <x v="15"/>
    <s v="Exports of goods and services (% of GDP)"/>
    <n v="8.0709180299478902"/>
    <x v="28"/>
  </r>
  <r>
    <x v="16"/>
    <s v="Exports of goods and services (% of GDP)"/>
    <m/>
    <x v="28"/>
  </r>
  <r>
    <x v="17"/>
    <s v="Exports of goods and services (% of GDP)"/>
    <n v="11.4471692715783"/>
    <x v="28"/>
  </r>
  <r>
    <x v="18"/>
    <s v="Exports of goods and services (% of GDP)"/>
    <n v="17.980878530827098"/>
    <x v="28"/>
  </r>
  <r>
    <x v="19"/>
    <s v="Exports of goods and services (% of GDP)"/>
    <n v="18.299882123371098"/>
    <x v="28"/>
  </r>
  <r>
    <x v="20"/>
    <s v="Exports of goods and services (% of GDP)"/>
    <n v="6.61955980927653"/>
    <x v="28"/>
  </r>
  <r>
    <x v="21"/>
    <s v="Exports of goods and services (% of GDP)"/>
    <m/>
    <x v="28"/>
  </r>
  <r>
    <x v="22"/>
    <s v="Exports of goods and services (% of GDP)"/>
    <n v="26.076438630159199"/>
    <x v="28"/>
  </r>
  <r>
    <x v="23"/>
    <s v="Exports of goods and services (% of GDP)"/>
    <n v="35.174418604651201"/>
    <x v="28"/>
  </r>
  <r>
    <x v="24"/>
    <s v="Exports of goods and services (% of GDP)"/>
    <m/>
    <x v="28"/>
  </r>
  <r>
    <x v="25"/>
    <s v="Exports of goods and services (% of GDP)"/>
    <n v="7.5726713134833501"/>
    <x v="28"/>
  </r>
  <r>
    <x v="26"/>
    <s v="Exports of goods and services (% of GDP)"/>
    <m/>
    <x v="28"/>
  </r>
  <r>
    <x v="27"/>
    <s v="Exports of goods and services (% of GDP)"/>
    <n v="23.740346198431801"/>
    <x v="28"/>
  </r>
  <r>
    <x v="0"/>
    <s v="Exports of goods and services (% of GDP)"/>
    <n v="9.7457439898609906"/>
    <x v="29"/>
  </r>
  <r>
    <x v="1"/>
    <s v="Exports of goods and services (% of GDP)"/>
    <n v="20.7070366380926"/>
    <x v="29"/>
  </r>
  <r>
    <x v="2"/>
    <s v="Exports of goods and services (% of GDP)"/>
    <n v="13.781424506434201"/>
    <x v="29"/>
  </r>
  <r>
    <x v="3"/>
    <s v="Exports of goods and services (% of GDP)"/>
    <n v="14.8824091345951"/>
    <x v="29"/>
  </r>
  <r>
    <x v="4"/>
    <s v="Exports of goods and services (% of GDP)"/>
    <m/>
    <x v="29"/>
  </r>
  <r>
    <x v="5"/>
    <s v="Exports of goods and services (% of GDP)"/>
    <m/>
    <x v="29"/>
  </r>
  <r>
    <x v="6"/>
    <s v="Exports of goods and services (% of GDP)"/>
    <n v="31.0936007644729"/>
    <x v="29"/>
  </r>
  <r>
    <x v="7"/>
    <s v="Exports of goods and services (% of GDP)"/>
    <m/>
    <x v="29"/>
  </r>
  <r>
    <x v="8"/>
    <s v="Exports of goods and services (% of GDP)"/>
    <n v="23.0330294282825"/>
    <x v="29"/>
  </r>
  <r>
    <x v="9"/>
    <s v="Exports of goods and services (% of GDP)"/>
    <m/>
    <x v="29"/>
  </r>
  <r>
    <x v="10"/>
    <s v="Exports of goods and services (% of GDP)"/>
    <m/>
    <x v="29"/>
  </r>
  <r>
    <x v="11"/>
    <s v="Exports of goods and services (% of GDP)"/>
    <n v="18.4488139496654"/>
    <x v="29"/>
  </r>
  <r>
    <x v="12"/>
    <s v="Exports of goods and services (% of GDP)"/>
    <n v="18.779910185951199"/>
    <x v="29"/>
  </r>
  <r>
    <x v="13"/>
    <s v="Exports of goods and services (% of GDP)"/>
    <n v="15.8101938599128"/>
    <x v="29"/>
  </r>
  <r>
    <x v="14"/>
    <s v="Exports of goods and services (% of GDP)"/>
    <m/>
    <x v="29"/>
  </r>
  <r>
    <x v="15"/>
    <s v="Exports of goods and services (% of GDP)"/>
    <n v="8.2234681776385106"/>
    <x v="29"/>
  </r>
  <r>
    <x v="16"/>
    <s v="Exports of goods and services (% of GDP)"/>
    <m/>
    <x v="29"/>
  </r>
  <r>
    <x v="17"/>
    <s v="Exports of goods and services (% of GDP)"/>
    <n v="11.0676046555915"/>
    <x v="29"/>
  </r>
  <r>
    <x v="18"/>
    <s v="Exports of goods and services (% of GDP)"/>
    <n v="32.537011013431801"/>
    <x v="29"/>
  </r>
  <r>
    <x v="19"/>
    <s v="Exports of goods and services (% of GDP)"/>
    <n v="16.599714998100598"/>
    <x v="29"/>
  </r>
  <r>
    <x v="20"/>
    <s v="Exports of goods and services (% of GDP)"/>
    <n v="6.1392889513756304"/>
    <x v="29"/>
  </r>
  <r>
    <x v="21"/>
    <s v="Exports of goods and services (% of GDP)"/>
    <m/>
    <x v="29"/>
  </r>
  <r>
    <x v="22"/>
    <s v="Exports of goods and services (% of GDP)"/>
    <n v="27.2602038183182"/>
    <x v="29"/>
  </r>
  <r>
    <x v="23"/>
    <s v="Exports of goods and services (% of GDP)"/>
    <n v="35.942028985507299"/>
    <x v="29"/>
  </r>
  <r>
    <x v="24"/>
    <s v="Exports of goods and services (% of GDP)"/>
    <m/>
    <x v="29"/>
  </r>
  <r>
    <x v="25"/>
    <s v="Exports of goods and services (% of GDP)"/>
    <n v="7.9544006990522096"/>
    <x v="29"/>
  </r>
  <r>
    <x v="26"/>
    <s v="Exports of goods and services (% of GDP)"/>
    <m/>
    <x v="29"/>
  </r>
  <r>
    <x v="27"/>
    <s v="Exports of goods and services (% of GDP)"/>
    <n v="23.342283061218499"/>
    <x v="29"/>
  </r>
  <r>
    <x v="0"/>
    <s v="Exports of goods and services (% of GDP)"/>
    <n v="7.8729922941231099"/>
    <x v="30"/>
  </r>
  <r>
    <x v="1"/>
    <s v="Exports of goods and services (% of GDP)"/>
    <n v="20.1829143997955"/>
    <x v="30"/>
  </r>
  <r>
    <x v="2"/>
    <s v="Exports of goods and services (% of GDP)"/>
    <n v="13.4802082509051"/>
    <x v="30"/>
  </r>
  <r>
    <x v="3"/>
    <s v="Exports of goods and services (% of GDP)"/>
    <n v="14.252137379910099"/>
    <x v="30"/>
  </r>
  <r>
    <x v="4"/>
    <s v="Exports of goods and services (% of GDP)"/>
    <m/>
    <x v="30"/>
  </r>
  <r>
    <x v="5"/>
    <s v="Exports of goods and services (% of GDP)"/>
    <m/>
    <x v="30"/>
  </r>
  <r>
    <x v="6"/>
    <s v="Exports of goods and services (% of GDP)"/>
    <n v="31.075235796648698"/>
    <x v="30"/>
  </r>
  <r>
    <x v="7"/>
    <s v="Exports of goods and services (% of GDP)"/>
    <m/>
    <x v="30"/>
  </r>
  <r>
    <x v="8"/>
    <s v="Exports of goods and services (% of GDP)"/>
    <n v="25.692605964936401"/>
    <x v="30"/>
  </r>
  <r>
    <x v="9"/>
    <s v="Exports of goods and services (% of GDP)"/>
    <m/>
    <x v="30"/>
  </r>
  <r>
    <x v="10"/>
    <s v="Exports of goods and services (% of GDP)"/>
    <m/>
    <x v="30"/>
  </r>
  <r>
    <x v="11"/>
    <s v="Exports of goods and services (% of GDP)"/>
    <n v="16.602148814521499"/>
    <x v="30"/>
  </r>
  <r>
    <x v="12"/>
    <s v="Exports of goods and services (% of GDP)"/>
    <n v="23.782074306798702"/>
    <x v="30"/>
  </r>
  <r>
    <x v="13"/>
    <s v="Exports of goods and services (% of GDP)"/>
    <n v="15.653591808212401"/>
    <x v="30"/>
  </r>
  <r>
    <x v="14"/>
    <s v="Exports of goods and services (% of GDP)"/>
    <m/>
    <x v="30"/>
  </r>
  <r>
    <x v="15"/>
    <s v="Exports of goods and services (% of GDP)"/>
    <n v="8.1740709157334202"/>
    <x v="30"/>
  </r>
  <r>
    <x v="16"/>
    <s v="Exports of goods and services (% of GDP)"/>
    <m/>
    <x v="30"/>
  </r>
  <r>
    <x v="17"/>
    <s v="Exports of goods and services (% of GDP)"/>
    <n v="10.527309120445601"/>
    <x v="30"/>
  </r>
  <r>
    <x v="18"/>
    <s v="Exports of goods and services (% of GDP)"/>
    <n v="24.948359255964199"/>
    <x v="30"/>
  </r>
  <r>
    <x v="19"/>
    <s v="Exports of goods and services (% of GDP)"/>
    <n v="14.8110928766013"/>
    <x v="30"/>
  </r>
  <r>
    <x v="20"/>
    <s v="Exports of goods and services (% of GDP)"/>
    <n v="5.6146091553814204"/>
    <x v="30"/>
  </r>
  <r>
    <x v="21"/>
    <s v="Exports of goods and services (% of GDP)"/>
    <m/>
    <x v="30"/>
  </r>
  <r>
    <x v="22"/>
    <s v="Exports of goods and services (% of GDP)"/>
    <n v="30.180804514829799"/>
    <x v="30"/>
  </r>
  <r>
    <x v="23"/>
    <s v="Exports of goods and services (% of GDP)"/>
    <n v="27.8463648834019"/>
    <x v="30"/>
  </r>
  <r>
    <x v="24"/>
    <s v="Exports of goods and services (% of GDP)"/>
    <n v="12.62114884801"/>
    <x v="30"/>
  </r>
  <r>
    <x v="25"/>
    <s v="Exports of goods and services (% of GDP)"/>
    <n v="7.2407208592858998"/>
    <x v="30"/>
  </r>
  <r>
    <x v="26"/>
    <s v="Exports of goods and services (% of GDP)"/>
    <m/>
    <x v="30"/>
  </r>
  <r>
    <x v="27"/>
    <s v="Exports of goods and services (% of GDP)"/>
    <n v="22.866845570673199"/>
    <x v="30"/>
  </r>
  <r>
    <x v="0"/>
    <s v="Exports of goods and services (% of GDP)"/>
    <n v="9.9173777005917891"/>
    <x v="31"/>
  </r>
  <r>
    <x v="1"/>
    <s v="Exports of goods and services (% of GDP)"/>
    <n v="19.998880461067198"/>
    <x v="31"/>
  </r>
  <r>
    <x v="2"/>
    <s v="Exports of goods and services (% of GDP)"/>
    <n v="11.9516330624513"/>
    <x v="31"/>
  </r>
  <r>
    <x v="3"/>
    <s v="Exports of goods and services (% of GDP)"/>
    <n v="20.011489300588799"/>
    <x v="31"/>
  </r>
  <r>
    <x v="4"/>
    <s v="Exports of goods and services (% of GDP)"/>
    <m/>
    <x v="31"/>
  </r>
  <r>
    <x v="5"/>
    <s v="Exports of goods and services (% of GDP)"/>
    <m/>
    <x v="31"/>
  </r>
  <r>
    <x v="6"/>
    <s v="Exports of goods and services (% of GDP)"/>
    <n v="30.3308789199472"/>
    <x v="31"/>
  </r>
  <r>
    <x v="7"/>
    <s v="Exports of goods and services (% of GDP)"/>
    <n v="10.311445483210701"/>
    <x v="31"/>
  </r>
  <r>
    <x v="8"/>
    <s v="Exports of goods and services (% of GDP)"/>
    <n v="27.0416323240194"/>
    <x v="31"/>
  </r>
  <r>
    <x v="9"/>
    <s v="Exports of goods and services (% of GDP)"/>
    <m/>
    <x v="31"/>
  </r>
  <r>
    <x v="10"/>
    <s v="Exports of goods and services (% of GDP)"/>
    <m/>
    <x v="31"/>
  </r>
  <r>
    <x v="11"/>
    <s v="Exports of goods and services (% of GDP)"/>
    <n v="18.1096252223516"/>
    <x v="31"/>
  </r>
  <r>
    <x v="12"/>
    <s v="Exports of goods and services (% of GDP)"/>
    <n v="23.2715838361785"/>
    <x v="31"/>
  </r>
  <r>
    <x v="13"/>
    <s v="Exports of goods and services (% of GDP)"/>
    <n v="16.2112685675379"/>
    <x v="31"/>
  </r>
  <r>
    <x v="14"/>
    <s v="Exports of goods and services (% of GDP)"/>
    <m/>
    <x v="31"/>
  </r>
  <r>
    <x v="15"/>
    <s v="Exports of goods and services (% of GDP)"/>
    <n v="9.1737558087143203"/>
    <x v="31"/>
  </r>
  <r>
    <x v="16"/>
    <s v="Exports of goods and services (% of GDP)"/>
    <m/>
    <x v="31"/>
  </r>
  <r>
    <x v="17"/>
    <s v="Exports of goods and services (% of GDP)"/>
    <n v="11.4907512863386"/>
    <x v="31"/>
  </r>
  <r>
    <x v="18"/>
    <s v="Exports of goods and services (% of GDP)"/>
    <n v="21.821984018169999"/>
    <x v="31"/>
  </r>
  <r>
    <x v="19"/>
    <s v="Exports of goods and services (% of GDP)"/>
    <n v="14.0521592483564"/>
    <x v="31"/>
  </r>
  <r>
    <x v="20"/>
    <s v="Exports of goods and services (% of GDP)"/>
    <n v="7.3166044426604602"/>
    <x v="31"/>
  </r>
  <r>
    <x v="21"/>
    <s v="Exports of goods and services (% of GDP)"/>
    <m/>
    <x v="31"/>
  </r>
  <r>
    <x v="22"/>
    <s v="Exports of goods and services (% of GDP)"/>
    <n v="28.741086895218199"/>
    <x v="31"/>
  </r>
  <r>
    <x v="23"/>
    <s v="Exports of goods and services (% of GDP)"/>
    <n v="33.210059171597599"/>
    <x v="31"/>
  </r>
  <r>
    <x v="24"/>
    <s v="Exports of goods and services (% of GDP)"/>
    <n v="10.2620611945616"/>
    <x v="31"/>
  </r>
  <r>
    <x v="25"/>
    <s v="Exports of goods and services (% of GDP)"/>
    <n v="7.4644303084318597"/>
    <x v="31"/>
  </r>
  <r>
    <x v="26"/>
    <s v="Exports of goods and services (% of GDP)"/>
    <m/>
    <x v="31"/>
  </r>
  <r>
    <x v="27"/>
    <s v="Exports of goods and services (% of GDP)"/>
    <n v="23.883468965744601"/>
    <x v="31"/>
  </r>
  <r>
    <x v="0"/>
    <s v="Exports of goods and services (% of GDP)"/>
    <n v="8.7491805224806694"/>
    <x v="32"/>
  </r>
  <r>
    <x v="1"/>
    <s v="Exports of goods and services (% of GDP)"/>
    <n v="20.547022248546298"/>
    <x v="32"/>
  </r>
  <r>
    <x v="2"/>
    <s v="Exports of goods and services (% of GDP)"/>
    <n v="11.090746389273599"/>
    <x v="32"/>
  </r>
  <r>
    <x v="3"/>
    <s v="Exports of goods and services (% of GDP)"/>
    <n v="18.040534786681398"/>
    <x v="32"/>
  </r>
  <r>
    <x v="4"/>
    <s v="Exports of goods and services (% of GDP)"/>
    <m/>
    <x v="32"/>
  </r>
  <r>
    <x v="5"/>
    <s v="Exports of goods and services (% of GDP)"/>
    <m/>
    <x v="32"/>
  </r>
  <r>
    <x v="6"/>
    <s v="Exports of goods and services (% of GDP)"/>
    <n v="24.874613539125399"/>
    <x v="32"/>
  </r>
  <r>
    <x v="7"/>
    <s v="Exports of goods and services (% of GDP)"/>
    <n v="7.5715114031697004"/>
    <x v="32"/>
  </r>
  <r>
    <x v="8"/>
    <s v="Exports of goods and services (% of GDP)"/>
    <n v="26.260374190635101"/>
    <x v="32"/>
  </r>
  <r>
    <x v="9"/>
    <s v="Exports of goods and services (% of GDP)"/>
    <m/>
    <x v="32"/>
  </r>
  <r>
    <x v="10"/>
    <s v="Exports of goods and services (% of GDP)"/>
    <m/>
    <x v="32"/>
  </r>
  <r>
    <x v="11"/>
    <s v="Exports of goods and services (% of GDP)"/>
    <n v="16.383778997714401"/>
    <x v="32"/>
  </r>
  <r>
    <x v="12"/>
    <s v="Exports of goods and services (% of GDP)"/>
    <n v="23.206224718642599"/>
    <x v="32"/>
  </r>
  <r>
    <x v="13"/>
    <s v="Exports of goods and services (% of GDP)"/>
    <n v="15.629103351586"/>
    <x v="32"/>
  </r>
  <r>
    <x v="14"/>
    <s v="Exports of goods and services (% of GDP)"/>
    <m/>
    <x v="32"/>
  </r>
  <r>
    <x v="15"/>
    <s v="Exports of goods and services (% of GDP)"/>
    <n v="10.608722755186101"/>
    <x v="32"/>
  </r>
  <r>
    <x v="16"/>
    <s v="Exports of goods and services (% of GDP)"/>
    <m/>
    <x v="32"/>
  </r>
  <r>
    <x v="17"/>
    <s v="Exports of goods and services (% of GDP)"/>
    <n v="15.9597261292976"/>
    <x v="32"/>
  </r>
  <r>
    <x v="18"/>
    <s v="Exports of goods and services (% of GDP)"/>
    <n v="17.2512271307452"/>
    <x v="32"/>
  </r>
  <r>
    <x v="19"/>
    <s v="Exports of goods and services (% of GDP)"/>
    <n v="16.755075719451099"/>
    <x v="32"/>
  </r>
  <r>
    <x v="20"/>
    <s v="Exports of goods and services (% of GDP)"/>
    <n v="5.5684081898581201"/>
    <x v="32"/>
  </r>
  <r>
    <x v="21"/>
    <s v="Exports of goods and services (% of GDP)"/>
    <m/>
    <x v="32"/>
  </r>
  <r>
    <x v="22"/>
    <s v="Exports of goods and services (% of GDP)"/>
    <n v="31.770374080318302"/>
    <x v="32"/>
  </r>
  <r>
    <x v="23"/>
    <s v="Exports of goods and services (% of GDP)"/>
    <n v="9.6754250386398795"/>
    <x v="32"/>
  </r>
  <r>
    <x v="24"/>
    <s v="Exports of goods and services (% of GDP)"/>
    <n v="12.4418378862935"/>
    <x v="32"/>
  </r>
  <r>
    <x v="25"/>
    <s v="Exports of goods and services (% of GDP)"/>
    <n v="8.7610888047182893"/>
    <x v="32"/>
  </r>
  <r>
    <x v="26"/>
    <s v="Exports of goods and services (% of GDP)"/>
    <m/>
    <x v="32"/>
  </r>
  <r>
    <x v="27"/>
    <s v="Exports of goods and services (% of GDP)"/>
    <n v="27.2272631145545"/>
    <x v="32"/>
  </r>
  <r>
    <x v="0"/>
    <s v="Exports of goods and services (% of GDP)"/>
    <n v="9.3819608463691502"/>
    <x v="33"/>
  </r>
  <r>
    <x v="1"/>
    <s v="Exports of goods and services (% of GDP)"/>
    <n v="13.9179431059235"/>
    <x v="33"/>
  </r>
  <r>
    <x v="2"/>
    <s v="Exports of goods and services (% of GDP)"/>
    <n v="13.323446113405"/>
    <x v="33"/>
  </r>
  <r>
    <x v="3"/>
    <s v="Exports of goods and services (% of GDP)"/>
    <n v="19.9699860649587"/>
    <x v="33"/>
  </r>
  <r>
    <x v="4"/>
    <s v="Exports of goods and services (% of GDP)"/>
    <m/>
    <x v="33"/>
  </r>
  <r>
    <x v="5"/>
    <s v="Exports of goods and services (% of GDP)"/>
    <m/>
    <x v="33"/>
  </r>
  <r>
    <x v="6"/>
    <s v="Exports of goods and services (% of GDP)"/>
    <n v="26.518473919975001"/>
    <x v="33"/>
  </r>
  <r>
    <x v="7"/>
    <s v="Exports of goods and services (% of GDP)"/>
    <n v="10.8453501424747"/>
    <x v="33"/>
  </r>
  <r>
    <x v="8"/>
    <s v="Exports of goods and services (% of GDP)"/>
    <n v="38.903630169804202"/>
    <x v="33"/>
  </r>
  <r>
    <x v="9"/>
    <s v="Exports of goods and services (% of GDP)"/>
    <m/>
    <x v="33"/>
  </r>
  <r>
    <x v="10"/>
    <s v="Exports of goods and services (% of GDP)"/>
    <m/>
    <x v="33"/>
  </r>
  <r>
    <x v="11"/>
    <s v="Exports of goods and services (% of GDP)"/>
    <n v="15.317519441438501"/>
    <x v="33"/>
  </r>
  <r>
    <x v="12"/>
    <s v="Exports of goods and services (% of GDP)"/>
    <n v="16.130302433024301"/>
    <x v="33"/>
  </r>
  <r>
    <x v="13"/>
    <s v="Exports of goods and services (% of GDP)"/>
    <n v="15.8535047661871"/>
    <x v="33"/>
  </r>
  <r>
    <x v="14"/>
    <s v="Exports of goods and services (% of GDP)"/>
    <m/>
    <x v="33"/>
  </r>
  <r>
    <x v="15"/>
    <s v="Exports of goods and services (% of GDP)"/>
    <n v="9.3929125506249296"/>
    <x v="33"/>
  </r>
  <r>
    <x v="16"/>
    <s v="Exports of goods and services (% of GDP)"/>
    <m/>
    <x v="33"/>
  </r>
  <r>
    <x v="17"/>
    <s v="Exports of goods and services (% of GDP)"/>
    <n v="18.432964105599901"/>
    <x v="33"/>
  </r>
  <r>
    <x v="18"/>
    <s v="Exports of goods and services (% of GDP)"/>
    <n v="20.427926880320001"/>
    <x v="33"/>
  </r>
  <r>
    <x v="19"/>
    <s v="Exports of goods and services (% of GDP)"/>
    <n v="15.642106474350401"/>
    <x v="33"/>
  </r>
  <r>
    <x v="20"/>
    <s v="Exports of goods and services (% of GDP)"/>
    <n v="5.1752459789237397"/>
    <x v="33"/>
  </r>
  <r>
    <x v="21"/>
    <s v="Exports of goods and services (% of GDP)"/>
    <m/>
    <x v="33"/>
  </r>
  <r>
    <x v="22"/>
    <s v="Exports of goods and services (% of GDP)"/>
    <n v="33.801006875982097"/>
    <x v="33"/>
  </r>
  <r>
    <x v="23"/>
    <s v="Exports of goods and services (% of GDP)"/>
    <n v="28.554860973608999"/>
    <x v="33"/>
  </r>
  <r>
    <x v="24"/>
    <s v="Exports of goods and services (% of GDP)"/>
    <n v="17.983107857500499"/>
    <x v="33"/>
  </r>
  <r>
    <x v="25"/>
    <s v="Exports of goods and services (% of GDP)"/>
    <n v="7.0625229772864104"/>
    <x v="33"/>
  </r>
  <r>
    <x v="26"/>
    <s v="Exports of goods and services (% of GDP)"/>
    <m/>
    <x v="33"/>
  </r>
  <r>
    <x v="27"/>
    <s v="Exports of goods and services (% of GDP)"/>
    <n v="30.719616903180398"/>
    <x v="33"/>
  </r>
  <r>
    <x v="0"/>
    <s v="Exports of goods and services (% of GDP)"/>
    <n v="10.2717650485534"/>
    <x v="34"/>
  </r>
  <r>
    <x v="1"/>
    <s v="Exports of goods and services (% of GDP)"/>
    <n v="21.0893997914837"/>
    <x v="34"/>
  </r>
  <r>
    <x v="2"/>
    <s v="Exports of goods and services (% of GDP)"/>
    <n v="16.105602000139999"/>
    <x v="34"/>
  </r>
  <r>
    <x v="3"/>
    <s v="Exports of goods and services (% of GDP)"/>
    <n v="20.0734315005624"/>
    <x v="34"/>
  </r>
  <r>
    <x v="4"/>
    <s v="Exports of goods and services (% of GDP)"/>
    <m/>
    <x v="34"/>
  </r>
  <r>
    <x v="5"/>
    <s v="Exports of goods and services (% of GDP)"/>
    <m/>
    <x v="34"/>
  </r>
  <r>
    <x v="6"/>
    <s v="Exports of goods and services (% of GDP)"/>
    <n v="22.7523273546939"/>
    <x v="34"/>
  </r>
  <r>
    <x v="7"/>
    <s v="Exports of goods and services (% of GDP)"/>
    <n v="6.4207265558997504"/>
    <x v="34"/>
  </r>
  <r>
    <x v="8"/>
    <s v="Exports of goods and services (% of GDP)"/>
    <n v="37.0402808384151"/>
    <x v="34"/>
  </r>
  <r>
    <x v="9"/>
    <s v="Exports of goods and services (% of GDP)"/>
    <m/>
    <x v="34"/>
  </r>
  <r>
    <x v="10"/>
    <s v="Exports of goods and services (% of GDP)"/>
    <m/>
    <x v="34"/>
  </r>
  <r>
    <x v="11"/>
    <s v="Exports of goods and services (% of GDP)"/>
    <n v="22.032269385151899"/>
    <x v="34"/>
  </r>
  <r>
    <x v="12"/>
    <s v="Exports of goods and services (% of GDP)"/>
    <n v="29.6328216871614"/>
    <x v="34"/>
  </r>
  <r>
    <x v="13"/>
    <s v="Exports of goods and services (% of GDP)"/>
    <n v="19.4427753535685"/>
    <x v="34"/>
  </r>
  <r>
    <x v="14"/>
    <s v="Exports of goods and services (% of GDP)"/>
    <m/>
    <x v="34"/>
  </r>
  <r>
    <x v="15"/>
    <s v="Exports of goods and services (% of GDP)"/>
    <n v="11.9987149882928"/>
    <x v="34"/>
  </r>
  <r>
    <x v="16"/>
    <s v="Exports of goods and services (% of GDP)"/>
    <m/>
    <x v="34"/>
  </r>
  <r>
    <x v="17"/>
    <s v="Exports of goods and services (% of GDP)"/>
    <n v="18.993937934080101"/>
    <x v="34"/>
  </r>
  <r>
    <x v="18"/>
    <s v="Exports of goods and services (% of GDP)"/>
    <n v="13.1398768688125"/>
    <x v="34"/>
  </r>
  <r>
    <x v="19"/>
    <s v="Exports of goods and services (% of GDP)"/>
    <n v="16.531956941764602"/>
    <x v="34"/>
  </r>
  <r>
    <x v="20"/>
    <s v="Exports of goods and services (% of GDP)"/>
    <n v="6.3025859502178596"/>
    <x v="34"/>
  </r>
  <r>
    <x v="21"/>
    <s v="Exports of goods and services (% of GDP)"/>
    <m/>
    <x v="34"/>
  </r>
  <r>
    <x v="22"/>
    <s v="Exports of goods and services (% of GDP)"/>
    <n v="33.812883795787798"/>
    <x v="34"/>
  </r>
  <r>
    <x v="23"/>
    <s v="Exports of goods and services (% of GDP)"/>
    <n v="43.036345011726901"/>
    <x v="34"/>
  </r>
  <r>
    <x v="24"/>
    <s v="Exports of goods and services (% of GDP)"/>
    <n v="20.6139807131078"/>
    <x v="34"/>
  </r>
  <r>
    <x v="25"/>
    <s v="Exports of goods and services (% of GDP)"/>
    <n v="8.7405318310012792"/>
    <x v="34"/>
  </r>
  <r>
    <x v="26"/>
    <s v="Exports of goods and services (% of GDP)"/>
    <n v="32.950395463607499"/>
    <x v="34"/>
  </r>
  <r>
    <x v="27"/>
    <s v="Exports of goods and services (% of GDP)"/>
    <n v="34.599976054595501"/>
    <x v="34"/>
  </r>
  <r>
    <x v="0"/>
    <s v="Exports of goods and services (% of GDP)"/>
    <n v="12.9263428540091"/>
    <x v="35"/>
  </r>
  <r>
    <x v="1"/>
    <s v="Exports of goods and services (% of GDP)"/>
    <n v="20.637097025107199"/>
    <x v="35"/>
  </r>
  <r>
    <x v="2"/>
    <s v="Exports of goods and services (% of GDP)"/>
    <n v="21.9290175473215"/>
    <x v="35"/>
  </r>
  <r>
    <x v="3"/>
    <s v="Exports of goods and services (% of GDP)"/>
    <n v="19.763396765424101"/>
    <x v="35"/>
  </r>
  <r>
    <x v="4"/>
    <s v="Exports of goods and services (% of GDP)"/>
    <m/>
    <x v="35"/>
  </r>
  <r>
    <x v="5"/>
    <s v="Exports of goods and services (% of GDP)"/>
    <m/>
    <x v="35"/>
  </r>
  <r>
    <x v="6"/>
    <s v="Exports of goods and services (% of GDP)"/>
    <n v="21.118807761501898"/>
    <x v="35"/>
  </r>
  <r>
    <x v="7"/>
    <s v="Exports of goods and services (% of GDP)"/>
    <n v="9.1335638608841307"/>
    <x v="35"/>
  </r>
  <r>
    <x v="8"/>
    <s v="Exports of goods and services (% of GDP)"/>
    <n v="32.5917012190029"/>
    <x v="35"/>
  </r>
  <r>
    <x v="9"/>
    <s v="Exports of goods and services (% of GDP)"/>
    <m/>
    <x v="35"/>
  </r>
  <r>
    <x v="10"/>
    <s v="Exports of goods and services (% of GDP)"/>
    <m/>
    <x v="35"/>
  </r>
  <r>
    <x v="11"/>
    <s v="Exports of goods and services (% of GDP)"/>
    <n v="24.134484672260601"/>
    <x v="35"/>
  </r>
  <r>
    <x v="12"/>
    <s v="Exports of goods and services (% of GDP)"/>
    <n v="30.3684813752133"/>
    <x v="35"/>
  </r>
  <r>
    <x v="13"/>
    <s v="Exports of goods and services (% of GDP)"/>
    <n v="19.561067659239701"/>
    <x v="35"/>
  </r>
  <r>
    <x v="14"/>
    <s v="Exports of goods and services (% of GDP)"/>
    <n v="49.345825413920799"/>
    <x v="35"/>
  </r>
  <r>
    <x v="15"/>
    <s v="Exports of goods and services (% of GDP)"/>
    <n v="13.214528227837199"/>
    <x v="35"/>
  </r>
  <r>
    <x v="16"/>
    <s v="Exports of goods and services (% of GDP)"/>
    <m/>
    <x v="35"/>
  </r>
  <r>
    <x v="17"/>
    <s v="Exports of goods and services (% of GDP)"/>
    <n v="24.973158982548199"/>
    <x v="35"/>
  </r>
  <r>
    <x v="18"/>
    <s v="Exports of goods and services (% of GDP)"/>
    <n v="16.095086253383901"/>
    <x v="35"/>
  </r>
  <r>
    <x v="19"/>
    <s v="Exports of goods and services (% of GDP)"/>
    <n v="17.680762888573302"/>
    <x v="35"/>
  </r>
  <r>
    <x v="20"/>
    <s v="Exports of goods and services (% of GDP)"/>
    <n v="5.1507919127310497"/>
    <x v="35"/>
  </r>
  <r>
    <x v="21"/>
    <s v="Exports of goods and services (% of GDP)"/>
    <m/>
    <x v="35"/>
  </r>
  <r>
    <x v="22"/>
    <s v="Exports of goods and services (% of GDP)"/>
    <n v="35.597629130900998"/>
    <x v="35"/>
  </r>
  <r>
    <x v="23"/>
    <s v="Exports of goods and services (% of GDP)"/>
    <n v="65.585443604713603"/>
    <x v="35"/>
  </r>
  <r>
    <x v="24"/>
    <s v="Exports of goods and services (% of GDP)"/>
    <n v="24.074722728025201"/>
    <x v="35"/>
  </r>
  <r>
    <x v="25"/>
    <s v="Exports of goods and services (% of GDP)"/>
    <n v="11.7919923330531"/>
    <x v="35"/>
  </r>
  <r>
    <x v="26"/>
    <s v="Exports of goods and services (% of GDP)"/>
    <n v="32.901026714793197"/>
    <x v="35"/>
  </r>
  <r>
    <x v="27"/>
    <s v="Exports of goods and services (% of GDP)"/>
    <n v="38.236343611557402"/>
    <x v="35"/>
  </r>
  <r>
    <x v="0"/>
    <s v="Exports of goods and services (% of GDP)"/>
    <n v="5.8203210186241003"/>
    <x v="36"/>
  </r>
  <r>
    <x v="1"/>
    <s v="Exports of goods and services (% of GDP)"/>
    <n v="23.260419735717701"/>
    <x v="36"/>
  </r>
  <r>
    <x v="2"/>
    <s v="Exports of goods and services (% of GDP)"/>
    <n v="17.54350924621"/>
    <x v="36"/>
  </r>
  <r>
    <x v="3"/>
    <s v="Exports of goods and services (% of GDP)"/>
    <n v="18.323683734394798"/>
    <x v="36"/>
  </r>
  <r>
    <x v="4"/>
    <s v="Exports of goods and services (% of GDP)"/>
    <m/>
    <x v="36"/>
  </r>
  <r>
    <x v="5"/>
    <s v="Exports of goods and services (% of GDP)"/>
    <m/>
    <x v="36"/>
  </r>
  <r>
    <x v="6"/>
    <s v="Exports of goods and services (% of GDP)"/>
    <n v="19.195101138151699"/>
    <x v="36"/>
  </r>
  <r>
    <x v="7"/>
    <s v="Exports of goods and services (% of GDP)"/>
    <n v="11.327630930177699"/>
    <x v="36"/>
  </r>
  <r>
    <x v="8"/>
    <s v="Exports of goods and services (% of GDP)"/>
    <n v="25.2006019494243"/>
    <x v="36"/>
  </r>
  <r>
    <x v="9"/>
    <s v="Exports of goods and services (% of GDP)"/>
    <m/>
    <x v="36"/>
  </r>
  <r>
    <x v="10"/>
    <s v="Exports of goods and services (% of GDP)"/>
    <m/>
    <x v="36"/>
  </r>
  <r>
    <x v="11"/>
    <s v="Exports of goods and services (% of GDP)"/>
    <n v="20.492433526918202"/>
    <x v="36"/>
  </r>
  <r>
    <x v="12"/>
    <s v="Exports of goods and services (% of GDP)"/>
    <n v="22.8257528499141"/>
    <x v="36"/>
  </r>
  <r>
    <x v="13"/>
    <s v="Exports of goods and services (% of GDP)"/>
    <n v="18.871477613841002"/>
    <x v="36"/>
  </r>
  <r>
    <x v="14"/>
    <s v="Exports of goods and services (% of GDP)"/>
    <n v="55.267130203304497"/>
    <x v="36"/>
  </r>
  <r>
    <x v="15"/>
    <s v="Exports of goods and services (% of GDP)"/>
    <n v="13.175605555840701"/>
    <x v="36"/>
  </r>
  <r>
    <x v="16"/>
    <s v="Exports of goods and services (% of GDP)"/>
    <m/>
    <x v="36"/>
  </r>
  <r>
    <x v="17"/>
    <s v="Exports of goods and services (% of GDP)"/>
    <n v="22.817575136694298"/>
    <x v="36"/>
  </r>
  <r>
    <x v="18"/>
    <s v="Exports of goods and services (% of GDP)"/>
    <n v="16.847358108153699"/>
    <x v="36"/>
  </r>
  <r>
    <x v="19"/>
    <s v="Exports of goods and services (% of GDP)"/>
    <n v="18.541298153198799"/>
    <x v="36"/>
  </r>
  <r>
    <x v="20"/>
    <s v="Exports of goods and services (% of GDP)"/>
    <n v="6.0313700208094101"/>
    <x v="36"/>
  </r>
  <r>
    <x v="21"/>
    <s v="Exports of goods and services (% of GDP)"/>
    <m/>
    <x v="36"/>
  </r>
  <r>
    <x v="22"/>
    <s v="Exports of goods and services (% of GDP)"/>
    <n v="34.973337777037202"/>
    <x v="36"/>
  </r>
  <r>
    <x v="23"/>
    <s v="Exports of goods and services (% of GDP)"/>
    <n v="76.588320953971603"/>
    <x v="36"/>
  </r>
  <r>
    <x v="24"/>
    <s v="Exports of goods and services (% of GDP)"/>
    <n v="19.9371649429537"/>
    <x v="36"/>
  </r>
  <r>
    <x v="25"/>
    <s v="Exports of goods and services (% of GDP)"/>
    <n v="11.961113273590099"/>
    <x v="36"/>
  </r>
  <r>
    <x v="26"/>
    <s v="Exports of goods and services (% of GDP)"/>
    <n v="28.478909218585301"/>
    <x v="36"/>
  </r>
  <r>
    <x v="27"/>
    <s v="Exports of goods and services (% of GDP)"/>
    <n v="36.130072878676003"/>
    <x v="36"/>
  </r>
  <r>
    <x v="0"/>
    <s v="Exports of goods and services (% of GDP)"/>
    <n v="9.8354725787631292"/>
    <x v="37"/>
  </r>
  <r>
    <x v="1"/>
    <s v="Exports of goods and services (% of GDP)"/>
    <n v="24.880033598240299"/>
    <x v="37"/>
  </r>
  <r>
    <x v="2"/>
    <s v="Exports of goods and services (% of GDP)"/>
    <n v="18.543836083838801"/>
    <x v="37"/>
  </r>
  <r>
    <x v="3"/>
    <s v="Exports of goods and services (% of GDP)"/>
    <n v="18.142946384335399"/>
    <x v="37"/>
  </r>
  <r>
    <x v="4"/>
    <s v="Exports of goods and services (% of GDP)"/>
    <m/>
    <x v="37"/>
  </r>
  <r>
    <x v="5"/>
    <s v="Exports of goods and services (% of GDP)"/>
    <m/>
    <x v="37"/>
  </r>
  <r>
    <x v="6"/>
    <s v="Exports of goods and services (% of GDP)"/>
    <n v="19.5610874799331"/>
    <x v="37"/>
  </r>
  <r>
    <x v="7"/>
    <s v="Exports of goods and services (% of GDP)"/>
    <n v="10.454393956227101"/>
    <x v="37"/>
  </r>
  <r>
    <x v="8"/>
    <s v="Exports of goods and services (% of GDP)"/>
    <n v="22.686387351634998"/>
    <x v="37"/>
  </r>
  <r>
    <x v="9"/>
    <s v="Exports of goods and services (% of GDP)"/>
    <m/>
    <x v="37"/>
  </r>
  <r>
    <x v="10"/>
    <s v="Exports of goods and services (% of GDP)"/>
    <n v="8.7867522811760708"/>
    <x v="37"/>
  </r>
  <r>
    <x v="11"/>
    <s v="Exports of goods and services (% of GDP)"/>
    <n v="21.866142303983398"/>
    <x v="37"/>
  </r>
  <r>
    <x v="12"/>
    <s v="Exports of goods and services (% of GDP)"/>
    <n v="21.356509346862001"/>
    <x v="37"/>
  </r>
  <r>
    <x v="13"/>
    <s v="Exports of goods and services (% of GDP)"/>
    <n v="23.8265592935591"/>
    <x v="37"/>
  </r>
  <r>
    <x v="14"/>
    <s v="Exports of goods and services (% of GDP)"/>
    <n v="54.787091014363597"/>
    <x v="37"/>
  </r>
  <r>
    <x v="15"/>
    <s v="Exports of goods and services (% of GDP)"/>
    <n v="12.0068848630758"/>
    <x v="37"/>
  </r>
  <r>
    <x v="16"/>
    <s v="Exports of goods and services (% of GDP)"/>
    <m/>
    <x v="37"/>
  </r>
  <r>
    <x v="17"/>
    <s v="Exports of goods and services (% of GDP)"/>
    <n v="26.327835073597299"/>
    <x v="37"/>
  </r>
  <r>
    <x v="18"/>
    <s v="Exports of goods and services (% of GDP)"/>
    <n v="19.419545183751399"/>
    <x v="37"/>
  </r>
  <r>
    <x v="19"/>
    <s v="Exports of goods and services (% of GDP)"/>
    <n v="16.824139664257402"/>
    <x v="37"/>
  </r>
  <r>
    <x v="20"/>
    <s v="Exports of goods and services (% of GDP)"/>
    <n v="7.79733936179779"/>
    <x v="37"/>
  </r>
  <r>
    <x v="21"/>
    <s v="Exports of goods and services (% of GDP)"/>
    <m/>
    <x v="37"/>
  </r>
  <r>
    <x v="22"/>
    <s v="Exports of goods and services (% of GDP)"/>
    <n v="36.538118080766303"/>
    <x v="37"/>
  </r>
  <r>
    <x v="23"/>
    <s v="Exports of goods and services (% of GDP)"/>
    <n v="87.238276508414003"/>
    <x v="37"/>
  </r>
  <r>
    <x v="24"/>
    <s v="Exports of goods and services (% of GDP)"/>
    <n v="16.218106716780099"/>
    <x v="37"/>
  </r>
  <r>
    <x v="25"/>
    <s v="Exports of goods and services (% of GDP)"/>
    <n v="13.359513678728"/>
    <x v="37"/>
  </r>
  <r>
    <x v="26"/>
    <s v="Exports of goods and services (% of GDP)"/>
    <n v="27.371257557966"/>
    <x v="37"/>
  </r>
  <r>
    <x v="27"/>
    <s v="Exports of goods and services (% of GDP)"/>
    <n v="37.595272662931897"/>
    <x v="37"/>
  </r>
  <r>
    <x v="0"/>
    <s v="Exports of goods and services (% of GDP)"/>
    <n v="7.9997501249375302"/>
    <x v="38"/>
  </r>
  <r>
    <x v="1"/>
    <s v="Exports of goods and services (% of GDP)"/>
    <n v="22.548400370649301"/>
    <x v="38"/>
  </r>
  <r>
    <x v="2"/>
    <s v="Exports of goods and services (% of GDP)"/>
    <n v="18.491626062163299"/>
    <x v="38"/>
  </r>
  <r>
    <x v="3"/>
    <s v="Exports of goods and services (% of GDP)"/>
    <n v="11.354312036347199"/>
    <x v="38"/>
  </r>
  <r>
    <x v="4"/>
    <s v="Exports of goods and services (% of GDP)"/>
    <m/>
    <x v="38"/>
  </r>
  <r>
    <x v="5"/>
    <s v="Exports of goods and services (% of GDP)"/>
    <m/>
    <x v="38"/>
  </r>
  <r>
    <x v="6"/>
    <s v="Exports of goods and services (% of GDP)"/>
    <n v="21.2867043609338"/>
    <x v="38"/>
  </r>
  <r>
    <x v="7"/>
    <s v="Exports of goods and services (% of GDP)"/>
    <n v="9.9004714510214793"/>
    <x v="38"/>
  </r>
  <r>
    <x v="8"/>
    <s v="Exports of goods and services (% of GDP)"/>
    <n v="20.1692608275285"/>
    <x v="38"/>
  </r>
  <r>
    <x v="9"/>
    <s v="Exports of goods and services (% of GDP)"/>
    <m/>
    <x v="38"/>
  </r>
  <r>
    <x v="10"/>
    <s v="Exports of goods and services (% of GDP)"/>
    <n v="10.789766407119"/>
    <x v="38"/>
  </r>
  <r>
    <x v="11"/>
    <s v="Exports of goods and services (% of GDP)"/>
    <n v="21.520575698302501"/>
    <x v="38"/>
  </r>
  <r>
    <x v="12"/>
    <s v="Exports of goods and services (% of GDP)"/>
    <n v="32.770162095219298"/>
    <x v="38"/>
  </r>
  <r>
    <x v="13"/>
    <s v="Exports of goods and services (% of GDP)"/>
    <n v="21.253952516843199"/>
    <x v="38"/>
  </r>
  <r>
    <x v="14"/>
    <s v="Exports of goods and services (% of GDP)"/>
    <n v="48.5282925000852"/>
    <x v="38"/>
  </r>
  <r>
    <x v="15"/>
    <s v="Exports of goods and services (% of GDP)"/>
    <n v="10.930931670008"/>
    <x v="38"/>
  </r>
  <r>
    <x v="16"/>
    <s v="Exports of goods and services (% of GDP)"/>
    <m/>
    <x v="38"/>
  </r>
  <r>
    <x v="17"/>
    <s v="Exports of goods and services (% of GDP)"/>
    <n v="22.8220512223903"/>
    <x v="38"/>
  </r>
  <r>
    <x v="18"/>
    <s v="Exports of goods and services (% of GDP)"/>
    <n v="19.334440514707101"/>
    <x v="38"/>
  </r>
  <r>
    <x v="19"/>
    <s v="Exports of goods and services (% of GDP)"/>
    <n v="17.781705500580301"/>
    <x v="38"/>
  </r>
  <r>
    <x v="20"/>
    <s v="Exports of goods and services (% of GDP)"/>
    <n v="5.5850635761597003"/>
    <x v="38"/>
  </r>
  <r>
    <x v="21"/>
    <s v="Exports of goods and services (% of GDP)"/>
    <m/>
    <x v="38"/>
  </r>
  <r>
    <x v="22"/>
    <s v="Exports of goods and services (% of GDP)"/>
    <n v="36.243818677270603"/>
    <x v="38"/>
  </r>
  <r>
    <x v="23"/>
    <s v="Exports of goods and services (% of GDP)"/>
    <n v="48.915042219626301"/>
    <x v="38"/>
  </r>
  <r>
    <x v="24"/>
    <s v="Exports of goods and services (% of GDP)"/>
    <n v="12.397729165892599"/>
    <x v="38"/>
  </r>
  <r>
    <x v="25"/>
    <s v="Exports of goods and services (% of GDP)"/>
    <n v="9.6390475875961794"/>
    <x v="38"/>
  </r>
  <r>
    <x v="26"/>
    <s v="Exports of goods and services (% of GDP)"/>
    <n v="24.6177635661228"/>
    <x v="38"/>
  </r>
  <r>
    <x v="27"/>
    <s v="Exports of goods and services (% of GDP)"/>
    <n v="43.393084957841602"/>
    <x v="38"/>
  </r>
  <r>
    <x v="0"/>
    <s v="Exports of goods and services (% of GDP)"/>
    <n v="7.5757575757575797"/>
    <x v="39"/>
  </r>
  <r>
    <x v="1"/>
    <s v="Exports of goods and services (% of GDP)"/>
    <n v="20.048327158466499"/>
    <x v="39"/>
  </r>
  <r>
    <x v="2"/>
    <s v="Exports of goods and services (% of GDP)"/>
    <n v="18.318120771037101"/>
    <x v="39"/>
  </r>
  <r>
    <x v="3"/>
    <s v="Exports of goods and services (% of GDP)"/>
    <n v="12.7113696950828"/>
    <x v="39"/>
  </r>
  <r>
    <x v="4"/>
    <s v="Exports of goods and services (% of GDP)"/>
    <m/>
    <x v="39"/>
  </r>
  <r>
    <x v="5"/>
    <s v="Exports of goods and services (% of GDP)"/>
    <m/>
    <x v="39"/>
  </r>
  <r>
    <x v="6"/>
    <s v="Exports of goods and services (% of GDP)"/>
    <n v="21.639518262082198"/>
    <x v="39"/>
  </r>
  <r>
    <x v="7"/>
    <s v="Exports of goods and services (% of GDP)"/>
    <n v="12.249111964651901"/>
    <x v="39"/>
  </r>
  <r>
    <x v="8"/>
    <s v="Exports of goods and services (% of GDP)"/>
    <n v="20.8327351985075"/>
    <x v="39"/>
  </r>
  <r>
    <x v="9"/>
    <s v="Exports of goods and services (% of GDP)"/>
    <m/>
    <x v="39"/>
  </r>
  <r>
    <x v="10"/>
    <s v="Exports of goods and services (% of GDP)"/>
    <n v="14.5540968764147"/>
    <x v="39"/>
  </r>
  <r>
    <x v="11"/>
    <s v="Exports of goods and services (% of GDP)"/>
    <n v="24.4654181745797"/>
    <x v="39"/>
  </r>
  <r>
    <x v="12"/>
    <s v="Exports of goods and services (% of GDP)"/>
    <n v="28.022280537969401"/>
    <x v="39"/>
  </r>
  <r>
    <x v="13"/>
    <s v="Exports of goods and services (% of GDP)"/>
    <n v="20.250988919750601"/>
    <x v="39"/>
  </r>
  <r>
    <x v="14"/>
    <s v="Exports of goods and services (% of GDP)"/>
    <n v="52.086418165987801"/>
    <x v="39"/>
  </r>
  <r>
    <x v="15"/>
    <s v="Exports of goods and services (% of GDP)"/>
    <n v="10.1657727684956"/>
    <x v="39"/>
  </r>
  <r>
    <x v="16"/>
    <s v="Exports of goods and services (% of GDP)"/>
    <m/>
    <x v="39"/>
  </r>
  <r>
    <x v="17"/>
    <s v="Exports of goods and services (% of GDP)"/>
    <n v="22.848472090657101"/>
    <x v="39"/>
  </r>
  <r>
    <x v="18"/>
    <s v="Exports of goods and services (% of GDP)"/>
    <n v="18.5302795190448"/>
    <x v="39"/>
  </r>
  <r>
    <x v="19"/>
    <s v="Exports of goods and services (% of GDP)"/>
    <n v="15.900047689568501"/>
    <x v="39"/>
  </r>
  <r>
    <x v="20"/>
    <s v="Exports of goods and services (% of GDP)"/>
    <n v="6.2603893632689802"/>
    <x v="39"/>
  </r>
  <r>
    <x v="21"/>
    <s v="Exports of goods and services (% of GDP)"/>
    <m/>
    <x v="39"/>
  </r>
  <r>
    <x v="22"/>
    <s v="Exports of goods and services (% of GDP)"/>
    <n v="35.483704717065599"/>
    <x v="39"/>
  </r>
  <r>
    <x v="23"/>
    <s v="Exports of goods and services (% of GDP)"/>
    <n v="66.073382038377403"/>
    <x v="39"/>
  </r>
  <r>
    <x v="24"/>
    <s v="Exports of goods and services (% of GDP)"/>
    <n v="12.5296570744999"/>
    <x v="39"/>
  </r>
  <r>
    <x v="25"/>
    <s v="Exports of goods and services (% of GDP)"/>
    <n v="12.2515738969733"/>
    <x v="39"/>
  </r>
  <r>
    <x v="26"/>
    <s v="Exports of goods and services (% of GDP)"/>
    <n v="25.037219399921099"/>
    <x v="39"/>
  </r>
  <r>
    <x v="27"/>
    <s v="Exports of goods and services (% of GDP)"/>
    <n v="37.4085797532233"/>
    <x v="39"/>
  </r>
  <r>
    <x v="0"/>
    <s v="Exports of goods and services (% of GDP)"/>
    <n v="6.3189705942565997"/>
    <x v="40"/>
  </r>
  <r>
    <x v="1"/>
    <s v="Exports of goods and services (% of GDP)"/>
    <n v="25.908209413460298"/>
    <x v="40"/>
  </r>
  <r>
    <x v="2"/>
    <s v="Exports of goods and services (% of GDP)"/>
    <n v="16.890096431930299"/>
    <x v="40"/>
  </r>
  <r>
    <x v="3"/>
    <s v="Exports of goods and services (% of GDP)"/>
    <n v="22.989115547331"/>
    <x v="40"/>
  </r>
  <r>
    <x v="4"/>
    <s v="Exports of goods and services (% of GDP)"/>
    <m/>
    <x v="40"/>
  </r>
  <r>
    <x v="5"/>
    <s v="Exports of goods and services (% of GDP)"/>
    <m/>
    <x v="40"/>
  </r>
  <r>
    <x v="6"/>
    <s v="Exports of goods and services (% of GDP)"/>
    <n v="24.5238730443766"/>
    <x v="40"/>
  </r>
  <r>
    <x v="7"/>
    <s v="Exports of goods and services (% of GDP)"/>
    <n v="12.6952822892498"/>
    <x v="40"/>
  </r>
  <r>
    <x v="8"/>
    <s v="Exports of goods and services (% of GDP)"/>
    <n v="21.587571141762499"/>
    <x v="40"/>
  </r>
  <r>
    <x v="9"/>
    <s v="Exports of goods and services (% of GDP)"/>
    <m/>
    <x v="40"/>
  </r>
  <r>
    <x v="10"/>
    <s v="Exports of goods and services (% of GDP)"/>
    <n v="31.3761306275264"/>
    <x v="40"/>
  </r>
  <r>
    <x v="11"/>
    <s v="Exports of goods and services (% of GDP)"/>
    <n v="30.679320529903102"/>
    <x v="40"/>
  </r>
  <r>
    <x v="12"/>
    <s v="Exports of goods and services (% of GDP)"/>
    <n v="25.6036524824415"/>
    <x v="40"/>
  </r>
  <r>
    <x v="13"/>
    <s v="Exports of goods and services (% of GDP)"/>
    <n v="22.478590456810299"/>
    <x v="40"/>
  </r>
  <r>
    <x v="14"/>
    <s v="Exports of goods and services (% of GDP)"/>
    <n v="49.777669229888097"/>
    <x v="40"/>
  </r>
  <r>
    <x v="15"/>
    <s v="Exports of goods and services (% of GDP)"/>
    <n v="12.831728844046101"/>
    <x v="40"/>
  </r>
  <r>
    <x v="16"/>
    <s v="Exports of goods and services (% of GDP)"/>
    <n v="0.53883789233693702"/>
    <x v="40"/>
  </r>
  <r>
    <x v="17"/>
    <s v="Exports of goods and services (% of GDP)"/>
    <n v="23.284003710262301"/>
    <x v="40"/>
  </r>
  <r>
    <x v="18"/>
    <s v="Exports of goods and services (% of GDP)"/>
    <n v="20.108165886693101"/>
    <x v="40"/>
  </r>
  <r>
    <x v="19"/>
    <s v="Exports of goods and services (% of GDP)"/>
    <n v="17.799437675726299"/>
    <x v="40"/>
  </r>
  <r>
    <x v="20"/>
    <s v="Exports of goods and services (% of GDP)"/>
    <n v="6.3198140361100998"/>
    <x v="40"/>
  </r>
  <r>
    <x v="21"/>
    <s v="Exports of goods and services (% of GDP)"/>
    <m/>
    <x v="40"/>
  </r>
  <r>
    <x v="22"/>
    <s v="Exports of goods and services (% of GDP)"/>
    <n v="39.015700886425002"/>
    <x v="40"/>
  </r>
  <r>
    <x v="23"/>
    <s v="Exports of goods and services (% of GDP)"/>
    <n v="98.762195674115503"/>
    <x v="40"/>
  </r>
  <r>
    <x v="24"/>
    <s v="Exports of goods and services (% of GDP)"/>
    <n v="13.364909435910899"/>
    <x v="40"/>
  </r>
  <r>
    <x v="25"/>
    <s v="Exports of goods and services (% of GDP)"/>
    <n v="10.651409293254"/>
    <x v="40"/>
  </r>
  <r>
    <x v="26"/>
    <s v="Exports of goods and services (% of GDP)"/>
    <n v="23.923860830771201"/>
    <x v="40"/>
  </r>
  <r>
    <x v="27"/>
    <s v="Exports of goods and services (% of GDP)"/>
    <n v="38.1597545550961"/>
    <x v="40"/>
  </r>
  <r>
    <x v="0"/>
    <s v="Exports of goods and services (% of GDP)"/>
    <n v="5.1792021647032804"/>
    <x v="41"/>
  </r>
  <r>
    <x v="1"/>
    <s v="Exports of goods and services (% of GDP)"/>
    <n v="25.839395884895801"/>
    <x v="41"/>
  </r>
  <r>
    <x v="2"/>
    <s v="Exports of goods and services (% of GDP)"/>
    <n v="14.6657875448771"/>
    <x v="41"/>
  </r>
  <r>
    <x v="3"/>
    <s v="Exports of goods and services (% of GDP)"/>
    <n v="18.3218597886003"/>
    <x v="41"/>
  </r>
  <r>
    <x v="4"/>
    <s v="Exports of goods and services (% of GDP)"/>
    <m/>
    <x v="41"/>
  </r>
  <r>
    <x v="5"/>
    <s v="Exports of goods and services (% of GDP)"/>
    <m/>
    <x v="41"/>
  </r>
  <r>
    <x v="6"/>
    <s v="Exports of goods and services (% of GDP)"/>
    <n v="28.5786627531762"/>
    <x v="41"/>
  </r>
  <r>
    <x v="7"/>
    <s v="Exports of goods and services (% of GDP)"/>
    <n v="12.361726954492401"/>
    <x v="41"/>
  </r>
  <r>
    <x v="8"/>
    <s v="Exports of goods and services (% of GDP)"/>
    <n v="22.931576364336699"/>
    <x v="41"/>
  </r>
  <r>
    <x v="9"/>
    <s v="Exports of goods and services (% of GDP)"/>
    <m/>
    <x v="41"/>
  </r>
  <r>
    <x v="10"/>
    <s v="Exports of goods and services (% of GDP)"/>
    <n v="33.973128598848398"/>
    <x v="41"/>
  </r>
  <r>
    <x v="11"/>
    <s v="Exports of goods and services (% of GDP)"/>
    <n v="29.078574446739399"/>
    <x v="41"/>
  </r>
  <r>
    <x v="12"/>
    <s v="Exports of goods and services (% of GDP)"/>
    <n v="27.991226367763701"/>
    <x v="41"/>
  </r>
  <r>
    <x v="13"/>
    <s v="Exports of goods and services (% of GDP)"/>
    <n v="26.3124370675839"/>
    <x v="41"/>
  </r>
  <r>
    <x v="14"/>
    <s v="Exports of goods and services (% of GDP)"/>
    <n v="49.853548699732897"/>
    <x v="41"/>
  </r>
  <r>
    <x v="15"/>
    <s v="Exports of goods and services (% of GDP)"/>
    <n v="21.117035072928399"/>
    <x v="41"/>
  </r>
  <r>
    <x v="16"/>
    <s v="Exports of goods and services (% of GDP)"/>
    <n v="0.47059971330760297"/>
    <x v="41"/>
  </r>
  <r>
    <x v="17"/>
    <s v="Exports of goods and services (% of GDP)"/>
    <n v="22.5607504999785"/>
    <x v="41"/>
  </r>
  <r>
    <x v="18"/>
    <s v="Exports of goods and services (% of GDP)"/>
    <n v="19.041910882449301"/>
    <x v="41"/>
  </r>
  <r>
    <x v="19"/>
    <s v="Exports of goods and services (% of GDP)"/>
    <n v="16.922931276297302"/>
    <x v="41"/>
  </r>
  <r>
    <x v="20"/>
    <s v="Exports of goods and services (% of GDP)"/>
    <n v="8.4683079695688797"/>
    <x v="41"/>
  </r>
  <r>
    <x v="21"/>
    <s v="Exports of goods and services (% of GDP)"/>
    <m/>
    <x v="41"/>
  </r>
  <r>
    <x v="22"/>
    <s v="Exports of goods and services (% of GDP)"/>
    <n v="37.331188476891398"/>
    <x v="41"/>
  </r>
  <r>
    <x v="23"/>
    <s v="Exports of goods and services (% of GDP)"/>
    <n v="67.991963997673594"/>
    <x v="41"/>
  </r>
  <r>
    <x v="24"/>
    <s v="Exports of goods and services (% of GDP)"/>
    <n v="17.006564857277901"/>
    <x v="41"/>
  </r>
  <r>
    <x v="25"/>
    <s v="Exports of goods and services (% of GDP)"/>
    <n v="11.5180826372043"/>
    <x v="41"/>
  </r>
  <r>
    <x v="26"/>
    <s v="Exports of goods and services (% of GDP)"/>
    <n v="25.109699098695"/>
    <x v="41"/>
  </r>
  <r>
    <x v="27"/>
    <s v="Exports of goods and services (% of GDP)"/>
    <n v="34.958912690908598"/>
    <x v="41"/>
  </r>
  <r>
    <x v="0"/>
    <s v="Exports of goods and services (% of GDP)"/>
    <n v="4.6858041811825597"/>
    <x v="42"/>
  </r>
  <r>
    <x v="1"/>
    <s v="Exports of goods and services (% of GDP)"/>
    <n v="24.296900395925"/>
    <x v="42"/>
  </r>
  <r>
    <x v="2"/>
    <s v="Exports of goods and services (% of GDP)"/>
    <n v="12.6899405964434"/>
    <x v="42"/>
  </r>
  <r>
    <x v="3"/>
    <s v="Exports of goods and services (% of GDP)"/>
    <n v="15.586912699643401"/>
    <x v="42"/>
  </r>
  <r>
    <x v="4"/>
    <s v="Exports of goods and services (% of GDP)"/>
    <m/>
    <x v="42"/>
  </r>
  <r>
    <x v="5"/>
    <s v="Exports of goods and services (% of GDP)"/>
    <m/>
    <x v="42"/>
  </r>
  <r>
    <x v="6"/>
    <s v="Exports of goods and services (% of GDP)"/>
    <n v="26.4778105826218"/>
    <x v="42"/>
  </r>
  <r>
    <x v="7"/>
    <s v="Exports of goods and services (% of GDP)"/>
    <n v="12.127238694856899"/>
    <x v="42"/>
  </r>
  <r>
    <x v="8"/>
    <s v="Exports of goods and services (% of GDP)"/>
    <n v="24.897972614700201"/>
    <x v="42"/>
  </r>
  <r>
    <x v="9"/>
    <s v="Exports of goods and services (% of GDP)"/>
    <m/>
    <x v="42"/>
  </r>
  <r>
    <x v="10"/>
    <s v="Exports of goods and services (% of GDP)"/>
    <n v="42.357274401473298"/>
    <x v="42"/>
  </r>
  <r>
    <x v="11"/>
    <s v="Exports of goods and services (% of GDP)"/>
    <n v="16.008379477295801"/>
    <x v="42"/>
  </r>
  <r>
    <x v="12"/>
    <s v="Exports of goods and services (% of GDP)"/>
    <n v="15.860637171211099"/>
    <x v="42"/>
  </r>
  <r>
    <x v="13"/>
    <s v="Exports of goods and services (% of GDP)"/>
    <n v="28.087453813660801"/>
    <x v="42"/>
  </r>
  <r>
    <x v="14"/>
    <s v="Exports of goods and services (% of GDP)"/>
    <n v="52.740427342644203"/>
    <x v="42"/>
  </r>
  <r>
    <x v="15"/>
    <s v="Exports of goods and services (% of GDP)"/>
    <n v="24.410417552031799"/>
    <x v="42"/>
  </r>
  <r>
    <x v="16"/>
    <s v="Exports of goods and services (% of GDP)"/>
    <n v="0.28575417216219601"/>
    <x v="42"/>
  </r>
  <r>
    <x v="17"/>
    <s v="Exports of goods and services (% of GDP)"/>
    <n v="17.737129524228301"/>
    <x v="42"/>
  </r>
  <r>
    <x v="18"/>
    <s v="Exports of goods and services (% of GDP)"/>
    <n v="18.8471358845682"/>
    <x v="42"/>
  </r>
  <r>
    <x v="19"/>
    <s v="Exports of goods and services (% of GDP)"/>
    <n v="15.9079547593866"/>
    <x v="42"/>
  </r>
  <r>
    <x v="20"/>
    <s v="Exports of goods and services (% of GDP)"/>
    <n v="7.0411824942002603"/>
    <x v="42"/>
  </r>
  <r>
    <x v="21"/>
    <s v="Exports of goods and services (% of GDP)"/>
    <m/>
    <x v="42"/>
  </r>
  <r>
    <x v="22"/>
    <s v="Exports of goods and services (% of GDP)"/>
    <n v="34.913330197833602"/>
    <x v="42"/>
  </r>
  <r>
    <x v="23"/>
    <s v="Exports of goods and services (% of GDP)"/>
    <n v="65.461164917666395"/>
    <x v="42"/>
  </r>
  <r>
    <x v="24"/>
    <s v="Exports of goods and services (% of GDP)"/>
    <n v="17.580753213148299"/>
    <x v="42"/>
  </r>
  <r>
    <x v="25"/>
    <s v="Exports of goods and services (% of GDP)"/>
    <n v="11.2132791665583"/>
    <x v="42"/>
  </r>
  <r>
    <x v="26"/>
    <s v="Exports of goods and services (% of GDP)"/>
    <n v="27.133678330869799"/>
    <x v="42"/>
  </r>
  <r>
    <x v="27"/>
    <s v="Exports of goods and services (% of GDP)"/>
    <n v="31.834798869349001"/>
    <x v="42"/>
  </r>
  <r>
    <x v="0"/>
    <s v="Exports of goods and services (% of GDP)"/>
    <n v="6.3814140254802796"/>
    <x v="43"/>
  </r>
  <r>
    <x v="1"/>
    <s v="Exports of goods and services (% of GDP)"/>
    <n v="20.927784390508201"/>
    <x v="43"/>
  </r>
  <r>
    <x v="2"/>
    <s v="Exports of goods and services (% of GDP)"/>
    <n v="24.632966906948099"/>
    <x v="43"/>
  </r>
  <r>
    <x v="3"/>
    <s v="Exports of goods and services (% of GDP)"/>
    <n v="18.898967439190699"/>
    <x v="43"/>
  </r>
  <r>
    <x v="4"/>
    <s v="Exports of goods and services (% of GDP)"/>
    <m/>
    <x v="43"/>
  </r>
  <r>
    <x v="5"/>
    <s v="Exports of goods and services (% of GDP)"/>
    <m/>
    <x v="43"/>
  </r>
  <r>
    <x v="6"/>
    <s v="Exports of goods and services (% of GDP)"/>
    <n v="25.956743348511498"/>
    <x v="43"/>
  </r>
  <r>
    <x v="7"/>
    <s v="Exports of goods and services (% of GDP)"/>
    <n v="15.892048965413601"/>
    <x v="43"/>
  </r>
  <r>
    <x v="8"/>
    <s v="Exports of goods and services (% of GDP)"/>
    <n v="24.086815305420998"/>
    <x v="43"/>
  </r>
  <r>
    <x v="9"/>
    <s v="Exports of goods and services (% of GDP)"/>
    <m/>
    <x v="43"/>
  </r>
  <r>
    <x v="10"/>
    <s v="Exports of goods and services (% of GDP)"/>
    <n v="36.057692307692299"/>
    <x v="43"/>
  </r>
  <r>
    <x v="11"/>
    <s v="Exports of goods and services (% of GDP)"/>
    <n v="23.0857444087594"/>
    <x v="43"/>
  </r>
  <r>
    <x v="12"/>
    <s v="Exports of goods and services (% of GDP)"/>
    <n v="20.170456553498301"/>
    <x v="43"/>
  </r>
  <r>
    <x v="13"/>
    <s v="Exports of goods and services (% of GDP)"/>
    <n v="25.769340392594401"/>
    <x v="43"/>
  </r>
  <r>
    <x v="14"/>
    <s v="Exports of goods and services (% of GDP)"/>
    <n v="53.481204079030199"/>
    <x v="43"/>
  </r>
  <r>
    <x v="15"/>
    <s v="Exports of goods and services (% of GDP)"/>
    <n v="25.564246109953"/>
    <x v="43"/>
  </r>
  <r>
    <x v="16"/>
    <s v="Exports of goods and services (% of GDP)"/>
    <n v="0.20756507236941499"/>
    <x v="43"/>
  </r>
  <r>
    <x v="17"/>
    <s v="Exports of goods and services (% of GDP)"/>
    <n v="15.699864494515801"/>
    <x v="43"/>
  </r>
  <r>
    <x v="18"/>
    <s v="Exports of goods and services (% of GDP)"/>
    <n v="20.704998914845"/>
    <x v="43"/>
  </r>
  <r>
    <x v="19"/>
    <s v="Exports of goods and services (% of GDP)"/>
    <n v="15.197867401574801"/>
    <x v="43"/>
  </r>
  <r>
    <x v="20"/>
    <s v="Exports of goods and services (% of GDP)"/>
    <n v="8.4526324729150595"/>
    <x v="43"/>
  </r>
  <r>
    <x v="21"/>
    <s v="Exports of goods and services (% of GDP)"/>
    <m/>
    <x v="43"/>
  </r>
  <r>
    <x v="22"/>
    <s v="Exports of goods and services (% of GDP)"/>
    <n v="34.653502832422802"/>
    <x v="43"/>
  </r>
  <r>
    <x v="23"/>
    <s v="Exports of goods and services (% of GDP)"/>
    <n v="63.376862486377398"/>
    <x v="43"/>
  </r>
  <r>
    <x v="24"/>
    <s v="Exports of goods and services (% of GDP)"/>
    <n v="18.562595946068502"/>
    <x v="43"/>
  </r>
  <r>
    <x v="25"/>
    <s v="Exports of goods and services (% of GDP)"/>
    <n v="11.386724834337199"/>
    <x v="43"/>
  </r>
  <r>
    <x v="26"/>
    <s v="Exports of goods and services (% of GDP)"/>
    <n v="25.683964030842699"/>
    <x v="43"/>
  </r>
  <r>
    <x v="27"/>
    <s v="Exports of goods and services (% of GDP)"/>
    <n v="32.397059092095198"/>
    <x v="43"/>
  </r>
  <r>
    <x v="0"/>
    <s v="Exports of goods and services (% of GDP)"/>
    <n v="6.9527482869070898"/>
    <x v="44"/>
  </r>
  <r>
    <x v="1"/>
    <s v="Exports of goods and services (% of GDP)"/>
    <n v="22.709458644005899"/>
    <x v="44"/>
  </r>
  <r>
    <x v="2"/>
    <s v="Exports of goods and services (% of GDP)"/>
    <n v="51.008858056715603"/>
    <x v="44"/>
  </r>
  <r>
    <x v="3"/>
    <s v="Exports of goods and services (% of GDP)"/>
    <n v="15.469269518661401"/>
    <x v="44"/>
  </r>
  <r>
    <x v="4"/>
    <s v="Exports of goods and services (% of GDP)"/>
    <m/>
    <x v="44"/>
  </r>
  <r>
    <x v="5"/>
    <s v="Exports of goods and services (% of GDP)"/>
    <m/>
    <x v="44"/>
  </r>
  <r>
    <x v="6"/>
    <s v="Exports of goods and services (% of GDP)"/>
    <n v="24.6259751804795"/>
    <x v="44"/>
  </r>
  <r>
    <x v="7"/>
    <s v="Exports of goods and services (% of GDP)"/>
    <n v="14.4087415501435"/>
    <x v="44"/>
  </r>
  <r>
    <x v="8"/>
    <s v="Exports of goods and services (% of GDP)"/>
    <n v="26.610258575297301"/>
    <x v="44"/>
  </r>
  <r>
    <x v="9"/>
    <s v="Exports of goods and services (% of GDP)"/>
    <m/>
    <x v="44"/>
  </r>
  <r>
    <x v="10"/>
    <s v="Exports of goods and services (% of GDP)"/>
    <n v="67.621655782599504"/>
    <x v="44"/>
  </r>
  <r>
    <x v="11"/>
    <s v="Exports of goods and services (% of GDP)"/>
    <n v="32.636436784543001"/>
    <x v="44"/>
  </r>
  <r>
    <x v="12"/>
    <s v="Exports of goods and services (% of GDP)"/>
    <n v="18.8482493164564"/>
    <x v="44"/>
  </r>
  <r>
    <x v="13"/>
    <s v="Exports of goods and services (% of GDP)"/>
    <n v="23.677184706524098"/>
    <x v="44"/>
  </r>
  <r>
    <x v="14"/>
    <s v="Exports of goods and services (% of GDP)"/>
    <n v="50.706798751752103"/>
    <x v="44"/>
  </r>
  <r>
    <x v="15"/>
    <s v="Exports of goods and services (% of GDP)"/>
    <n v="28.925053876089201"/>
    <x v="44"/>
  </r>
  <r>
    <x v="16"/>
    <s v="Exports of goods and services (% of GDP)"/>
    <n v="0.18673679388487299"/>
    <x v="44"/>
  </r>
  <r>
    <x v="17"/>
    <s v="Exports of goods and services (% of GDP)"/>
    <n v="16.682695263521701"/>
    <x v="44"/>
  </r>
  <r>
    <x v="18"/>
    <s v="Exports of goods and services (% of GDP)"/>
    <n v="23.059855739825601"/>
    <x v="44"/>
  </r>
  <r>
    <x v="19"/>
    <s v="Exports of goods and services (% of GDP)"/>
    <n v="17.364273313492099"/>
    <x v="44"/>
  </r>
  <r>
    <x v="20"/>
    <s v="Exports of goods and services (% of GDP)"/>
    <n v="11.1232693868449"/>
    <x v="44"/>
  </r>
  <r>
    <x v="21"/>
    <s v="Exports of goods and services (% of GDP)"/>
    <m/>
    <x v="44"/>
  </r>
  <r>
    <x v="22"/>
    <s v="Exports of goods and services (% of GDP)"/>
    <n v="35.330902732441203"/>
    <x v="44"/>
  </r>
  <r>
    <x v="23"/>
    <s v="Exports of goods and services (% of GDP)"/>
    <n v="58.314112967673097"/>
    <x v="44"/>
  </r>
  <r>
    <x v="24"/>
    <s v="Exports of goods and services (% of GDP)"/>
    <n v="19.6512752447967"/>
    <x v="44"/>
  </r>
  <r>
    <x v="25"/>
    <s v="Exports of goods and services (% of GDP)"/>
    <n v="12.696880748841799"/>
    <x v="44"/>
  </r>
  <r>
    <x v="26"/>
    <s v="Exports of goods and services (% of GDP)"/>
    <n v="33.539982251071898"/>
    <x v="44"/>
  </r>
  <r>
    <x v="27"/>
    <s v="Exports of goods and services (% of GDP)"/>
    <n v="34.469799013310997"/>
    <x v="44"/>
  </r>
  <r>
    <x v="0"/>
    <s v="Exports of goods and services (% of GDP)"/>
    <n v="8.2024991724594507"/>
    <x v="45"/>
  </r>
  <r>
    <x v="1"/>
    <s v="Exports of goods and services (% of GDP)"/>
    <n v="24.597979150827499"/>
    <x v="45"/>
  </r>
  <r>
    <x v="2"/>
    <s v="Exports of goods and services (% of GDP)"/>
    <n v="47.977274188704001"/>
    <x v="45"/>
  </r>
  <r>
    <x v="3"/>
    <s v="Exports of goods and services (% of GDP)"/>
    <n v="15.012359697669501"/>
    <x v="45"/>
  </r>
  <r>
    <x v="4"/>
    <s v="Exports of goods and services (% of GDP)"/>
    <m/>
    <x v="45"/>
  </r>
  <r>
    <x v="5"/>
    <s v="Exports of goods and services (% of GDP)"/>
    <m/>
    <x v="45"/>
  </r>
  <r>
    <x v="6"/>
    <s v="Exports of goods and services (% of GDP)"/>
    <n v="34.785653087248001"/>
    <x v="45"/>
  </r>
  <r>
    <x v="7"/>
    <s v="Exports of goods and services (% of GDP)"/>
    <n v="14.0399321569911"/>
    <x v="45"/>
  </r>
  <r>
    <x v="8"/>
    <s v="Exports of goods and services (% of GDP)"/>
    <n v="28.5090302142012"/>
    <x v="45"/>
  </r>
  <r>
    <x v="9"/>
    <s v="Exports of goods and services (% of GDP)"/>
    <m/>
    <x v="45"/>
  </r>
  <r>
    <x v="10"/>
    <s v="Exports of goods and services (% of GDP)"/>
    <n v="59.090909090909101"/>
    <x v="45"/>
  </r>
  <r>
    <x v="11"/>
    <s v="Exports of goods and services (% of GDP)"/>
    <n v="28.212391969559199"/>
    <x v="45"/>
  </r>
  <r>
    <x v="12"/>
    <s v="Exports of goods and services (% of GDP)"/>
    <n v="18.121155507343499"/>
    <x v="45"/>
  </r>
  <r>
    <x v="13"/>
    <s v="Exports of goods and services (% of GDP)"/>
    <n v="22.988869341890201"/>
    <x v="45"/>
  </r>
  <r>
    <x v="14"/>
    <s v="Exports of goods and services (% of GDP)"/>
    <n v="51.144304416867101"/>
    <x v="45"/>
  </r>
  <r>
    <x v="15"/>
    <s v="Exports of goods and services (% of GDP)"/>
    <n v="30.190457444004899"/>
    <x v="45"/>
  </r>
  <r>
    <x v="16"/>
    <s v="Exports of goods and services (% of GDP)"/>
    <n v="0.17845542977487"/>
    <x v="45"/>
  </r>
  <r>
    <x v="17"/>
    <s v="Exports of goods and services (% of GDP)"/>
    <n v="14.5836867929394"/>
    <x v="45"/>
  </r>
  <r>
    <x v="18"/>
    <s v="Exports of goods and services (% of GDP)"/>
    <n v="24.3821308946094"/>
    <x v="45"/>
  </r>
  <r>
    <x v="19"/>
    <s v="Exports of goods and services (% of GDP)"/>
    <n v="16.595289794554901"/>
    <x v="45"/>
  </r>
  <r>
    <x v="20"/>
    <s v="Exports of goods and services (% of GDP)"/>
    <n v="11.4261186320026"/>
    <x v="45"/>
  </r>
  <r>
    <x v="21"/>
    <s v="Exports of goods and services (% of GDP)"/>
    <m/>
    <x v="45"/>
  </r>
  <r>
    <x v="22"/>
    <s v="Exports of goods and services (% of GDP)"/>
    <n v="32.336872987489301"/>
    <x v="45"/>
  </r>
  <r>
    <x v="23"/>
    <s v="Exports of goods and services (% of GDP)"/>
    <n v="26.994334285167799"/>
    <x v="45"/>
  </r>
  <r>
    <x v="24"/>
    <s v="Exports of goods and services (% of GDP)"/>
    <n v="16.914313671501901"/>
    <x v="45"/>
  </r>
  <r>
    <x v="25"/>
    <s v="Exports of goods and services (% of GDP)"/>
    <n v="14.179699980210801"/>
    <x v="45"/>
  </r>
  <r>
    <x v="26"/>
    <s v="Exports of goods and services (% of GDP)"/>
    <n v="30.610712314381299"/>
    <x v="45"/>
  </r>
  <r>
    <x v="27"/>
    <s v="Exports of goods and services (% of GDP)"/>
    <n v="33.548648189558598"/>
    <x v="45"/>
  </r>
  <r>
    <x v="0"/>
    <s v="Exports of goods and services (% of GDP)"/>
    <n v="7.2820493242727302"/>
    <x v="46"/>
  </r>
  <r>
    <x v="1"/>
    <s v="Exports of goods and services (% of GDP)"/>
    <n v="25.638614832303102"/>
    <x v="46"/>
  </r>
  <r>
    <x v="2"/>
    <s v="Exports of goods and services (% of GDP)"/>
    <n v="47.5844412158485"/>
    <x v="46"/>
  </r>
  <r>
    <x v="3"/>
    <s v="Exports of goods and services (% of GDP)"/>
    <n v="14.804946503918"/>
    <x v="46"/>
  </r>
  <r>
    <x v="4"/>
    <s v="Exports of goods and services (% of GDP)"/>
    <m/>
    <x v="46"/>
  </r>
  <r>
    <x v="5"/>
    <s v="Exports of goods and services (% of GDP)"/>
    <m/>
    <x v="46"/>
  </r>
  <r>
    <x v="6"/>
    <s v="Exports of goods and services (% of GDP)"/>
    <n v="23.8243111628192"/>
    <x v="46"/>
  </r>
  <r>
    <x v="7"/>
    <s v="Exports of goods and services (% of GDP)"/>
    <n v="14.4888352321724"/>
    <x v="46"/>
  </r>
  <r>
    <x v="8"/>
    <s v="Exports of goods and services (% of GDP)"/>
    <n v="22.984939644186099"/>
    <x v="46"/>
  </r>
  <r>
    <x v="9"/>
    <s v="Exports of goods and services (% of GDP)"/>
    <n v="12.624973082720601"/>
    <x v="46"/>
  </r>
  <r>
    <x v="10"/>
    <s v="Exports of goods and services (% of GDP)"/>
    <n v="82.446386257346305"/>
    <x v="46"/>
  </r>
  <r>
    <x v="11"/>
    <s v="Exports of goods and services (% of GDP)"/>
    <n v="29.728498171923398"/>
    <x v="46"/>
  </r>
  <r>
    <x v="12"/>
    <s v="Exports of goods and services (% of GDP)"/>
    <n v="17.633835036062401"/>
    <x v="46"/>
  </r>
  <r>
    <x v="13"/>
    <s v="Exports of goods and services (% of GDP)"/>
    <n v="28.428945099238099"/>
    <x v="46"/>
  </r>
  <r>
    <x v="14"/>
    <s v="Exports of goods and services (% of GDP)"/>
    <n v="45.255965747432001"/>
    <x v="46"/>
  </r>
  <r>
    <x v="15"/>
    <s v="Exports of goods and services (% of GDP)"/>
    <n v="30.216878733606201"/>
    <x v="46"/>
  </r>
  <r>
    <x v="16"/>
    <s v="Exports of goods and services (% of GDP)"/>
    <n v="0.157094763445779"/>
    <x v="46"/>
  </r>
  <r>
    <x v="17"/>
    <s v="Exports of goods and services (% of GDP)"/>
    <n v="13.4465909577363"/>
    <x v="46"/>
  </r>
  <r>
    <x v="18"/>
    <s v="Exports of goods and services (% of GDP)"/>
    <n v="31.2666288650856"/>
    <x v="46"/>
  </r>
  <r>
    <x v="19"/>
    <s v="Exports of goods and services (% of GDP)"/>
    <n v="16.412458740595699"/>
    <x v="46"/>
  </r>
  <r>
    <x v="20"/>
    <s v="Exports of goods and services (% of GDP)"/>
    <n v="12.1499424553091"/>
    <x v="46"/>
  </r>
  <r>
    <x v="21"/>
    <s v="Exports of goods and services (% of GDP)"/>
    <m/>
    <x v="46"/>
  </r>
  <r>
    <x v="22"/>
    <s v="Exports of goods and services (% of GDP)"/>
    <n v="30.128527093797199"/>
    <x v="46"/>
  </r>
  <r>
    <x v="23"/>
    <s v="Exports of goods and services (% of GDP)"/>
    <n v="23.191231738331702"/>
    <x v="46"/>
  </r>
  <r>
    <x v="24"/>
    <s v="Exports of goods and services (% of GDP)"/>
    <n v="17.100833958327399"/>
    <x v="46"/>
  </r>
  <r>
    <x v="25"/>
    <s v="Exports of goods and services (% of GDP)"/>
    <n v="15.2754133833713"/>
    <x v="46"/>
  </r>
  <r>
    <x v="26"/>
    <s v="Exports of goods and services (% of GDP)"/>
    <n v="32.592958687188798"/>
    <x v="46"/>
  </r>
  <r>
    <x v="27"/>
    <s v="Exports of goods and services (% of GDP)"/>
    <n v="35.956168527450899"/>
    <x v="46"/>
  </r>
  <r>
    <x v="0"/>
    <s v="Exports of goods and services (% of GDP)"/>
    <n v="7.2584690886783401"/>
    <x v="47"/>
  </r>
  <r>
    <x v="1"/>
    <s v="Exports of goods and services (% of GDP)"/>
    <n v="28.885404502632699"/>
    <x v="47"/>
  </r>
  <r>
    <x v="2"/>
    <s v="Exports of goods and services (% of GDP)"/>
    <n v="44.503493857755601"/>
    <x v="47"/>
  </r>
  <r>
    <x v="3"/>
    <s v="Exports of goods and services (% of GDP)"/>
    <n v="15.4578850698813"/>
    <x v="47"/>
  </r>
  <r>
    <x v="4"/>
    <s v="Exports of goods and services (% of GDP)"/>
    <m/>
    <x v="47"/>
  </r>
  <r>
    <x v="5"/>
    <s v="Exports of goods and services (% of GDP)"/>
    <m/>
    <x v="47"/>
  </r>
  <r>
    <x v="6"/>
    <s v="Exports of goods and services (% of GDP)"/>
    <n v="23.5509581400425"/>
    <x v="47"/>
  </r>
  <r>
    <x v="7"/>
    <s v="Exports of goods and services (% of GDP)"/>
    <n v="13.421925400935899"/>
    <x v="47"/>
  </r>
  <r>
    <x v="8"/>
    <s v="Exports of goods and services (% of GDP)"/>
    <n v="21.918991293369899"/>
    <x v="47"/>
  </r>
  <r>
    <x v="9"/>
    <s v="Exports of goods and services (% of GDP)"/>
    <n v="15.478648694568699"/>
    <x v="47"/>
  </r>
  <r>
    <x v="10"/>
    <s v="Exports of goods and services (% of GDP)"/>
    <n v="74.963411360231405"/>
    <x v="47"/>
  </r>
  <r>
    <x v="11"/>
    <s v="Exports of goods and services (% of GDP)"/>
    <n v="30.323654742471"/>
    <x v="47"/>
  </r>
  <r>
    <x v="12"/>
    <s v="Exports of goods and services (% of GDP)"/>
    <n v="23.3114453084264"/>
    <x v="47"/>
  </r>
  <r>
    <x v="13"/>
    <s v="Exports of goods and services (% of GDP)"/>
    <n v="24.152111150700499"/>
    <x v="47"/>
  </r>
  <r>
    <x v="14"/>
    <s v="Exports of goods and services (% of GDP)"/>
    <n v="47.452462232945898"/>
    <x v="47"/>
  </r>
  <r>
    <x v="15"/>
    <s v="Exports of goods and services (% of GDP)"/>
    <n v="30.837282338301399"/>
    <x v="47"/>
  </r>
  <r>
    <x v="16"/>
    <s v="Exports of goods and services (% of GDP)"/>
    <n v="0.13818068336634301"/>
    <x v="47"/>
  </r>
  <r>
    <x v="17"/>
    <s v="Exports of goods and services (% of GDP)"/>
    <n v="12.855664876406101"/>
    <x v="47"/>
  </r>
  <r>
    <x v="18"/>
    <s v="Exports of goods and services (% of GDP)"/>
    <n v="33.063573042367402"/>
    <x v="47"/>
  </r>
  <r>
    <x v="19"/>
    <s v="Exports of goods and services (% of GDP)"/>
    <n v="17.428434177335799"/>
    <x v="47"/>
  </r>
  <r>
    <x v="20"/>
    <s v="Exports of goods and services (% of GDP)"/>
    <n v="15.664663719229599"/>
    <x v="47"/>
  </r>
  <r>
    <x v="21"/>
    <s v="Exports of goods and services (% of GDP)"/>
    <m/>
    <x v="47"/>
  </r>
  <r>
    <x v="22"/>
    <s v="Exports of goods and services (% of GDP)"/>
    <n v="29.1149996870361"/>
    <x v="47"/>
  </r>
  <r>
    <x v="23"/>
    <s v="Exports of goods and services (% of GDP)"/>
    <n v="20.612993547038901"/>
    <x v="47"/>
  </r>
  <r>
    <x v="24"/>
    <s v="Exports of goods and services (% of GDP)"/>
    <n v="18.919116129904602"/>
    <x v="47"/>
  </r>
  <r>
    <x v="25"/>
    <s v="Exports of goods and services (% of GDP)"/>
    <n v="16.7250685272735"/>
    <x v="47"/>
  </r>
  <r>
    <x v="26"/>
    <s v="Exports of goods and services (% of GDP)"/>
    <n v="33.591193205013298"/>
    <x v="47"/>
  </r>
  <r>
    <x v="27"/>
    <s v="Exports of goods and services (% of GDP)"/>
    <n v="37.7853732974542"/>
    <x v="47"/>
  </r>
  <r>
    <x v="0"/>
    <s v="Exports of goods and services (% of GDP)"/>
    <n v="9.4917578104558107"/>
    <x v="48"/>
  </r>
  <r>
    <x v="1"/>
    <s v="Exports of goods and services (% of GDP)"/>
    <n v="29.057696145247402"/>
    <x v="48"/>
  </r>
  <r>
    <x v="2"/>
    <s v="Exports of goods and services (% of GDP)"/>
    <n v="42.694505409321003"/>
    <x v="48"/>
  </r>
  <r>
    <x v="3"/>
    <s v="Exports of goods and services (% of GDP)"/>
    <n v="14.170267278325801"/>
    <x v="48"/>
  </r>
  <r>
    <x v="4"/>
    <s v="Exports of goods and services (% of GDP)"/>
    <m/>
    <x v="48"/>
  </r>
  <r>
    <x v="5"/>
    <s v="Exports of goods and services (% of GDP)"/>
    <m/>
    <x v="48"/>
  </r>
  <r>
    <x v="6"/>
    <s v="Exports of goods and services (% of GDP)"/>
    <n v="21.640464581614399"/>
    <x v="48"/>
  </r>
  <r>
    <x v="7"/>
    <s v="Exports of goods and services (% of GDP)"/>
    <n v="12.721178019873101"/>
    <x v="48"/>
  </r>
  <r>
    <x v="8"/>
    <s v="Exports of goods and services (% of GDP)"/>
    <n v="22.674057553226699"/>
    <x v="48"/>
  </r>
  <r>
    <x v="9"/>
    <s v="Exports of goods and services (% of GDP)"/>
    <n v="15.661183973146301"/>
    <x v="48"/>
  </r>
  <r>
    <x v="10"/>
    <s v="Exports of goods and services (% of GDP)"/>
    <n v="34.392490710736702"/>
    <x v="48"/>
  </r>
  <r>
    <x v="11"/>
    <s v="Exports of goods and services (% of GDP)"/>
    <n v="26.5413389654451"/>
    <x v="48"/>
  </r>
  <r>
    <x v="12"/>
    <s v="Exports of goods and services (% of GDP)"/>
    <n v="22.656758692724399"/>
    <x v="48"/>
  </r>
  <r>
    <x v="13"/>
    <s v="Exports of goods and services (% of GDP)"/>
    <n v="25.2677563340639"/>
    <x v="48"/>
  </r>
  <r>
    <x v="14"/>
    <s v="Exports of goods and services (% of GDP)"/>
    <n v="40.819043779042602"/>
    <x v="48"/>
  </r>
  <r>
    <x v="15"/>
    <s v="Exports of goods and services (% of GDP)"/>
    <n v="29.337176578513201"/>
    <x v="48"/>
  </r>
  <r>
    <x v="16"/>
    <s v="Exports of goods and services (% of GDP)"/>
    <n v="0.11655616706543601"/>
    <x v="48"/>
  </r>
  <r>
    <x v="17"/>
    <s v="Exports of goods and services (% of GDP)"/>
    <n v="12.7758202580003"/>
    <x v="48"/>
  </r>
  <r>
    <x v="18"/>
    <s v="Exports of goods and services (% of GDP)"/>
    <n v="34.470462001104799"/>
    <x v="48"/>
  </r>
  <r>
    <x v="19"/>
    <s v="Exports of goods and services (% of GDP)"/>
    <n v="17.7301309484203"/>
    <x v="48"/>
  </r>
  <r>
    <x v="20"/>
    <s v="Exports of goods and services (% of GDP)"/>
    <n v="12.549146517938601"/>
    <x v="48"/>
  </r>
  <r>
    <x v="21"/>
    <s v="Exports of goods and services (% of GDP)"/>
    <m/>
    <x v="48"/>
  </r>
  <r>
    <x v="22"/>
    <s v="Exports of goods and services (% of GDP)"/>
    <n v="24.841487098820501"/>
    <x v="48"/>
  </r>
  <r>
    <x v="23"/>
    <s v="Exports of goods and services (% of GDP)"/>
    <n v="16.758165529602"/>
    <x v="48"/>
  </r>
  <r>
    <x v="24"/>
    <s v="Exports of goods and services (% of GDP)"/>
    <n v="18.648670738518302"/>
    <x v="48"/>
  </r>
  <r>
    <x v="25"/>
    <s v="Exports of goods and services (% of GDP)"/>
    <n v="24.280142344324201"/>
    <x v="48"/>
  </r>
  <r>
    <x v="26"/>
    <s v="Exports of goods and services (% of GDP)"/>
    <n v="28.9193597052566"/>
    <x v="48"/>
  </r>
  <r>
    <x v="27"/>
    <s v="Exports of goods and services (% of GDP)"/>
    <n v="41.466848719981797"/>
    <x v="48"/>
  </r>
  <r>
    <x v="0"/>
    <s v="Exports of goods and services (% of GDP)"/>
    <n v="6.8023584237864601"/>
    <x v="49"/>
  </r>
  <r>
    <x v="1"/>
    <s v="Exports of goods and services (% of GDP)"/>
    <n v="21.4032647777329"/>
    <x v="49"/>
  </r>
  <r>
    <x v="2"/>
    <s v="Exports of goods and services (% of GDP)"/>
    <n v="35.138352879852498"/>
    <x v="49"/>
  </r>
  <r>
    <x v="3"/>
    <s v="Exports of goods and services (% of GDP)"/>
    <n v="14.8240198249158"/>
    <x v="49"/>
  </r>
  <r>
    <x v="4"/>
    <s v="Exports of goods and services (% of GDP)"/>
    <m/>
    <x v="49"/>
  </r>
  <r>
    <x v="5"/>
    <s v="Exports of goods and services (% of GDP)"/>
    <m/>
    <x v="49"/>
  </r>
  <r>
    <x v="6"/>
    <s v="Exports of goods and services (% of GDP)"/>
    <n v="22.515791077574299"/>
    <x v="49"/>
  </r>
  <r>
    <x v="7"/>
    <s v="Exports of goods and services (% of GDP)"/>
    <n v="15.7100194116769"/>
    <x v="49"/>
  </r>
  <r>
    <x v="8"/>
    <s v="Exports of goods and services (% of GDP)"/>
    <n v="20.032629252907402"/>
    <x v="49"/>
  </r>
  <r>
    <x v="9"/>
    <s v="Exports of goods and services (% of GDP)"/>
    <n v="17.0581875368587"/>
    <x v="49"/>
  </r>
  <r>
    <x v="10"/>
    <s v="Exports of goods and services (% of GDP)"/>
    <n v="15.264380978566001"/>
    <x v="49"/>
  </r>
  <r>
    <x v="11"/>
    <s v="Exports of goods and services (% of GDP)"/>
    <n v="22.369390438987502"/>
    <x v="49"/>
  </r>
  <r>
    <x v="12"/>
    <s v="Exports of goods and services (% of GDP)"/>
    <n v="20.028653475018899"/>
    <x v="49"/>
  </r>
  <r>
    <x v="13"/>
    <s v="Exports of goods and services (% of GDP)"/>
    <n v="21.7344772232622"/>
    <x v="49"/>
  </r>
  <r>
    <x v="14"/>
    <s v="Exports of goods and services (% of GDP)"/>
    <n v="36.872122518751198"/>
    <x v="49"/>
  </r>
  <r>
    <x v="15"/>
    <s v="Exports of goods and services (% of GDP)"/>
    <n v="29.969513431970601"/>
    <x v="49"/>
  </r>
  <r>
    <x v="16"/>
    <s v="Exports of goods and services (% of GDP)"/>
    <n v="0.10271275104536"/>
    <x v="49"/>
  </r>
  <r>
    <x v="17"/>
    <s v="Exports of goods and services (% of GDP)"/>
    <n v="12.4193541858921"/>
    <x v="49"/>
  </r>
  <r>
    <x v="18"/>
    <s v="Exports of goods and services (% of GDP)"/>
    <n v="33.981494209613899"/>
    <x v="49"/>
  </r>
  <r>
    <x v="19"/>
    <s v="Exports of goods and services (% of GDP)"/>
    <n v="20.321513455057101"/>
    <x v="49"/>
  </r>
  <r>
    <x v="20"/>
    <s v="Exports of goods and services (% of GDP)"/>
    <n v="11.7337968746473"/>
    <x v="49"/>
  </r>
  <r>
    <x v="21"/>
    <s v="Exports of goods and services (% of GDP)"/>
    <m/>
    <x v="49"/>
  </r>
  <r>
    <x v="22"/>
    <s v="Exports of goods and services (% of GDP)"/>
    <n v="21.328366243783002"/>
    <x v="49"/>
  </r>
  <r>
    <x v="23"/>
    <s v="Exports of goods and services (% of GDP)"/>
    <n v="15.1702547446494"/>
    <x v="49"/>
  </r>
  <r>
    <x v="24"/>
    <s v="Exports of goods and services (% of GDP)"/>
    <n v="17.373845954712401"/>
    <x v="49"/>
  </r>
  <r>
    <x v="25"/>
    <s v="Exports of goods and services (% of GDP)"/>
    <n v="17.267979217193101"/>
    <x v="49"/>
  </r>
  <r>
    <x v="26"/>
    <s v="Exports of goods and services (% of GDP)"/>
    <n v="29.250997669334801"/>
    <x v="49"/>
  </r>
  <r>
    <x v="27"/>
    <s v="Exports of goods and services (% of GDP)"/>
    <n v="21.836555452011702"/>
    <x v="49"/>
  </r>
  <r>
    <x v="0"/>
    <s v="Exports of goods and services (% of GDP)"/>
    <n v="8.9166426143287794"/>
    <x v="50"/>
  </r>
  <r>
    <x v="1"/>
    <s v="Exports of goods and services (% of GDP)"/>
    <n v="22.172144086635399"/>
    <x v="50"/>
  </r>
  <r>
    <x v="2"/>
    <s v="Exports of goods and services (% of GDP)"/>
    <n v="36.845605903367101"/>
    <x v="50"/>
  </r>
  <r>
    <x v="3"/>
    <s v="Exports of goods and services (% of GDP)"/>
    <n v="16.481425330870401"/>
    <x v="50"/>
  </r>
  <r>
    <x v="4"/>
    <s v="Exports of goods and services (% of GDP)"/>
    <m/>
    <x v="50"/>
  </r>
  <r>
    <x v="5"/>
    <s v="Exports of goods and services (% of GDP)"/>
    <m/>
    <x v="50"/>
  </r>
  <r>
    <x v="6"/>
    <s v="Exports of goods and services (% of GDP)"/>
    <n v="30.341203976310499"/>
    <x v="50"/>
  </r>
  <r>
    <x v="7"/>
    <s v="Exports of goods and services (% of GDP)"/>
    <n v="15.342083970151901"/>
    <x v="50"/>
  </r>
  <r>
    <x v="8"/>
    <s v="Exports of goods and services (% of GDP)"/>
    <n v="20.656983247274301"/>
    <x v="50"/>
  </r>
  <r>
    <x v="9"/>
    <s v="Exports of goods and services (% of GDP)"/>
    <n v="19.845056343147899"/>
    <x v="50"/>
  </r>
  <r>
    <x v="10"/>
    <s v="Exports of goods and services (% of GDP)"/>
    <n v="19.139077514755801"/>
    <x v="50"/>
  </r>
  <r>
    <x v="11"/>
    <s v="Exports of goods and services (% of GDP)"/>
    <n v="24.974099901080301"/>
    <x v="50"/>
  </r>
  <r>
    <x v="12"/>
    <s v="Exports of goods and services (% of GDP)"/>
    <n v="22.7870608045788"/>
    <x v="50"/>
  </r>
  <r>
    <x v="13"/>
    <s v="Exports of goods and services (% of GDP)"/>
    <n v="22.8371701772321"/>
    <x v="50"/>
  </r>
  <r>
    <x v="14"/>
    <s v="Exports of goods and services (% of GDP)"/>
    <n v="39.225215375223101"/>
    <x v="50"/>
  </r>
  <r>
    <x v="15"/>
    <s v="Exports of goods and services (% of GDP)"/>
    <n v="31.5102163297875"/>
    <x v="50"/>
  </r>
  <r>
    <x v="16"/>
    <s v="Exports of goods and services (% of GDP)"/>
    <n v="0.10912350491329199"/>
    <x v="50"/>
  </r>
  <r>
    <x v="17"/>
    <s v="Exports of goods and services (% of GDP)"/>
    <n v="9.5825361719822908"/>
    <x v="50"/>
  </r>
  <r>
    <x v="18"/>
    <s v="Exports of goods and services (% of GDP)"/>
    <n v="40.4671151559929"/>
    <x v="50"/>
  </r>
  <r>
    <x v="19"/>
    <s v="Exports of goods and services (% of GDP)"/>
    <n v="22.198252577599899"/>
    <x v="50"/>
  </r>
  <r>
    <x v="20"/>
    <s v="Exports of goods and services (% of GDP)"/>
    <n v="12.0393097445866"/>
    <x v="50"/>
  </r>
  <r>
    <x v="21"/>
    <s v="Exports of goods and services (% of GDP)"/>
    <m/>
    <x v="50"/>
  </r>
  <r>
    <x v="22"/>
    <s v="Exports of goods and services (% of GDP)"/>
    <n v="19.552321697973799"/>
    <x v="50"/>
  </r>
  <r>
    <x v="23"/>
    <s v="Exports of goods and services (% of GDP)"/>
    <n v="14.9373516114801"/>
    <x v="50"/>
  </r>
  <r>
    <x v="24"/>
    <s v="Exports of goods and services (% of GDP)"/>
    <n v="18.7464132724043"/>
    <x v="50"/>
  </r>
  <r>
    <x v="25"/>
    <s v="Exports of goods and services (% of GDP)"/>
    <n v="17.1317969486892"/>
    <x v="50"/>
  </r>
  <r>
    <x v="26"/>
    <s v="Exports of goods and services (% of GDP)"/>
    <n v="37.025939172501602"/>
    <x v="50"/>
  </r>
  <r>
    <x v="27"/>
    <s v="Exports of goods and services (% of GDP)"/>
    <n v="35.193293001282598"/>
    <x v="50"/>
  </r>
  <r>
    <x v="0"/>
    <s v="Exports of goods and services (% of GDP)"/>
    <n v="9.3537104674061204"/>
    <x v="51"/>
  </r>
  <r>
    <x v="1"/>
    <s v="Exports of goods and services (% of GDP)"/>
    <n v="25.9320736431239"/>
    <x v="51"/>
  </r>
  <r>
    <x v="2"/>
    <s v="Exports of goods and services (% of GDP)"/>
    <n v="38.877256932024103"/>
    <x v="51"/>
  </r>
  <r>
    <x v="3"/>
    <s v="Exports of goods and services (% of GDP)"/>
    <n v="17.351605802829098"/>
    <x v="51"/>
  </r>
  <r>
    <x v="4"/>
    <s v="Exports of goods and services (% of GDP)"/>
    <m/>
    <x v="51"/>
  </r>
  <r>
    <x v="5"/>
    <s v="Exports of goods and services (% of GDP)"/>
    <n v="16.686853199733701"/>
    <x v="51"/>
  </r>
  <r>
    <x v="6"/>
    <s v="Exports of goods and services (% of GDP)"/>
    <n v="32.602241227285703"/>
    <x v="51"/>
  </r>
  <r>
    <x v="7"/>
    <s v="Exports of goods and services (% of GDP)"/>
    <n v="17.4499924055816"/>
    <x v="51"/>
  </r>
  <r>
    <x v="8"/>
    <s v="Exports of goods and services (% of GDP)"/>
    <n v="21.625194710111401"/>
    <x v="51"/>
  </r>
  <r>
    <x v="9"/>
    <s v="Exports of goods and services (% of GDP)"/>
    <n v="23.632130384167599"/>
    <x v="51"/>
  </r>
  <r>
    <x v="10"/>
    <s v="Exports of goods and services (% of GDP)"/>
    <n v="21.807434968292998"/>
    <x v="51"/>
  </r>
  <r>
    <x v="11"/>
    <s v="Exports of goods and services (% of GDP)"/>
    <n v="26.7428014544383"/>
    <x v="51"/>
  </r>
  <r>
    <x v="12"/>
    <s v="Exports of goods and services (% of GDP)"/>
    <n v="20.777167283281202"/>
    <x v="51"/>
  </r>
  <r>
    <x v="13"/>
    <s v="Exports of goods and services (% of GDP)"/>
    <n v="22.7261779161711"/>
    <x v="51"/>
  </r>
  <r>
    <x v="14"/>
    <s v="Exports of goods and services (% of GDP)"/>
    <n v="44.970957223212103"/>
    <x v="51"/>
  </r>
  <r>
    <x v="15"/>
    <s v="Exports of goods and services (% of GDP)"/>
    <n v="33.426692070247803"/>
    <x v="51"/>
  </r>
  <r>
    <x v="16"/>
    <s v="Exports of goods and services (% of GDP)"/>
    <n v="9.9464912540158906E-2"/>
    <x v="51"/>
  </r>
  <r>
    <x v="17"/>
    <s v="Exports of goods and services (% of GDP)"/>
    <n v="8.9040304209212593"/>
    <x v="51"/>
  </r>
  <r>
    <x v="18"/>
    <s v="Exports of goods and services (% of GDP)"/>
    <n v="45.0169781525763"/>
    <x v="51"/>
  </r>
  <r>
    <x v="19"/>
    <s v="Exports of goods and services (% of GDP)"/>
    <n v="20.902366521507702"/>
    <x v="51"/>
  </r>
  <r>
    <x v="20"/>
    <s v="Exports of goods and services (% of GDP)"/>
    <n v="13.645423570636"/>
    <x v="51"/>
  </r>
  <r>
    <x v="21"/>
    <s v="Exports of goods and services (% of GDP)"/>
    <m/>
    <x v="51"/>
  </r>
  <r>
    <x v="22"/>
    <s v="Exports of goods and services (% of GDP)"/>
    <n v="20.896839580967502"/>
    <x v="51"/>
  </r>
  <r>
    <x v="23"/>
    <s v="Exports of goods and services (% of GDP)"/>
    <n v="16.447132629002599"/>
    <x v="51"/>
  </r>
  <r>
    <x v="24"/>
    <s v="Exports of goods and services (% of GDP)"/>
    <n v="20.756418338336101"/>
    <x v="51"/>
  </r>
  <r>
    <x v="25"/>
    <s v="Exports of goods and services (% of GDP)"/>
    <n v="19.0175749239841"/>
    <x v="51"/>
  </r>
  <r>
    <x v="26"/>
    <s v="Exports of goods and services (% of GDP)"/>
    <n v="40.470216824151002"/>
    <x v="51"/>
  </r>
  <r>
    <x v="27"/>
    <s v="Exports of goods and services (% of GDP)"/>
    <n v="40.563716972454998"/>
    <x v="51"/>
  </r>
  <r>
    <x v="0"/>
    <s v="Exports of goods and services (% of GDP)"/>
    <n v="8.9501289217801592"/>
    <x v="52"/>
  </r>
  <r>
    <x v="1"/>
    <s v="Exports of goods and services (% of GDP)"/>
    <n v="26.1182006061942"/>
    <x v="52"/>
  </r>
  <r>
    <x v="2"/>
    <s v="Exports of goods and services (% of GDP)"/>
    <n v="38.468054216236197"/>
    <x v="52"/>
  </r>
  <r>
    <x v="3"/>
    <s v="Exports of goods and services (% of GDP)"/>
    <n v="15.686103750537599"/>
    <x v="52"/>
  </r>
  <r>
    <x v="4"/>
    <s v="Exports of goods and services (% of GDP)"/>
    <m/>
    <x v="52"/>
  </r>
  <r>
    <x v="5"/>
    <s v="Exports of goods and services (% of GDP)"/>
    <n v="13.7672981990263"/>
    <x v="52"/>
  </r>
  <r>
    <x v="6"/>
    <s v="Exports of goods and services (% of GDP)"/>
    <n v="33.1373915984787"/>
    <x v="52"/>
  </r>
  <r>
    <x v="7"/>
    <s v="Exports of goods and services (% of GDP)"/>
    <n v="16.9072215228265"/>
    <x v="52"/>
  </r>
  <r>
    <x v="8"/>
    <s v="Exports of goods and services (% of GDP)"/>
    <n v="22.261822198698301"/>
    <x v="52"/>
  </r>
  <r>
    <x v="9"/>
    <s v="Exports of goods and services (% of GDP)"/>
    <n v="23.253147793085699"/>
    <x v="52"/>
  </r>
  <r>
    <x v="10"/>
    <s v="Exports of goods and services (% of GDP)"/>
    <n v="32.912705272255799"/>
    <x v="52"/>
  </r>
  <r>
    <x v="11"/>
    <s v="Exports of goods and services (% of GDP)"/>
    <n v="28.557779803661699"/>
    <x v="52"/>
  </r>
  <r>
    <x v="12"/>
    <s v="Exports of goods and services (% of GDP)"/>
    <n v="26.203401493376699"/>
    <x v="52"/>
  </r>
  <r>
    <x v="13"/>
    <s v="Exports of goods and services (% of GDP)"/>
    <n v="26.8925571346712"/>
    <x v="52"/>
  </r>
  <r>
    <x v="14"/>
    <s v="Exports of goods and services (% of GDP)"/>
    <n v="43.482916310925397"/>
    <x v="52"/>
  </r>
  <r>
    <x v="15"/>
    <s v="Exports of goods and services (% of GDP)"/>
    <n v="32.376133012249703"/>
    <x v="52"/>
  </r>
  <r>
    <x v="16"/>
    <s v="Exports of goods and services (% of GDP)"/>
    <n v="11.4983610766133"/>
    <x v="52"/>
  </r>
  <r>
    <x v="17"/>
    <s v="Exports of goods and services (% of GDP)"/>
    <n v="10.073892980232401"/>
    <x v="52"/>
  </r>
  <r>
    <x v="18"/>
    <s v="Exports of goods and services (% of GDP)"/>
    <n v="47.469175558778197"/>
    <x v="52"/>
  </r>
  <r>
    <x v="19"/>
    <s v="Exports of goods and services (% of GDP)"/>
    <n v="21.8589148537915"/>
    <x v="52"/>
  </r>
  <r>
    <x v="20"/>
    <s v="Exports of goods and services (% of GDP)"/>
    <n v="12.7868823188936"/>
    <x v="52"/>
  </r>
  <r>
    <x v="21"/>
    <s v="Exports of goods and services (% of GDP)"/>
    <m/>
    <x v="52"/>
  </r>
  <r>
    <x v="22"/>
    <s v="Exports of goods and services (% of GDP)"/>
    <n v="19.816482474646602"/>
    <x v="52"/>
  </r>
  <r>
    <x v="23"/>
    <s v="Exports of goods and services (% of GDP)"/>
    <n v="17.186636101440399"/>
    <x v="52"/>
  </r>
  <r>
    <x v="24"/>
    <s v="Exports of goods and services (% of GDP)"/>
    <n v="21.285309859524201"/>
    <x v="52"/>
  </r>
  <r>
    <x v="25"/>
    <s v="Exports of goods and services (% of GDP)"/>
    <n v="20.216720958749999"/>
    <x v="52"/>
  </r>
  <r>
    <x v="26"/>
    <s v="Exports of goods and services (% of GDP)"/>
    <n v="40.082423337535801"/>
    <x v="52"/>
  </r>
  <r>
    <x v="27"/>
    <s v="Exports of goods and services (% of GDP)"/>
    <n v="30.238062370314601"/>
    <x v="52"/>
  </r>
  <r>
    <x v="0"/>
    <s v="Exports of goods and services (% of GDP)"/>
    <n v="7.3958211319558096"/>
    <x v="53"/>
  </r>
  <r>
    <x v="1"/>
    <s v="Exports of goods and services (% of GDP)"/>
    <n v="25.567764284212501"/>
    <x v="53"/>
  </r>
  <r>
    <x v="2"/>
    <s v="Exports of goods and services (% of GDP)"/>
    <n v="33.565591667752997"/>
    <x v="53"/>
  </r>
  <r>
    <x v="3"/>
    <s v="Exports of goods and services (% of GDP)"/>
    <n v="16.320600040377901"/>
    <x v="53"/>
  </r>
  <r>
    <x v="4"/>
    <s v="Exports of goods and services (% of GDP)"/>
    <n v="36.646944141220601"/>
    <x v="53"/>
  </r>
  <r>
    <x v="5"/>
    <s v="Exports of goods and services (% of GDP)"/>
    <n v="12.484073558977"/>
    <x v="53"/>
  </r>
  <r>
    <x v="6"/>
    <s v="Exports of goods and services (% of GDP)"/>
    <n v="26.470620645956199"/>
    <x v="53"/>
  </r>
  <r>
    <x v="7"/>
    <s v="Exports of goods and services (% of GDP)"/>
    <n v="18.255390009245101"/>
    <x v="53"/>
  </r>
  <r>
    <x v="8"/>
    <s v="Exports of goods and services (% of GDP)"/>
    <n v="19.9253882154437"/>
    <x v="53"/>
  </r>
  <r>
    <x v="9"/>
    <s v="Exports of goods and services (% of GDP)"/>
    <n v="21.896878577997999"/>
    <x v="53"/>
  </r>
  <r>
    <x v="10"/>
    <s v="Exports of goods and services (% of GDP)"/>
    <n v="34.579717441561797"/>
    <x v="53"/>
  </r>
  <r>
    <x v="11"/>
    <s v="Exports of goods and services (% of GDP)"/>
    <n v="30.064300988592102"/>
    <x v="53"/>
  </r>
  <r>
    <x v="12"/>
    <s v="Exports of goods and services (% of GDP)"/>
    <n v="35.659773814225701"/>
    <x v="53"/>
  </r>
  <r>
    <x v="13"/>
    <s v="Exports of goods and services (% of GDP)"/>
    <n v="24.926607651465499"/>
    <x v="53"/>
  </r>
  <r>
    <x v="14"/>
    <s v="Exports of goods and services (% of GDP)"/>
    <n v="43.343945876032201"/>
    <x v="53"/>
  </r>
  <r>
    <x v="15"/>
    <s v="Exports of goods and services (% of GDP)"/>
    <n v="30.3693090502289"/>
    <x v="53"/>
  </r>
  <r>
    <x v="16"/>
    <s v="Exports of goods and services (% of GDP)"/>
    <n v="19.635098316327099"/>
    <x v="53"/>
  </r>
  <r>
    <x v="17"/>
    <s v="Exports of goods and services (% of GDP)"/>
    <n v="10.689075174143399"/>
    <x v="53"/>
  </r>
  <r>
    <x v="18"/>
    <s v="Exports of goods and services (% of GDP)"/>
    <n v="45.214269490206398"/>
    <x v="53"/>
  </r>
  <r>
    <x v="19"/>
    <s v="Exports of goods and services (% of GDP)"/>
    <n v="22.635506301814502"/>
    <x v="53"/>
  </r>
  <r>
    <x v="20"/>
    <s v="Exports of goods and services (% of GDP)"/>
    <n v="14.0904245050836"/>
    <x v="53"/>
  </r>
  <r>
    <x v="21"/>
    <s v="Exports of goods and services (% of GDP)"/>
    <m/>
    <x v="53"/>
  </r>
  <r>
    <x v="22"/>
    <s v="Exports of goods and services (% of GDP)"/>
    <n v="20.320398243350699"/>
    <x v="53"/>
  </r>
  <r>
    <x v="23"/>
    <s v="Exports of goods and services (% of GDP)"/>
    <n v="11.287360434272999"/>
    <x v="53"/>
  </r>
  <r>
    <x v="24"/>
    <s v="Exports of goods and services (% of GDP)"/>
    <n v="17.651226297459601"/>
    <x v="53"/>
  </r>
  <r>
    <x v="25"/>
    <s v="Exports of goods and services (% of GDP)"/>
    <n v="20.298028404477801"/>
    <x v="53"/>
  </r>
  <r>
    <x v="26"/>
    <s v="Exports of goods and services (% of GDP)"/>
    <n v="40.482850449843198"/>
    <x v="53"/>
  </r>
  <r>
    <x v="27"/>
    <s v="Exports of goods and services (% of GDP)"/>
    <n v="27.166387754691101"/>
    <x v="53"/>
  </r>
  <r>
    <x v="0"/>
    <s v="Exports of goods and services (% of GDP)"/>
    <n v="7.7681825197047303"/>
    <x v="54"/>
  </r>
  <r>
    <x v="1"/>
    <s v="Exports of goods and services (% of GDP)"/>
    <n v="24.938074189187802"/>
    <x v="54"/>
  </r>
  <r>
    <x v="2"/>
    <s v="Exports of goods and services (% of GDP)"/>
    <n v="34.161362887521697"/>
    <x v="54"/>
  </r>
  <r>
    <x v="3"/>
    <s v="Exports of goods and services (% of GDP)"/>
    <n v="16.874713510748801"/>
    <x v="54"/>
  </r>
  <r>
    <x v="4"/>
    <s v="Exports of goods and services (% of GDP)"/>
    <n v="34.942186472794802"/>
    <x v="54"/>
  </r>
  <r>
    <x v="5"/>
    <s v="Exports of goods and services (% of GDP)"/>
    <n v="11.6416199095703"/>
    <x v="54"/>
  </r>
  <r>
    <x v="6"/>
    <s v="Exports of goods and services (% of GDP)"/>
    <n v="26.297297897089699"/>
    <x v="54"/>
  </r>
  <r>
    <x v="7"/>
    <s v="Exports of goods and services (% of GDP)"/>
    <n v="18.517241819551401"/>
    <x v="54"/>
  </r>
  <r>
    <x v="8"/>
    <s v="Exports of goods and services (% of GDP)"/>
    <n v="18.296980919547899"/>
    <x v="54"/>
  </r>
  <r>
    <x v="9"/>
    <s v="Exports of goods and services (% of GDP)"/>
    <n v="22.502020655590499"/>
    <x v="54"/>
  </r>
  <r>
    <x v="10"/>
    <s v="Exports of goods and services (% of GDP)"/>
    <n v="28.4320168902136"/>
    <x v="54"/>
  </r>
  <r>
    <x v="11"/>
    <s v="Exports of goods and services (% of GDP)"/>
    <n v="32.758229294121797"/>
    <x v="54"/>
  </r>
  <r>
    <x v="12"/>
    <s v="Exports of goods and services (% of GDP)"/>
    <n v="33.701567964221802"/>
    <x v="54"/>
  </r>
  <r>
    <x v="13"/>
    <s v="Exports of goods and services (% of GDP)"/>
    <n v="22.4917117714363"/>
    <x v="54"/>
  </r>
  <r>
    <x v="14"/>
    <s v="Exports of goods and services (% of GDP)"/>
    <n v="41.533244087461"/>
    <x v="54"/>
  </r>
  <r>
    <x v="15"/>
    <s v="Exports of goods and services (% of GDP)"/>
    <n v="33.359304134363001"/>
    <x v="54"/>
  </r>
  <r>
    <x v="16"/>
    <s v="Exports of goods and services (% of GDP)"/>
    <n v="20.090339886052501"/>
    <x v="54"/>
  </r>
  <r>
    <x v="17"/>
    <s v="Exports of goods and services (% of GDP)"/>
    <n v="11.5050876388893"/>
    <x v="54"/>
  </r>
  <r>
    <x v="18"/>
    <s v="Exports of goods and services (% of GDP)"/>
    <n v="45.008072249633997"/>
    <x v="54"/>
  </r>
  <r>
    <x v="19"/>
    <s v="Exports of goods and services (% of GDP)"/>
    <n v="21.019770567884201"/>
    <x v="54"/>
  </r>
  <r>
    <x v="20"/>
    <s v="Exports of goods and services (% of GDP)"/>
    <n v="14.7221145338989"/>
    <x v="54"/>
  </r>
  <r>
    <x v="21"/>
    <s v="Exports of goods and services (% of GDP)"/>
    <m/>
    <x v="54"/>
  </r>
  <r>
    <x v="22"/>
    <s v="Exports of goods and services (% of GDP)"/>
    <n v="21.088762290752999"/>
    <x v="54"/>
  </r>
  <r>
    <x v="23"/>
    <s v="Exports of goods and services (% of GDP)"/>
    <n v="9.0540394516414793"/>
    <x v="54"/>
  </r>
  <r>
    <x v="24"/>
    <s v="Exports of goods and services (% of GDP)"/>
    <n v="19.4141823209435"/>
    <x v="54"/>
  </r>
  <r>
    <x v="25"/>
    <s v="Exports of goods and services (% of GDP)"/>
    <n v="18.1702567498821"/>
    <x v="54"/>
  </r>
  <r>
    <x v="26"/>
    <s v="Exports of goods and services (% of GDP)"/>
    <n v="38.822429369467301"/>
    <x v="54"/>
  </r>
  <r>
    <x v="27"/>
    <s v="Exports of goods and services (% of GDP)"/>
    <n v="25.6776040942596"/>
    <x v="54"/>
  </r>
  <r>
    <x v="0"/>
    <s v="Exports of goods and services (% of GDP)"/>
    <n v="6.2526184101750202"/>
    <x v="55"/>
  </r>
  <r>
    <x v="1"/>
    <s v="Exports of goods and services (% of GDP)"/>
    <n v="22.259666218622101"/>
    <x v="55"/>
  </r>
  <r>
    <x v="2"/>
    <s v="Exports of goods and services (% of GDP)"/>
    <n v="29.8930571008835"/>
    <x v="55"/>
  </r>
  <r>
    <x v="3"/>
    <s v="Exports of goods and services (% of GDP)"/>
    <n v="17.790416703903901"/>
    <x v="55"/>
  </r>
  <r>
    <x v="4"/>
    <s v="Exports of goods and services (% of GDP)"/>
    <n v="38.676265148838901"/>
    <x v="55"/>
  </r>
  <r>
    <x v="5"/>
    <s v="Exports of goods and services (% of GDP)"/>
    <n v="9.3633135973592605"/>
    <x v="55"/>
  </r>
  <r>
    <x v="6"/>
    <s v="Exports of goods and services (% of GDP)"/>
    <n v="23.063515379677"/>
    <x v="55"/>
  </r>
  <r>
    <x v="7"/>
    <s v="Exports of goods and services (% of GDP)"/>
    <n v="20.007364674113202"/>
    <x v="55"/>
  </r>
  <r>
    <x v="8"/>
    <s v="Exports of goods and services (% of GDP)"/>
    <n v="16.592443318291"/>
    <x v="55"/>
  </r>
  <r>
    <x v="9"/>
    <s v="Exports of goods and services (% of GDP)"/>
    <n v="21.939416900583801"/>
    <x v="55"/>
  </r>
  <r>
    <x v="10"/>
    <s v="Exports of goods and services (% of GDP)"/>
    <n v="19.469026548672598"/>
    <x v="55"/>
  </r>
  <r>
    <x v="11"/>
    <s v="Exports of goods and services (% of GDP)"/>
    <n v="32.064005118253"/>
    <x v="55"/>
  </r>
  <r>
    <x v="12"/>
    <s v="Exports of goods and services (% of GDP)"/>
    <n v="29.1565198766117"/>
    <x v="55"/>
  </r>
  <r>
    <x v="13"/>
    <s v="Exports of goods and services (% of GDP)"/>
    <n v="24.043227932297"/>
    <x v="55"/>
  </r>
  <r>
    <x v="14"/>
    <s v="Exports of goods and services (% of GDP)"/>
    <n v="42.804529915227299"/>
    <x v="55"/>
  </r>
  <r>
    <x v="15"/>
    <s v="Exports of goods and services (% of GDP)"/>
    <n v="32.216277673686399"/>
    <x v="55"/>
  </r>
  <r>
    <x v="16"/>
    <s v="Exports of goods and services (% of GDP)"/>
    <n v="20.799172855575499"/>
    <x v="55"/>
  </r>
  <r>
    <x v="17"/>
    <s v="Exports of goods and services (% of GDP)"/>
    <n v="11.6219397442892"/>
    <x v="55"/>
  </r>
  <r>
    <x v="18"/>
    <s v="Exports of goods and services (% of GDP)"/>
    <n v="40.5508552960546"/>
    <x v="55"/>
  </r>
  <r>
    <x v="19"/>
    <s v="Exports of goods and services (% of GDP)"/>
    <n v="18.188851286616199"/>
    <x v="55"/>
  </r>
  <r>
    <x v="20"/>
    <s v="Exports of goods and services (% of GDP)"/>
    <n v="14.2427395121912"/>
    <x v="55"/>
  </r>
  <r>
    <x v="21"/>
    <s v="Exports of goods and services (% of GDP)"/>
    <m/>
    <x v="55"/>
  </r>
  <r>
    <x v="22"/>
    <s v="Exports of goods and services (% of GDP)"/>
    <n v="21.013103191359001"/>
    <x v="55"/>
  </r>
  <r>
    <x v="23"/>
    <s v="Exports of goods and services (% of GDP)"/>
    <n v="10.5039418118409"/>
    <x v="55"/>
  </r>
  <r>
    <x v="24"/>
    <s v="Exports of goods and services (% of GDP)"/>
    <n v="21.623518041850101"/>
    <x v="55"/>
  </r>
  <r>
    <x v="25"/>
    <s v="Exports of goods and services (% of GDP)"/>
    <n v="18.4443044055058"/>
    <x v="55"/>
  </r>
  <r>
    <x v="26"/>
    <s v="Exports of goods and services (% of GDP)"/>
    <n v="37.1384510181256"/>
    <x v="55"/>
  </r>
  <r>
    <x v="27"/>
    <s v="Exports of goods and services (% of GDP)"/>
    <n v="23.459349475369301"/>
    <x v="55"/>
  </r>
  <r>
    <x v="0"/>
    <s v="Exports of goods and services (% of GDP)"/>
    <n v="6.2409509050453504"/>
    <x v="56"/>
  </r>
  <r>
    <x v="1"/>
    <s v="Exports of goods and services (% of GDP)"/>
    <n v="18.583480764197901"/>
    <x v="56"/>
  </r>
  <r>
    <x v="2"/>
    <s v="Exports of goods and services (% of GDP)"/>
    <n v="28.191693734929299"/>
    <x v="56"/>
  </r>
  <r>
    <x v="3"/>
    <s v="Exports of goods and services (% of GDP)"/>
    <n v="15.942111720609599"/>
    <x v="56"/>
  </r>
  <r>
    <x v="4"/>
    <s v="Exports of goods and services (% of GDP)"/>
    <n v="33.713735791057502"/>
    <x v="56"/>
  </r>
  <r>
    <x v="5"/>
    <s v="Exports of goods and services (% of GDP)"/>
    <n v="7.9480197264995196"/>
    <x v="56"/>
  </r>
  <r>
    <x v="6"/>
    <s v="Exports of goods and services (% of GDP)"/>
    <n v="29.42903111028"/>
    <x v="56"/>
  </r>
  <r>
    <x v="7"/>
    <s v="Exports of goods and services (% of GDP)"/>
    <n v="20.721844010540099"/>
    <x v="56"/>
  </r>
  <r>
    <x v="8"/>
    <s v="Exports of goods and services (% of GDP)"/>
    <n v="13.971218534802899"/>
    <x v="56"/>
  </r>
  <r>
    <x v="9"/>
    <s v="Exports of goods and services (% of GDP)"/>
    <n v="23.288528694735501"/>
    <x v="56"/>
  </r>
  <r>
    <x v="10"/>
    <s v="Exports of goods and services (% of GDP)"/>
    <n v="21.418372203712501"/>
    <x v="56"/>
  </r>
  <r>
    <x v="11"/>
    <s v="Exports of goods and services (% of GDP)"/>
    <n v="33.496719870636198"/>
    <x v="56"/>
  </r>
  <r>
    <x v="12"/>
    <s v="Exports of goods and services (% of GDP)"/>
    <n v="32.966918314769501"/>
    <x v="56"/>
  </r>
  <r>
    <x v="13"/>
    <s v="Exports of goods and services (% of GDP)"/>
    <n v="22.9137678617757"/>
    <x v="56"/>
  </r>
  <r>
    <x v="14"/>
    <s v="Exports of goods and services (% of GDP)"/>
    <n v="43.3302805822876"/>
    <x v="56"/>
  </r>
  <r>
    <x v="15"/>
    <s v="Exports of goods and services (% of GDP)"/>
    <n v="36.677642239344998"/>
    <x v="56"/>
  </r>
  <r>
    <x v="16"/>
    <s v="Exports of goods and services (% of GDP)"/>
    <n v="17.092432209045601"/>
    <x v="56"/>
  </r>
  <r>
    <x v="17"/>
    <s v="Exports of goods and services (% of GDP)"/>
    <n v="9.4925439675177206"/>
    <x v="56"/>
  </r>
  <r>
    <x v="18"/>
    <s v="Exports of goods and services (% of GDP)"/>
    <n v="39.101991579144403"/>
    <x v="56"/>
  </r>
  <r>
    <x v="19"/>
    <s v="Exports of goods and services (% of GDP)"/>
    <n v="16.1675439604697"/>
    <x v="56"/>
  </r>
  <r>
    <x v="20"/>
    <s v="Exports of goods and services (% of GDP)"/>
    <n v="14.9269545880378"/>
    <x v="56"/>
  </r>
  <r>
    <x v="21"/>
    <s v="Exports of goods and services (% of GDP)"/>
    <m/>
    <x v="56"/>
  </r>
  <r>
    <x v="22"/>
    <s v="Exports of goods and services (% of GDP)"/>
    <n v="21.332843840231099"/>
    <x v="56"/>
  </r>
  <r>
    <x v="23"/>
    <s v="Exports of goods and services (% of GDP)"/>
    <n v="13.276742896691999"/>
    <x v="56"/>
  </r>
  <r>
    <x v="24"/>
    <s v="Exports of goods and services (% of GDP)"/>
    <n v="19.592305081512201"/>
    <x v="56"/>
  </r>
  <r>
    <x v="25"/>
    <s v="Exports of goods and services (% of GDP)"/>
    <n v="18.581515995322601"/>
    <x v="56"/>
  </r>
  <r>
    <x v="26"/>
    <s v="Exports of goods and services (% of GDP)"/>
    <n v="35.324667511962197"/>
    <x v="56"/>
  </r>
  <r>
    <x v="27"/>
    <s v="Exports of goods and services (% of GDP)"/>
    <n v="24.657893288361901"/>
    <x v="56"/>
  </r>
  <r>
    <x v="0"/>
    <s v="Exports of goods and services (% of GDP)"/>
    <m/>
    <x v="57"/>
  </r>
  <r>
    <x v="1"/>
    <s v="Exports of goods and services (% of GDP)"/>
    <n v="16.9598714609821"/>
    <x v="57"/>
  </r>
  <r>
    <x v="2"/>
    <s v="Exports of goods and services (% of GDP)"/>
    <n v="33.8539186236018"/>
    <x v="57"/>
  </r>
  <r>
    <x v="3"/>
    <s v="Exports of goods and services (% of GDP)"/>
    <n v="17.7"/>
    <x v="57"/>
  </r>
  <r>
    <x v="4"/>
    <s v="Exports of goods and services (% of GDP)"/>
    <n v="34.2265940504398"/>
    <x v="57"/>
  </r>
  <r>
    <x v="5"/>
    <s v="Exports of goods and services (% of GDP)"/>
    <n v="7.7383298203974604"/>
    <x v="57"/>
  </r>
  <r>
    <x v="6"/>
    <s v="Exports of goods and services (% of GDP)"/>
    <n v="42.948163001595503"/>
    <x v="57"/>
  </r>
  <r>
    <x v="7"/>
    <s v="Exports of goods and services (% of GDP)"/>
    <n v="18.8380010545178"/>
    <x v="57"/>
  </r>
  <r>
    <x v="8"/>
    <s v="Exports of goods and services (% of GDP)"/>
    <n v="13.931212921092699"/>
    <x v="57"/>
  </r>
  <r>
    <x v="9"/>
    <s v="Exports of goods and services (% of GDP)"/>
    <n v="26.576035409421401"/>
    <x v="57"/>
  </r>
  <r>
    <x v="10"/>
    <s v="Exports of goods and services (% of GDP)"/>
    <m/>
    <x v="57"/>
  </r>
  <r>
    <x v="11"/>
    <s v="Exports of goods and services (% of GDP)"/>
    <n v="35.418556458820703"/>
    <x v="57"/>
  </r>
  <r>
    <x v="12"/>
    <s v="Exports of goods and services (% of GDP)"/>
    <n v="29.162844079049801"/>
    <x v="57"/>
  </r>
  <r>
    <x v="13"/>
    <s v="Exports of goods and services (% of GDP)"/>
    <n v="22.079764689271101"/>
    <x v="57"/>
  </r>
  <r>
    <x v="14"/>
    <s v="Exports of goods and services (% of GDP)"/>
    <n v="42.537956626698303"/>
    <x v="57"/>
  </r>
  <r>
    <x v="15"/>
    <s v="Exports of goods and services (% of GDP)"/>
    <n v="38.266487420297501"/>
    <x v="57"/>
  </r>
  <r>
    <x v="16"/>
    <s v="Exports of goods and services (% of GDP)"/>
    <m/>
    <x v="57"/>
  </r>
  <r>
    <x v="17"/>
    <s v="Exports of goods and services (% of GDP)"/>
    <n v="9.7581968698520996"/>
    <x v="57"/>
  </r>
  <r>
    <x v="18"/>
    <s v="Exports of goods and services (% of GDP)"/>
    <n v="41.226851587223898"/>
    <x v="57"/>
  </r>
  <r>
    <x v="19"/>
    <s v="Exports of goods and services (% of GDP)"/>
    <n v="16.6237373309962"/>
    <x v="57"/>
  </r>
  <r>
    <x v="20"/>
    <s v="Exports of goods and services (% of GDP)"/>
    <n v="18.242996716260599"/>
    <x v="57"/>
  </r>
  <r>
    <x v="21"/>
    <s v="Exports of goods and services (% of GDP)"/>
    <m/>
    <x v="57"/>
  </r>
  <r>
    <x v="22"/>
    <s v="Exports of goods and services (% of GDP)"/>
    <n v="21.9294664161927"/>
    <x v="57"/>
  </r>
  <r>
    <x v="23"/>
    <s v="Exports of goods and services (% of GDP)"/>
    <n v="15.709794970340599"/>
    <x v="57"/>
  </r>
  <r>
    <x v="24"/>
    <s v="Exports of goods and services (% of GDP)"/>
    <m/>
    <x v="57"/>
  </r>
  <r>
    <x v="25"/>
    <s v="Exports of goods and services (% of GDP)"/>
    <n v="18.511698613161698"/>
    <x v="57"/>
  </r>
  <r>
    <x v="26"/>
    <s v="Exports of goods and services (% of GDP)"/>
    <n v="35.2413816682785"/>
    <x v="57"/>
  </r>
  <r>
    <x v="27"/>
    <s v="Exports of goods and services (% of GDP)"/>
    <n v="24.123425890612101"/>
    <x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24">
  <r>
    <x v="0"/>
    <s v="GDP growth (annual %)"/>
    <x v="0"/>
    <x v="0"/>
  </r>
  <r>
    <x v="1"/>
    <s v="GDP growth (annual %)"/>
    <x v="0"/>
    <x v="0"/>
  </r>
  <r>
    <x v="2"/>
    <s v="GDP growth (annual %)"/>
    <x v="0"/>
    <x v="0"/>
  </r>
  <r>
    <x v="3"/>
    <s v="GDP growth (annual %)"/>
    <x v="0"/>
    <x v="0"/>
  </r>
  <r>
    <x v="4"/>
    <s v="GDP growth (annual %)"/>
    <x v="0"/>
    <x v="0"/>
  </r>
  <r>
    <x v="5"/>
    <s v="GDP growth (annual %)"/>
    <x v="0"/>
    <x v="0"/>
  </r>
  <r>
    <x v="6"/>
    <s v="GDP growth (annual %)"/>
    <x v="0"/>
    <x v="0"/>
  </r>
  <r>
    <x v="7"/>
    <s v="GDP growth (annual %)"/>
    <x v="0"/>
    <x v="0"/>
  </r>
  <r>
    <x v="8"/>
    <s v="GDP growth (annual %)"/>
    <x v="0"/>
    <x v="0"/>
  </r>
  <r>
    <x v="9"/>
    <s v="GDP growth (annual %)"/>
    <x v="0"/>
    <x v="0"/>
  </r>
  <r>
    <x v="10"/>
    <s v="GDP growth (annual %)"/>
    <x v="0"/>
    <x v="0"/>
  </r>
  <r>
    <x v="11"/>
    <s v="GDP growth (annual %)"/>
    <x v="0"/>
    <x v="0"/>
  </r>
  <r>
    <x v="12"/>
    <s v="GDP growth (annual %)"/>
    <x v="0"/>
    <x v="0"/>
  </r>
  <r>
    <x v="13"/>
    <s v="GDP growth (annual %)"/>
    <x v="0"/>
    <x v="0"/>
  </r>
  <r>
    <x v="14"/>
    <s v="GDP growth (annual %)"/>
    <x v="0"/>
    <x v="0"/>
  </r>
  <r>
    <x v="15"/>
    <s v="GDP growth (annual %)"/>
    <x v="0"/>
    <x v="0"/>
  </r>
  <r>
    <x v="16"/>
    <s v="GDP growth (annual %)"/>
    <x v="0"/>
    <x v="0"/>
  </r>
  <r>
    <x v="17"/>
    <s v="GDP growth (annual %)"/>
    <x v="0"/>
    <x v="0"/>
  </r>
  <r>
    <x v="18"/>
    <s v="GDP growth (annual %)"/>
    <x v="0"/>
    <x v="0"/>
  </r>
  <r>
    <x v="19"/>
    <s v="GDP growth (annual %)"/>
    <x v="0"/>
    <x v="0"/>
  </r>
  <r>
    <x v="20"/>
    <s v="GDP growth (annual %)"/>
    <x v="0"/>
    <x v="0"/>
  </r>
  <r>
    <x v="21"/>
    <s v="GDP growth (annual %)"/>
    <x v="0"/>
    <x v="0"/>
  </r>
  <r>
    <x v="22"/>
    <s v="GDP growth (annual %)"/>
    <x v="0"/>
    <x v="0"/>
  </r>
  <r>
    <x v="23"/>
    <s v="GDP growth (annual %)"/>
    <x v="0"/>
    <x v="0"/>
  </r>
  <r>
    <x v="24"/>
    <s v="GDP growth (annual %)"/>
    <x v="0"/>
    <x v="0"/>
  </r>
  <r>
    <x v="25"/>
    <s v="GDP growth (annual %)"/>
    <x v="0"/>
    <x v="0"/>
  </r>
  <r>
    <x v="26"/>
    <s v="GDP growth (annual %)"/>
    <x v="0"/>
    <x v="0"/>
  </r>
  <r>
    <x v="27"/>
    <s v="GDP growth (annual %)"/>
    <x v="0"/>
    <x v="0"/>
  </r>
  <r>
    <x v="0"/>
    <s v="GDP growth (annual %)"/>
    <x v="1"/>
    <x v="1"/>
  </r>
  <r>
    <x v="1"/>
    <s v="GDP growth (annual %)"/>
    <x v="2"/>
    <x v="1"/>
  </r>
  <r>
    <x v="2"/>
    <s v="GDP growth (annual %)"/>
    <x v="3"/>
    <x v="1"/>
  </r>
  <r>
    <x v="3"/>
    <s v="GDP growth (annual %)"/>
    <x v="0"/>
    <x v="1"/>
  </r>
  <r>
    <x v="4"/>
    <s v="GDP growth (annual %)"/>
    <x v="0"/>
    <x v="1"/>
  </r>
  <r>
    <x v="5"/>
    <s v="GDP growth (annual %)"/>
    <x v="0"/>
    <x v="1"/>
  </r>
  <r>
    <x v="6"/>
    <s v="GDP growth (annual %)"/>
    <x v="0"/>
    <x v="1"/>
  </r>
  <r>
    <x v="7"/>
    <s v="GDP growth (annual %)"/>
    <x v="0"/>
    <x v="1"/>
  </r>
  <r>
    <x v="8"/>
    <s v="GDP growth (annual %)"/>
    <x v="4"/>
    <x v="1"/>
  </r>
  <r>
    <x v="9"/>
    <s v="GDP growth (annual %)"/>
    <x v="0"/>
    <x v="1"/>
  </r>
  <r>
    <x v="10"/>
    <s v="GDP growth (annual %)"/>
    <x v="5"/>
    <x v="1"/>
  </r>
  <r>
    <x v="11"/>
    <s v="GDP growth (annual %)"/>
    <x v="6"/>
    <x v="1"/>
  </r>
  <r>
    <x v="12"/>
    <s v="GDP growth (annual %)"/>
    <x v="7"/>
    <x v="1"/>
  </r>
  <r>
    <x v="13"/>
    <s v="GDP growth (annual %)"/>
    <x v="0"/>
    <x v="1"/>
  </r>
  <r>
    <x v="14"/>
    <s v="GDP growth (annual %)"/>
    <x v="0"/>
    <x v="1"/>
  </r>
  <r>
    <x v="15"/>
    <s v="GDP growth (annual %)"/>
    <x v="0"/>
    <x v="1"/>
  </r>
  <r>
    <x v="16"/>
    <s v="GDP growth (annual %)"/>
    <x v="8"/>
    <x v="1"/>
  </r>
  <r>
    <x v="17"/>
    <s v="GDP growth (annual %)"/>
    <x v="9"/>
    <x v="1"/>
  </r>
  <r>
    <x v="18"/>
    <s v="GDP growth (annual %)"/>
    <x v="10"/>
    <x v="1"/>
  </r>
  <r>
    <x v="19"/>
    <s v="GDP growth (annual %)"/>
    <x v="11"/>
    <x v="1"/>
  </r>
  <r>
    <x v="20"/>
    <s v="GDP growth (annual %)"/>
    <x v="12"/>
    <x v="1"/>
  </r>
  <r>
    <x v="21"/>
    <s v="GDP growth (annual %)"/>
    <x v="0"/>
    <x v="1"/>
  </r>
  <r>
    <x v="22"/>
    <s v="GDP growth (annual %)"/>
    <x v="0"/>
    <x v="1"/>
  </r>
  <r>
    <x v="23"/>
    <s v="GDP growth (annual %)"/>
    <x v="0"/>
    <x v="1"/>
  </r>
  <r>
    <x v="24"/>
    <s v="GDP growth (annual %)"/>
    <x v="0"/>
    <x v="1"/>
  </r>
  <r>
    <x v="25"/>
    <s v="GDP growth (annual %)"/>
    <x v="0"/>
    <x v="1"/>
  </r>
  <r>
    <x v="26"/>
    <s v="GDP growth (annual %)"/>
    <x v="13"/>
    <x v="1"/>
  </r>
  <r>
    <x v="27"/>
    <s v="GDP growth (annual %)"/>
    <x v="14"/>
    <x v="1"/>
  </r>
  <r>
    <x v="0"/>
    <s v="GDP growth (annual %)"/>
    <x v="15"/>
    <x v="2"/>
  </r>
  <r>
    <x v="1"/>
    <s v="GDP growth (annual %)"/>
    <x v="16"/>
    <x v="2"/>
  </r>
  <r>
    <x v="2"/>
    <s v="GDP growth (annual %)"/>
    <x v="17"/>
    <x v="2"/>
  </r>
  <r>
    <x v="3"/>
    <s v="GDP growth (annual %)"/>
    <x v="0"/>
    <x v="2"/>
  </r>
  <r>
    <x v="4"/>
    <s v="GDP growth (annual %)"/>
    <x v="0"/>
    <x v="2"/>
  </r>
  <r>
    <x v="5"/>
    <s v="GDP growth (annual %)"/>
    <x v="0"/>
    <x v="2"/>
  </r>
  <r>
    <x v="6"/>
    <s v="GDP growth (annual %)"/>
    <x v="0"/>
    <x v="2"/>
  </r>
  <r>
    <x v="7"/>
    <s v="GDP growth (annual %)"/>
    <x v="0"/>
    <x v="2"/>
  </r>
  <r>
    <x v="8"/>
    <s v="GDP growth (annual %)"/>
    <x v="18"/>
    <x v="2"/>
  </r>
  <r>
    <x v="9"/>
    <s v="GDP growth (annual %)"/>
    <x v="0"/>
    <x v="2"/>
  </r>
  <r>
    <x v="10"/>
    <s v="GDP growth (annual %)"/>
    <x v="19"/>
    <x v="2"/>
  </r>
  <r>
    <x v="11"/>
    <s v="GDP growth (annual %)"/>
    <x v="20"/>
    <x v="2"/>
  </r>
  <r>
    <x v="12"/>
    <s v="GDP growth (annual %)"/>
    <x v="21"/>
    <x v="2"/>
  </r>
  <r>
    <x v="13"/>
    <s v="GDP growth (annual %)"/>
    <x v="0"/>
    <x v="2"/>
  </r>
  <r>
    <x v="14"/>
    <s v="GDP growth (annual %)"/>
    <x v="0"/>
    <x v="2"/>
  </r>
  <r>
    <x v="15"/>
    <s v="GDP growth (annual %)"/>
    <x v="0"/>
    <x v="2"/>
  </r>
  <r>
    <x v="16"/>
    <s v="GDP growth (annual %)"/>
    <x v="22"/>
    <x v="2"/>
  </r>
  <r>
    <x v="17"/>
    <s v="GDP growth (annual %)"/>
    <x v="23"/>
    <x v="2"/>
  </r>
  <r>
    <x v="18"/>
    <s v="GDP growth (annual %)"/>
    <x v="24"/>
    <x v="2"/>
  </r>
  <r>
    <x v="19"/>
    <s v="GDP growth (annual %)"/>
    <x v="25"/>
    <x v="2"/>
  </r>
  <r>
    <x v="20"/>
    <s v="GDP growth (annual %)"/>
    <x v="26"/>
    <x v="2"/>
  </r>
  <r>
    <x v="21"/>
    <s v="GDP growth (annual %)"/>
    <x v="0"/>
    <x v="2"/>
  </r>
  <r>
    <x v="22"/>
    <s v="GDP growth (annual %)"/>
    <x v="27"/>
    <x v="2"/>
  </r>
  <r>
    <x v="23"/>
    <s v="GDP growth (annual %)"/>
    <x v="0"/>
    <x v="2"/>
  </r>
  <r>
    <x v="24"/>
    <s v="GDP growth (annual %)"/>
    <x v="0"/>
    <x v="2"/>
  </r>
  <r>
    <x v="25"/>
    <s v="GDP growth (annual %)"/>
    <x v="0"/>
    <x v="2"/>
  </r>
  <r>
    <x v="26"/>
    <s v="GDP growth (annual %)"/>
    <x v="28"/>
    <x v="2"/>
  </r>
  <r>
    <x v="27"/>
    <s v="GDP growth (annual %)"/>
    <x v="29"/>
    <x v="2"/>
  </r>
  <r>
    <x v="0"/>
    <s v="GDP growth (annual %)"/>
    <x v="30"/>
    <x v="3"/>
  </r>
  <r>
    <x v="1"/>
    <s v="GDP growth (annual %)"/>
    <x v="31"/>
    <x v="3"/>
  </r>
  <r>
    <x v="2"/>
    <s v="GDP growth (annual %)"/>
    <x v="32"/>
    <x v="3"/>
  </r>
  <r>
    <x v="3"/>
    <s v="GDP growth (annual %)"/>
    <x v="0"/>
    <x v="3"/>
  </r>
  <r>
    <x v="4"/>
    <s v="GDP growth (annual %)"/>
    <x v="0"/>
    <x v="3"/>
  </r>
  <r>
    <x v="5"/>
    <s v="GDP growth (annual %)"/>
    <x v="0"/>
    <x v="3"/>
  </r>
  <r>
    <x v="6"/>
    <s v="GDP growth (annual %)"/>
    <x v="0"/>
    <x v="3"/>
  </r>
  <r>
    <x v="7"/>
    <s v="GDP growth (annual %)"/>
    <x v="0"/>
    <x v="3"/>
  </r>
  <r>
    <x v="8"/>
    <s v="GDP growth (annual %)"/>
    <x v="33"/>
    <x v="3"/>
  </r>
  <r>
    <x v="9"/>
    <s v="GDP growth (annual %)"/>
    <x v="0"/>
    <x v="3"/>
  </r>
  <r>
    <x v="10"/>
    <s v="GDP growth (annual %)"/>
    <x v="34"/>
    <x v="3"/>
  </r>
  <r>
    <x v="11"/>
    <s v="GDP growth (annual %)"/>
    <x v="35"/>
    <x v="3"/>
  </r>
  <r>
    <x v="12"/>
    <s v="GDP growth (annual %)"/>
    <x v="36"/>
    <x v="3"/>
  </r>
  <r>
    <x v="13"/>
    <s v="GDP growth (annual %)"/>
    <x v="0"/>
    <x v="3"/>
  </r>
  <r>
    <x v="14"/>
    <s v="GDP growth (annual %)"/>
    <x v="0"/>
    <x v="3"/>
  </r>
  <r>
    <x v="15"/>
    <s v="GDP growth (annual %)"/>
    <x v="0"/>
    <x v="3"/>
  </r>
  <r>
    <x v="16"/>
    <s v="GDP growth (annual %)"/>
    <x v="37"/>
    <x v="3"/>
  </r>
  <r>
    <x v="17"/>
    <s v="GDP growth (annual %)"/>
    <x v="38"/>
    <x v="3"/>
  </r>
  <r>
    <x v="18"/>
    <s v="GDP growth (annual %)"/>
    <x v="39"/>
    <x v="3"/>
  </r>
  <r>
    <x v="19"/>
    <s v="GDP growth (annual %)"/>
    <x v="40"/>
    <x v="3"/>
  </r>
  <r>
    <x v="20"/>
    <s v="GDP growth (annual %)"/>
    <x v="41"/>
    <x v="3"/>
  </r>
  <r>
    <x v="21"/>
    <s v="GDP growth (annual %)"/>
    <x v="0"/>
    <x v="3"/>
  </r>
  <r>
    <x v="22"/>
    <s v="GDP growth (annual %)"/>
    <x v="42"/>
    <x v="3"/>
  </r>
  <r>
    <x v="23"/>
    <s v="GDP growth (annual %)"/>
    <x v="0"/>
    <x v="3"/>
  </r>
  <r>
    <x v="24"/>
    <s v="GDP growth (annual %)"/>
    <x v="0"/>
    <x v="3"/>
  </r>
  <r>
    <x v="25"/>
    <s v="GDP growth (annual %)"/>
    <x v="0"/>
    <x v="3"/>
  </r>
  <r>
    <x v="26"/>
    <s v="GDP growth (annual %)"/>
    <x v="43"/>
    <x v="3"/>
  </r>
  <r>
    <x v="27"/>
    <s v="GDP growth (annual %)"/>
    <x v="44"/>
    <x v="3"/>
  </r>
  <r>
    <x v="0"/>
    <s v="GDP growth (annual %)"/>
    <x v="45"/>
    <x v="4"/>
  </r>
  <r>
    <x v="1"/>
    <s v="GDP growth (annual %)"/>
    <x v="46"/>
    <x v="4"/>
  </r>
  <r>
    <x v="2"/>
    <s v="GDP growth (annual %)"/>
    <x v="47"/>
    <x v="4"/>
  </r>
  <r>
    <x v="3"/>
    <s v="GDP growth (annual %)"/>
    <x v="0"/>
    <x v="4"/>
  </r>
  <r>
    <x v="4"/>
    <s v="GDP growth (annual %)"/>
    <x v="0"/>
    <x v="4"/>
  </r>
  <r>
    <x v="5"/>
    <s v="GDP growth (annual %)"/>
    <x v="0"/>
    <x v="4"/>
  </r>
  <r>
    <x v="6"/>
    <s v="GDP growth (annual %)"/>
    <x v="0"/>
    <x v="4"/>
  </r>
  <r>
    <x v="7"/>
    <s v="GDP growth (annual %)"/>
    <x v="0"/>
    <x v="4"/>
  </r>
  <r>
    <x v="8"/>
    <s v="GDP growth (annual %)"/>
    <x v="48"/>
    <x v="4"/>
  </r>
  <r>
    <x v="9"/>
    <s v="GDP growth (annual %)"/>
    <x v="0"/>
    <x v="4"/>
  </r>
  <r>
    <x v="10"/>
    <s v="GDP growth (annual %)"/>
    <x v="49"/>
    <x v="4"/>
  </r>
  <r>
    <x v="11"/>
    <s v="GDP growth (annual %)"/>
    <x v="50"/>
    <x v="4"/>
  </r>
  <r>
    <x v="12"/>
    <s v="GDP growth (annual %)"/>
    <x v="51"/>
    <x v="4"/>
  </r>
  <r>
    <x v="13"/>
    <s v="GDP growth (annual %)"/>
    <x v="0"/>
    <x v="4"/>
  </r>
  <r>
    <x v="14"/>
    <s v="GDP growth (annual %)"/>
    <x v="0"/>
    <x v="4"/>
  </r>
  <r>
    <x v="15"/>
    <s v="GDP growth (annual %)"/>
    <x v="0"/>
    <x v="4"/>
  </r>
  <r>
    <x v="16"/>
    <s v="GDP growth (annual %)"/>
    <x v="52"/>
    <x v="4"/>
  </r>
  <r>
    <x v="17"/>
    <s v="GDP growth (annual %)"/>
    <x v="53"/>
    <x v="4"/>
  </r>
  <r>
    <x v="18"/>
    <s v="GDP growth (annual %)"/>
    <x v="54"/>
    <x v="4"/>
  </r>
  <r>
    <x v="19"/>
    <s v="GDP growth (annual %)"/>
    <x v="55"/>
    <x v="4"/>
  </r>
  <r>
    <x v="20"/>
    <s v="GDP growth (annual %)"/>
    <x v="56"/>
    <x v="4"/>
  </r>
  <r>
    <x v="21"/>
    <s v="GDP growth (annual %)"/>
    <x v="0"/>
    <x v="4"/>
  </r>
  <r>
    <x v="22"/>
    <s v="GDP growth (annual %)"/>
    <x v="57"/>
    <x v="4"/>
  </r>
  <r>
    <x v="23"/>
    <s v="GDP growth (annual %)"/>
    <x v="0"/>
    <x v="4"/>
  </r>
  <r>
    <x v="24"/>
    <s v="GDP growth (annual %)"/>
    <x v="0"/>
    <x v="4"/>
  </r>
  <r>
    <x v="25"/>
    <s v="GDP growth (annual %)"/>
    <x v="0"/>
    <x v="4"/>
  </r>
  <r>
    <x v="26"/>
    <s v="GDP growth (annual %)"/>
    <x v="58"/>
    <x v="4"/>
  </r>
  <r>
    <x v="27"/>
    <s v="GDP growth (annual %)"/>
    <x v="59"/>
    <x v="4"/>
  </r>
  <r>
    <x v="0"/>
    <s v="GDP growth (annual %)"/>
    <x v="60"/>
    <x v="5"/>
  </r>
  <r>
    <x v="1"/>
    <s v="GDP growth (annual %)"/>
    <x v="61"/>
    <x v="5"/>
  </r>
  <r>
    <x v="2"/>
    <s v="GDP growth (annual %)"/>
    <x v="62"/>
    <x v="5"/>
  </r>
  <r>
    <x v="3"/>
    <s v="GDP growth (annual %)"/>
    <x v="0"/>
    <x v="5"/>
  </r>
  <r>
    <x v="4"/>
    <s v="GDP growth (annual %)"/>
    <x v="0"/>
    <x v="5"/>
  </r>
  <r>
    <x v="5"/>
    <s v="GDP growth (annual %)"/>
    <x v="0"/>
    <x v="5"/>
  </r>
  <r>
    <x v="6"/>
    <s v="GDP growth (annual %)"/>
    <x v="0"/>
    <x v="5"/>
  </r>
  <r>
    <x v="7"/>
    <s v="GDP growth (annual %)"/>
    <x v="0"/>
    <x v="5"/>
  </r>
  <r>
    <x v="8"/>
    <s v="GDP growth (annual %)"/>
    <x v="63"/>
    <x v="5"/>
  </r>
  <r>
    <x v="9"/>
    <s v="GDP growth (annual %)"/>
    <x v="0"/>
    <x v="5"/>
  </r>
  <r>
    <x v="10"/>
    <s v="GDP growth (annual %)"/>
    <x v="64"/>
    <x v="5"/>
  </r>
  <r>
    <x v="11"/>
    <s v="GDP growth (annual %)"/>
    <x v="65"/>
    <x v="5"/>
  </r>
  <r>
    <x v="12"/>
    <s v="GDP growth (annual %)"/>
    <x v="66"/>
    <x v="5"/>
  </r>
  <r>
    <x v="13"/>
    <s v="GDP growth (annual %)"/>
    <x v="0"/>
    <x v="5"/>
  </r>
  <r>
    <x v="14"/>
    <s v="GDP growth (annual %)"/>
    <x v="0"/>
    <x v="5"/>
  </r>
  <r>
    <x v="15"/>
    <s v="GDP growth (annual %)"/>
    <x v="0"/>
    <x v="5"/>
  </r>
  <r>
    <x v="16"/>
    <s v="GDP growth (annual %)"/>
    <x v="67"/>
    <x v="5"/>
  </r>
  <r>
    <x v="17"/>
    <s v="GDP growth (annual %)"/>
    <x v="68"/>
    <x v="5"/>
  </r>
  <r>
    <x v="18"/>
    <s v="GDP growth (annual %)"/>
    <x v="69"/>
    <x v="5"/>
  </r>
  <r>
    <x v="19"/>
    <s v="GDP growth (annual %)"/>
    <x v="70"/>
    <x v="5"/>
  </r>
  <r>
    <x v="20"/>
    <s v="GDP growth (annual %)"/>
    <x v="71"/>
    <x v="5"/>
  </r>
  <r>
    <x v="21"/>
    <s v="GDP growth (annual %)"/>
    <x v="0"/>
    <x v="5"/>
  </r>
  <r>
    <x v="22"/>
    <s v="GDP growth (annual %)"/>
    <x v="72"/>
    <x v="5"/>
  </r>
  <r>
    <x v="23"/>
    <s v="GDP growth (annual %)"/>
    <x v="0"/>
    <x v="5"/>
  </r>
  <r>
    <x v="24"/>
    <s v="GDP growth (annual %)"/>
    <x v="0"/>
    <x v="5"/>
  </r>
  <r>
    <x v="25"/>
    <s v="GDP growth (annual %)"/>
    <x v="0"/>
    <x v="5"/>
  </r>
  <r>
    <x v="26"/>
    <s v="GDP growth (annual %)"/>
    <x v="73"/>
    <x v="5"/>
  </r>
  <r>
    <x v="27"/>
    <s v="GDP growth (annual %)"/>
    <x v="74"/>
    <x v="5"/>
  </r>
  <r>
    <x v="0"/>
    <s v="GDP growth (annual %)"/>
    <x v="75"/>
    <x v="6"/>
  </r>
  <r>
    <x v="1"/>
    <s v="GDP growth (annual %)"/>
    <x v="76"/>
    <x v="6"/>
  </r>
  <r>
    <x v="2"/>
    <s v="GDP growth (annual %)"/>
    <x v="77"/>
    <x v="6"/>
  </r>
  <r>
    <x v="3"/>
    <s v="GDP growth (annual %)"/>
    <x v="0"/>
    <x v="6"/>
  </r>
  <r>
    <x v="4"/>
    <s v="GDP growth (annual %)"/>
    <x v="0"/>
    <x v="6"/>
  </r>
  <r>
    <x v="5"/>
    <s v="GDP growth (annual %)"/>
    <x v="0"/>
    <x v="6"/>
  </r>
  <r>
    <x v="6"/>
    <s v="GDP growth (annual %)"/>
    <x v="0"/>
    <x v="6"/>
  </r>
  <r>
    <x v="7"/>
    <s v="GDP growth (annual %)"/>
    <x v="0"/>
    <x v="6"/>
  </r>
  <r>
    <x v="8"/>
    <s v="GDP growth (annual %)"/>
    <x v="78"/>
    <x v="6"/>
  </r>
  <r>
    <x v="9"/>
    <s v="GDP growth (annual %)"/>
    <x v="0"/>
    <x v="6"/>
  </r>
  <r>
    <x v="10"/>
    <s v="GDP growth (annual %)"/>
    <x v="79"/>
    <x v="6"/>
  </r>
  <r>
    <x v="11"/>
    <s v="GDP growth (annual %)"/>
    <x v="80"/>
    <x v="6"/>
  </r>
  <r>
    <x v="12"/>
    <s v="GDP growth (annual %)"/>
    <x v="81"/>
    <x v="6"/>
  </r>
  <r>
    <x v="13"/>
    <s v="GDP growth (annual %)"/>
    <x v="0"/>
    <x v="6"/>
  </r>
  <r>
    <x v="14"/>
    <s v="GDP growth (annual %)"/>
    <x v="0"/>
    <x v="6"/>
  </r>
  <r>
    <x v="15"/>
    <s v="GDP growth (annual %)"/>
    <x v="0"/>
    <x v="6"/>
  </r>
  <r>
    <x v="16"/>
    <s v="GDP growth (annual %)"/>
    <x v="82"/>
    <x v="6"/>
  </r>
  <r>
    <x v="17"/>
    <s v="GDP growth (annual %)"/>
    <x v="83"/>
    <x v="6"/>
  </r>
  <r>
    <x v="18"/>
    <s v="GDP growth (annual %)"/>
    <x v="84"/>
    <x v="6"/>
  </r>
  <r>
    <x v="19"/>
    <s v="GDP growth (annual %)"/>
    <x v="85"/>
    <x v="6"/>
  </r>
  <r>
    <x v="20"/>
    <s v="GDP growth (annual %)"/>
    <x v="86"/>
    <x v="6"/>
  </r>
  <r>
    <x v="21"/>
    <s v="GDP growth (annual %)"/>
    <x v="0"/>
    <x v="6"/>
  </r>
  <r>
    <x v="22"/>
    <s v="GDP growth (annual %)"/>
    <x v="87"/>
    <x v="6"/>
  </r>
  <r>
    <x v="23"/>
    <s v="GDP growth (annual %)"/>
    <x v="0"/>
    <x v="6"/>
  </r>
  <r>
    <x v="24"/>
    <s v="GDP growth (annual %)"/>
    <x v="0"/>
    <x v="6"/>
  </r>
  <r>
    <x v="25"/>
    <s v="GDP growth (annual %)"/>
    <x v="0"/>
    <x v="6"/>
  </r>
  <r>
    <x v="26"/>
    <s v="GDP growth (annual %)"/>
    <x v="88"/>
    <x v="6"/>
  </r>
  <r>
    <x v="27"/>
    <s v="GDP growth (annual %)"/>
    <x v="89"/>
    <x v="6"/>
  </r>
  <r>
    <x v="0"/>
    <s v="GDP growth (annual %)"/>
    <x v="90"/>
    <x v="7"/>
  </r>
  <r>
    <x v="1"/>
    <s v="GDP growth (annual %)"/>
    <x v="91"/>
    <x v="7"/>
  </r>
  <r>
    <x v="2"/>
    <s v="GDP growth (annual %)"/>
    <x v="92"/>
    <x v="7"/>
  </r>
  <r>
    <x v="3"/>
    <s v="GDP growth (annual %)"/>
    <x v="0"/>
    <x v="7"/>
  </r>
  <r>
    <x v="4"/>
    <s v="GDP growth (annual %)"/>
    <x v="0"/>
    <x v="7"/>
  </r>
  <r>
    <x v="5"/>
    <s v="GDP growth (annual %)"/>
    <x v="0"/>
    <x v="7"/>
  </r>
  <r>
    <x v="6"/>
    <s v="GDP growth (annual %)"/>
    <x v="0"/>
    <x v="7"/>
  </r>
  <r>
    <x v="7"/>
    <s v="GDP growth (annual %)"/>
    <x v="0"/>
    <x v="7"/>
  </r>
  <r>
    <x v="8"/>
    <s v="GDP growth (annual %)"/>
    <x v="93"/>
    <x v="7"/>
  </r>
  <r>
    <x v="9"/>
    <s v="GDP growth (annual %)"/>
    <x v="0"/>
    <x v="7"/>
  </r>
  <r>
    <x v="10"/>
    <s v="GDP growth (annual %)"/>
    <x v="94"/>
    <x v="7"/>
  </r>
  <r>
    <x v="11"/>
    <s v="GDP growth (annual %)"/>
    <x v="95"/>
    <x v="7"/>
  </r>
  <r>
    <x v="12"/>
    <s v="GDP growth (annual %)"/>
    <x v="96"/>
    <x v="7"/>
  </r>
  <r>
    <x v="13"/>
    <s v="GDP growth (annual %)"/>
    <x v="0"/>
    <x v="7"/>
  </r>
  <r>
    <x v="14"/>
    <s v="GDP growth (annual %)"/>
    <x v="0"/>
    <x v="7"/>
  </r>
  <r>
    <x v="15"/>
    <s v="GDP growth (annual %)"/>
    <x v="0"/>
    <x v="7"/>
  </r>
  <r>
    <x v="16"/>
    <s v="GDP growth (annual %)"/>
    <x v="97"/>
    <x v="7"/>
  </r>
  <r>
    <x v="17"/>
    <s v="GDP growth (annual %)"/>
    <x v="98"/>
    <x v="7"/>
  </r>
  <r>
    <x v="18"/>
    <s v="GDP growth (annual %)"/>
    <x v="99"/>
    <x v="7"/>
  </r>
  <r>
    <x v="19"/>
    <s v="GDP growth (annual %)"/>
    <x v="100"/>
    <x v="7"/>
  </r>
  <r>
    <x v="20"/>
    <s v="GDP growth (annual %)"/>
    <x v="101"/>
    <x v="7"/>
  </r>
  <r>
    <x v="21"/>
    <s v="GDP growth (annual %)"/>
    <x v="0"/>
    <x v="7"/>
  </r>
  <r>
    <x v="22"/>
    <s v="GDP growth (annual %)"/>
    <x v="102"/>
    <x v="7"/>
  </r>
  <r>
    <x v="23"/>
    <s v="GDP growth (annual %)"/>
    <x v="0"/>
    <x v="7"/>
  </r>
  <r>
    <x v="24"/>
    <s v="GDP growth (annual %)"/>
    <x v="0"/>
    <x v="7"/>
  </r>
  <r>
    <x v="25"/>
    <s v="GDP growth (annual %)"/>
    <x v="0"/>
    <x v="7"/>
  </r>
  <r>
    <x v="26"/>
    <s v="GDP growth (annual %)"/>
    <x v="103"/>
    <x v="7"/>
  </r>
  <r>
    <x v="27"/>
    <s v="GDP growth (annual %)"/>
    <x v="104"/>
    <x v="7"/>
  </r>
  <r>
    <x v="0"/>
    <s v="GDP growth (annual %)"/>
    <x v="105"/>
    <x v="8"/>
  </r>
  <r>
    <x v="1"/>
    <s v="GDP growth (annual %)"/>
    <x v="106"/>
    <x v="8"/>
  </r>
  <r>
    <x v="2"/>
    <s v="GDP growth (annual %)"/>
    <x v="107"/>
    <x v="8"/>
  </r>
  <r>
    <x v="3"/>
    <s v="GDP growth (annual %)"/>
    <x v="0"/>
    <x v="8"/>
  </r>
  <r>
    <x v="4"/>
    <s v="GDP growth (annual %)"/>
    <x v="0"/>
    <x v="8"/>
  </r>
  <r>
    <x v="5"/>
    <s v="GDP growth (annual %)"/>
    <x v="0"/>
    <x v="8"/>
  </r>
  <r>
    <x v="6"/>
    <s v="GDP growth (annual %)"/>
    <x v="0"/>
    <x v="8"/>
  </r>
  <r>
    <x v="7"/>
    <s v="GDP growth (annual %)"/>
    <x v="0"/>
    <x v="8"/>
  </r>
  <r>
    <x v="8"/>
    <s v="GDP growth (annual %)"/>
    <x v="108"/>
    <x v="8"/>
  </r>
  <r>
    <x v="9"/>
    <s v="GDP growth (annual %)"/>
    <x v="0"/>
    <x v="8"/>
  </r>
  <r>
    <x v="10"/>
    <s v="GDP growth (annual %)"/>
    <x v="109"/>
    <x v="8"/>
  </r>
  <r>
    <x v="11"/>
    <s v="GDP growth (annual %)"/>
    <x v="110"/>
    <x v="8"/>
  </r>
  <r>
    <x v="12"/>
    <s v="GDP growth (annual %)"/>
    <x v="111"/>
    <x v="8"/>
  </r>
  <r>
    <x v="13"/>
    <s v="GDP growth (annual %)"/>
    <x v="112"/>
    <x v="8"/>
  </r>
  <r>
    <x v="14"/>
    <s v="GDP growth (annual %)"/>
    <x v="0"/>
    <x v="8"/>
  </r>
  <r>
    <x v="15"/>
    <s v="GDP growth (annual %)"/>
    <x v="0"/>
    <x v="8"/>
  </r>
  <r>
    <x v="16"/>
    <s v="GDP growth (annual %)"/>
    <x v="113"/>
    <x v="8"/>
  </r>
  <r>
    <x v="17"/>
    <s v="GDP growth (annual %)"/>
    <x v="114"/>
    <x v="8"/>
  </r>
  <r>
    <x v="18"/>
    <s v="GDP growth (annual %)"/>
    <x v="115"/>
    <x v="8"/>
  </r>
  <r>
    <x v="19"/>
    <s v="GDP growth (annual %)"/>
    <x v="116"/>
    <x v="8"/>
  </r>
  <r>
    <x v="20"/>
    <s v="GDP growth (annual %)"/>
    <x v="117"/>
    <x v="8"/>
  </r>
  <r>
    <x v="21"/>
    <s v="GDP growth (annual %)"/>
    <x v="0"/>
    <x v="8"/>
  </r>
  <r>
    <x v="22"/>
    <s v="GDP growth (annual %)"/>
    <x v="118"/>
    <x v="8"/>
  </r>
  <r>
    <x v="23"/>
    <s v="GDP growth (annual %)"/>
    <x v="0"/>
    <x v="8"/>
  </r>
  <r>
    <x v="24"/>
    <s v="GDP growth (annual %)"/>
    <x v="0"/>
    <x v="8"/>
  </r>
  <r>
    <x v="25"/>
    <s v="GDP growth (annual %)"/>
    <x v="0"/>
    <x v="8"/>
  </r>
  <r>
    <x v="26"/>
    <s v="GDP growth (annual %)"/>
    <x v="119"/>
    <x v="8"/>
  </r>
  <r>
    <x v="27"/>
    <s v="GDP growth (annual %)"/>
    <x v="120"/>
    <x v="8"/>
  </r>
  <r>
    <x v="0"/>
    <s v="GDP growth (annual %)"/>
    <x v="121"/>
    <x v="9"/>
  </r>
  <r>
    <x v="1"/>
    <s v="GDP growth (annual %)"/>
    <x v="122"/>
    <x v="9"/>
  </r>
  <r>
    <x v="2"/>
    <s v="GDP growth (annual %)"/>
    <x v="123"/>
    <x v="9"/>
  </r>
  <r>
    <x v="3"/>
    <s v="GDP growth (annual %)"/>
    <x v="0"/>
    <x v="9"/>
  </r>
  <r>
    <x v="4"/>
    <s v="GDP growth (annual %)"/>
    <x v="0"/>
    <x v="9"/>
  </r>
  <r>
    <x v="5"/>
    <s v="GDP growth (annual %)"/>
    <x v="0"/>
    <x v="9"/>
  </r>
  <r>
    <x v="6"/>
    <s v="GDP growth (annual %)"/>
    <x v="0"/>
    <x v="9"/>
  </r>
  <r>
    <x v="7"/>
    <s v="GDP growth (annual %)"/>
    <x v="0"/>
    <x v="9"/>
  </r>
  <r>
    <x v="8"/>
    <s v="GDP growth (annual %)"/>
    <x v="124"/>
    <x v="9"/>
  </r>
  <r>
    <x v="9"/>
    <s v="GDP growth (annual %)"/>
    <x v="0"/>
    <x v="9"/>
  </r>
  <r>
    <x v="10"/>
    <s v="GDP growth (annual %)"/>
    <x v="125"/>
    <x v="9"/>
  </r>
  <r>
    <x v="11"/>
    <s v="GDP growth (annual %)"/>
    <x v="126"/>
    <x v="9"/>
  </r>
  <r>
    <x v="12"/>
    <s v="GDP growth (annual %)"/>
    <x v="127"/>
    <x v="9"/>
  </r>
  <r>
    <x v="13"/>
    <s v="GDP growth (annual %)"/>
    <x v="128"/>
    <x v="9"/>
  </r>
  <r>
    <x v="14"/>
    <s v="GDP growth (annual %)"/>
    <x v="0"/>
    <x v="9"/>
  </r>
  <r>
    <x v="15"/>
    <s v="GDP growth (annual %)"/>
    <x v="0"/>
    <x v="9"/>
  </r>
  <r>
    <x v="16"/>
    <s v="GDP growth (annual %)"/>
    <x v="129"/>
    <x v="9"/>
  </r>
  <r>
    <x v="17"/>
    <s v="GDP growth (annual %)"/>
    <x v="130"/>
    <x v="9"/>
  </r>
  <r>
    <x v="18"/>
    <s v="GDP growth (annual %)"/>
    <x v="131"/>
    <x v="9"/>
  </r>
  <r>
    <x v="19"/>
    <s v="GDP growth (annual %)"/>
    <x v="132"/>
    <x v="9"/>
  </r>
  <r>
    <x v="20"/>
    <s v="GDP growth (annual %)"/>
    <x v="133"/>
    <x v="9"/>
  </r>
  <r>
    <x v="21"/>
    <s v="GDP growth (annual %)"/>
    <x v="0"/>
    <x v="9"/>
  </r>
  <r>
    <x v="22"/>
    <s v="GDP growth (annual %)"/>
    <x v="134"/>
    <x v="9"/>
  </r>
  <r>
    <x v="23"/>
    <s v="GDP growth (annual %)"/>
    <x v="0"/>
    <x v="9"/>
  </r>
  <r>
    <x v="24"/>
    <s v="GDP growth (annual %)"/>
    <x v="0"/>
    <x v="9"/>
  </r>
  <r>
    <x v="25"/>
    <s v="GDP growth (annual %)"/>
    <x v="0"/>
    <x v="9"/>
  </r>
  <r>
    <x v="26"/>
    <s v="GDP growth (annual %)"/>
    <x v="135"/>
    <x v="9"/>
  </r>
  <r>
    <x v="27"/>
    <s v="GDP growth (annual %)"/>
    <x v="136"/>
    <x v="9"/>
  </r>
  <r>
    <x v="0"/>
    <s v="GDP growth (annual %)"/>
    <x v="137"/>
    <x v="10"/>
  </r>
  <r>
    <x v="1"/>
    <s v="GDP growth (annual %)"/>
    <x v="138"/>
    <x v="10"/>
  </r>
  <r>
    <x v="2"/>
    <s v="GDP growth (annual %)"/>
    <x v="139"/>
    <x v="10"/>
  </r>
  <r>
    <x v="3"/>
    <s v="GDP growth (annual %)"/>
    <x v="0"/>
    <x v="10"/>
  </r>
  <r>
    <x v="4"/>
    <s v="GDP growth (annual %)"/>
    <x v="0"/>
    <x v="10"/>
  </r>
  <r>
    <x v="5"/>
    <s v="GDP growth (annual %)"/>
    <x v="0"/>
    <x v="10"/>
  </r>
  <r>
    <x v="6"/>
    <s v="GDP growth (annual %)"/>
    <x v="0"/>
    <x v="10"/>
  </r>
  <r>
    <x v="7"/>
    <s v="GDP growth (annual %)"/>
    <x v="0"/>
    <x v="10"/>
  </r>
  <r>
    <x v="8"/>
    <s v="GDP growth (annual %)"/>
    <x v="140"/>
    <x v="10"/>
  </r>
  <r>
    <x v="9"/>
    <s v="GDP growth (annual %)"/>
    <x v="0"/>
    <x v="10"/>
  </r>
  <r>
    <x v="10"/>
    <s v="GDP growth (annual %)"/>
    <x v="141"/>
    <x v="10"/>
  </r>
  <r>
    <x v="11"/>
    <s v="GDP growth (annual %)"/>
    <x v="142"/>
    <x v="10"/>
  </r>
  <r>
    <x v="12"/>
    <s v="GDP growth (annual %)"/>
    <x v="143"/>
    <x v="10"/>
  </r>
  <r>
    <x v="13"/>
    <s v="GDP growth (annual %)"/>
    <x v="144"/>
    <x v="10"/>
  </r>
  <r>
    <x v="14"/>
    <s v="GDP growth (annual %)"/>
    <x v="0"/>
    <x v="10"/>
  </r>
  <r>
    <x v="15"/>
    <s v="GDP growth (annual %)"/>
    <x v="0"/>
    <x v="10"/>
  </r>
  <r>
    <x v="16"/>
    <s v="GDP growth (annual %)"/>
    <x v="145"/>
    <x v="10"/>
  </r>
  <r>
    <x v="17"/>
    <s v="GDP growth (annual %)"/>
    <x v="146"/>
    <x v="10"/>
  </r>
  <r>
    <x v="18"/>
    <s v="GDP growth (annual %)"/>
    <x v="147"/>
    <x v="10"/>
  </r>
  <r>
    <x v="19"/>
    <s v="GDP growth (annual %)"/>
    <x v="148"/>
    <x v="10"/>
  </r>
  <r>
    <x v="20"/>
    <s v="GDP growth (annual %)"/>
    <x v="149"/>
    <x v="10"/>
  </r>
  <r>
    <x v="21"/>
    <s v="GDP growth (annual %)"/>
    <x v="0"/>
    <x v="10"/>
  </r>
  <r>
    <x v="22"/>
    <s v="GDP growth (annual %)"/>
    <x v="150"/>
    <x v="10"/>
  </r>
  <r>
    <x v="23"/>
    <s v="GDP growth (annual %)"/>
    <x v="0"/>
    <x v="10"/>
  </r>
  <r>
    <x v="24"/>
    <s v="GDP growth (annual %)"/>
    <x v="0"/>
    <x v="10"/>
  </r>
  <r>
    <x v="25"/>
    <s v="GDP growth (annual %)"/>
    <x v="0"/>
    <x v="10"/>
  </r>
  <r>
    <x v="26"/>
    <s v="GDP growth (annual %)"/>
    <x v="151"/>
    <x v="10"/>
  </r>
  <r>
    <x v="27"/>
    <s v="GDP growth (annual %)"/>
    <x v="152"/>
    <x v="10"/>
  </r>
  <r>
    <x v="0"/>
    <s v="GDP growth (annual %)"/>
    <x v="153"/>
    <x v="11"/>
  </r>
  <r>
    <x v="1"/>
    <s v="GDP growth (annual %)"/>
    <x v="154"/>
    <x v="11"/>
  </r>
  <r>
    <x v="2"/>
    <s v="GDP growth (annual %)"/>
    <x v="155"/>
    <x v="11"/>
  </r>
  <r>
    <x v="3"/>
    <s v="GDP growth (annual %)"/>
    <x v="0"/>
    <x v="11"/>
  </r>
  <r>
    <x v="4"/>
    <s v="GDP growth (annual %)"/>
    <x v="0"/>
    <x v="11"/>
  </r>
  <r>
    <x v="5"/>
    <s v="GDP growth (annual %)"/>
    <x v="0"/>
    <x v="11"/>
  </r>
  <r>
    <x v="6"/>
    <s v="GDP growth (annual %)"/>
    <x v="0"/>
    <x v="11"/>
  </r>
  <r>
    <x v="7"/>
    <s v="GDP growth (annual %)"/>
    <x v="0"/>
    <x v="11"/>
  </r>
  <r>
    <x v="8"/>
    <s v="GDP growth (annual %)"/>
    <x v="156"/>
    <x v="11"/>
  </r>
  <r>
    <x v="9"/>
    <s v="GDP growth (annual %)"/>
    <x v="0"/>
    <x v="11"/>
  </r>
  <r>
    <x v="10"/>
    <s v="GDP growth (annual %)"/>
    <x v="157"/>
    <x v="11"/>
  </r>
  <r>
    <x v="11"/>
    <s v="GDP growth (annual %)"/>
    <x v="158"/>
    <x v="11"/>
  </r>
  <r>
    <x v="12"/>
    <s v="GDP growth (annual %)"/>
    <x v="159"/>
    <x v="11"/>
  </r>
  <r>
    <x v="13"/>
    <s v="GDP growth (annual %)"/>
    <x v="160"/>
    <x v="11"/>
  </r>
  <r>
    <x v="14"/>
    <s v="GDP growth (annual %)"/>
    <x v="0"/>
    <x v="11"/>
  </r>
  <r>
    <x v="15"/>
    <s v="GDP growth (annual %)"/>
    <x v="0"/>
    <x v="11"/>
  </r>
  <r>
    <x v="16"/>
    <s v="GDP growth (annual %)"/>
    <x v="161"/>
    <x v="11"/>
  </r>
  <r>
    <x v="17"/>
    <s v="GDP growth (annual %)"/>
    <x v="162"/>
    <x v="11"/>
  </r>
  <r>
    <x v="18"/>
    <s v="GDP growth (annual %)"/>
    <x v="163"/>
    <x v="11"/>
  </r>
  <r>
    <x v="19"/>
    <s v="GDP growth (annual %)"/>
    <x v="164"/>
    <x v="11"/>
  </r>
  <r>
    <x v="20"/>
    <s v="GDP growth (annual %)"/>
    <x v="165"/>
    <x v="11"/>
  </r>
  <r>
    <x v="21"/>
    <s v="GDP growth (annual %)"/>
    <x v="0"/>
    <x v="11"/>
  </r>
  <r>
    <x v="22"/>
    <s v="GDP growth (annual %)"/>
    <x v="166"/>
    <x v="11"/>
  </r>
  <r>
    <x v="23"/>
    <s v="GDP growth (annual %)"/>
    <x v="0"/>
    <x v="11"/>
  </r>
  <r>
    <x v="24"/>
    <s v="GDP growth (annual %)"/>
    <x v="0"/>
    <x v="11"/>
  </r>
  <r>
    <x v="25"/>
    <s v="GDP growth (annual %)"/>
    <x v="0"/>
    <x v="11"/>
  </r>
  <r>
    <x v="26"/>
    <s v="GDP growth (annual %)"/>
    <x v="167"/>
    <x v="11"/>
  </r>
  <r>
    <x v="27"/>
    <s v="GDP growth (annual %)"/>
    <x v="168"/>
    <x v="11"/>
  </r>
  <r>
    <x v="0"/>
    <s v="GDP growth (annual %)"/>
    <x v="169"/>
    <x v="12"/>
  </r>
  <r>
    <x v="1"/>
    <s v="GDP growth (annual %)"/>
    <x v="170"/>
    <x v="12"/>
  </r>
  <r>
    <x v="2"/>
    <s v="GDP growth (annual %)"/>
    <x v="171"/>
    <x v="12"/>
  </r>
  <r>
    <x v="3"/>
    <s v="GDP growth (annual %)"/>
    <x v="0"/>
    <x v="12"/>
  </r>
  <r>
    <x v="4"/>
    <s v="GDP growth (annual %)"/>
    <x v="0"/>
    <x v="12"/>
  </r>
  <r>
    <x v="5"/>
    <s v="GDP growth (annual %)"/>
    <x v="0"/>
    <x v="12"/>
  </r>
  <r>
    <x v="6"/>
    <s v="GDP growth (annual %)"/>
    <x v="0"/>
    <x v="12"/>
  </r>
  <r>
    <x v="7"/>
    <s v="GDP growth (annual %)"/>
    <x v="0"/>
    <x v="12"/>
  </r>
  <r>
    <x v="8"/>
    <s v="GDP growth (annual %)"/>
    <x v="172"/>
    <x v="12"/>
  </r>
  <r>
    <x v="9"/>
    <s v="GDP growth (annual %)"/>
    <x v="0"/>
    <x v="12"/>
  </r>
  <r>
    <x v="10"/>
    <s v="GDP growth (annual %)"/>
    <x v="173"/>
    <x v="12"/>
  </r>
  <r>
    <x v="11"/>
    <s v="GDP growth (annual %)"/>
    <x v="174"/>
    <x v="12"/>
  </r>
  <r>
    <x v="12"/>
    <s v="GDP growth (annual %)"/>
    <x v="175"/>
    <x v="12"/>
  </r>
  <r>
    <x v="13"/>
    <s v="GDP growth (annual %)"/>
    <x v="176"/>
    <x v="12"/>
  </r>
  <r>
    <x v="14"/>
    <s v="GDP growth (annual %)"/>
    <x v="0"/>
    <x v="12"/>
  </r>
  <r>
    <x v="15"/>
    <s v="GDP growth (annual %)"/>
    <x v="0"/>
    <x v="12"/>
  </r>
  <r>
    <x v="16"/>
    <s v="GDP growth (annual %)"/>
    <x v="177"/>
    <x v="12"/>
  </r>
  <r>
    <x v="17"/>
    <s v="GDP growth (annual %)"/>
    <x v="178"/>
    <x v="12"/>
  </r>
  <r>
    <x v="18"/>
    <s v="GDP growth (annual %)"/>
    <x v="179"/>
    <x v="12"/>
  </r>
  <r>
    <x v="19"/>
    <s v="GDP growth (annual %)"/>
    <x v="180"/>
    <x v="12"/>
  </r>
  <r>
    <x v="20"/>
    <s v="GDP growth (annual %)"/>
    <x v="181"/>
    <x v="12"/>
  </r>
  <r>
    <x v="21"/>
    <s v="GDP growth (annual %)"/>
    <x v="0"/>
    <x v="12"/>
  </r>
  <r>
    <x v="22"/>
    <s v="GDP growth (annual %)"/>
    <x v="182"/>
    <x v="12"/>
  </r>
  <r>
    <x v="23"/>
    <s v="GDP growth (annual %)"/>
    <x v="0"/>
    <x v="12"/>
  </r>
  <r>
    <x v="24"/>
    <s v="GDP growth (annual %)"/>
    <x v="0"/>
    <x v="12"/>
  </r>
  <r>
    <x v="25"/>
    <s v="GDP growth (annual %)"/>
    <x v="0"/>
    <x v="12"/>
  </r>
  <r>
    <x v="26"/>
    <s v="GDP growth (annual %)"/>
    <x v="183"/>
    <x v="12"/>
  </r>
  <r>
    <x v="27"/>
    <s v="GDP growth (annual %)"/>
    <x v="184"/>
    <x v="12"/>
  </r>
  <r>
    <x v="0"/>
    <s v="GDP growth (annual %)"/>
    <x v="185"/>
    <x v="13"/>
  </r>
  <r>
    <x v="1"/>
    <s v="GDP growth (annual %)"/>
    <x v="186"/>
    <x v="13"/>
  </r>
  <r>
    <x v="2"/>
    <s v="GDP growth (annual %)"/>
    <x v="187"/>
    <x v="13"/>
  </r>
  <r>
    <x v="3"/>
    <s v="GDP growth (annual %)"/>
    <x v="0"/>
    <x v="13"/>
  </r>
  <r>
    <x v="4"/>
    <s v="GDP growth (annual %)"/>
    <x v="0"/>
    <x v="13"/>
  </r>
  <r>
    <x v="5"/>
    <s v="GDP growth (annual %)"/>
    <x v="0"/>
    <x v="13"/>
  </r>
  <r>
    <x v="6"/>
    <s v="GDP growth (annual %)"/>
    <x v="0"/>
    <x v="13"/>
  </r>
  <r>
    <x v="7"/>
    <s v="GDP growth (annual %)"/>
    <x v="0"/>
    <x v="13"/>
  </r>
  <r>
    <x v="8"/>
    <s v="GDP growth (annual %)"/>
    <x v="188"/>
    <x v="13"/>
  </r>
  <r>
    <x v="9"/>
    <s v="GDP growth (annual %)"/>
    <x v="0"/>
    <x v="13"/>
  </r>
  <r>
    <x v="10"/>
    <s v="GDP growth (annual %)"/>
    <x v="189"/>
    <x v="13"/>
  </r>
  <r>
    <x v="11"/>
    <s v="GDP growth (annual %)"/>
    <x v="190"/>
    <x v="13"/>
  </r>
  <r>
    <x v="12"/>
    <s v="GDP growth (annual %)"/>
    <x v="191"/>
    <x v="13"/>
  </r>
  <r>
    <x v="13"/>
    <s v="GDP growth (annual %)"/>
    <x v="192"/>
    <x v="13"/>
  </r>
  <r>
    <x v="14"/>
    <s v="GDP growth (annual %)"/>
    <x v="0"/>
    <x v="13"/>
  </r>
  <r>
    <x v="15"/>
    <s v="GDP growth (annual %)"/>
    <x v="0"/>
    <x v="13"/>
  </r>
  <r>
    <x v="16"/>
    <s v="GDP growth (annual %)"/>
    <x v="193"/>
    <x v="13"/>
  </r>
  <r>
    <x v="17"/>
    <s v="GDP growth (annual %)"/>
    <x v="194"/>
    <x v="13"/>
  </r>
  <r>
    <x v="18"/>
    <s v="GDP growth (annual %)"/>
    <x v="195"/>
    <x v="13"/>
  </r>
  <r>
    <x v="19"/>
    <s v="GDP growth (annual %)"/>
    <x v="196"/>
    <x v="13"/>
  </r>
  <r>
    <x v="20"/>
    <s v="GDP growth (annual %)"/>
    <x v="197"/>
    <x v="13"/>
  </r>
  <r>
    <x v="21"/>
    <s v="GDP growth (annual %)"/>
    <x v="0"/>
    <x v="13"/>
  </r>
  <r>
    <x v="22"/>
    <s v="GDP growth (annual %)"/>
    <x v="198"/>
    <x v="13"/>
  </r>
  <r>
    <x v="23"/>
    <s v="GDP growth (annual %)"/>
    <x v="0"/>
    <x v="13"/>
  </r>
  <r>
    <x v="24"/>
    <s v="GDP growth (annual %)"/>
    <x v="0"/>
    <x v="13"/>
  </r>
  <r>
    <x v="25"/>
    <s v="GDP growth (annual %)"/>
    <x v="0"/>
    <x v="13"/>
  </r>
  <r>
    <x v="26"/>
    <s v="GDP growth (annual %)"/>
    <x v="199"/>
    <x v="13"/>
  </r>
  <r>
    <x v="27"/>
    <s v="GDP growth (annual %)"/>
    <x v="200"/>
    <x v="13"/>
  </r>
  <r>
    <x v="0"/>
    <s v="GDP growth (annual %)"/>
    <x v="201"/>
    <x v="14"/>
  </r>
  <r>
    <x v="1"/>
    <s v="GDP growth (annual %)"/>
    <x v="202"/>
    <x v="14"/>
  </r>
  <r>
    <x v="2"/>
    <s v="GDP growth (annual %)"/>
    <x v="203"/>
    <x v="14"/>
  </r>
  <r>
    <x v="3"/>
    <s v="GDP growth (annual %)"/>
    <x v="0"/>
    <x v="14"/>
  </r>
  <r>
    <x v="4"/>
    <s v="GDP growth (annual %)"/>
    <x v="0"/>
    <x v="14"/>
  </r>
  <r>
    <x v="5"/>
    <s v="GDP growth (annual %)"/>
    <x v="0"/>
    <x v="14"/>
  </r>
  <r>
    <x v="6"/>
    <s v="GDP growth (annual %)"/>
    <x v="0"/>
    <x v="14"/>
  </r>
  <r>
    <x v="7"/>
    <s v="GDP growth (annual %)"/>
    <x v="0"/>
    <x v="14"/>
  </r>
  <r>
    <x v="8"/>
    <s v="GDP growth (annual %)"/>
    <x v="204"/>
    <x v="14"/>
  </r>
  <r>
    <x v="9"/>
    <s v="GDP growth (annual %)"/>
    <x v="0"/>
    <x v="14"/>
  </r>
  <r>
    <x v="10"/>
    <s v="GDP growth (annual %)"/>
    <x v="205"/>
    <x v="14"/>
  </r>
  <r>
    <x v="11"/>
    <s v="GDP growth (annual %)"/>
    <x v="206"/>
    <x v="14"/>
  </r>
  <r>
    <x v="12"/>
    <s v="GDP growth (annual %)"/>
    <x v="207"/>
    <x v="14"/>
  </r>
  <r>
    <x v="13"/>
    <s v="GDP growth (annual %)"/>
    <x v="208"/>
    <x v="14"/>
  </r>
  <r>
    <x v="14"/>
    <s v="GDP growth (annual %)"/>
    <x v="0"/>
    <x v="14"/>
  </r>
  <r>
    <x v="15"/>
    <s v="GDP growth (annual %)"/>
    <x v="0"/>
    <x v="14"/>
  </r>
  <r>
    <x v="16"/>
    <s v="GDP growth (annual %)"/>
    <x v="209"/>
    <x v="14"/>
  </r>
  <r>
    <x v="17"/>
    <s v="GDP growth (annual %)"/>
    <x v="210"/>
    <x v="14"/>
  </r>
  <r>
    <x v="18"/>
    <s v="GDP growth (annual %)"/>
    <x v="211"/>
    <x v="14"/>
  </r>
  <r>
    <x v="19"/>
    <s v="GDP growth (annual %)"/>
    <x v="212"/>
    <x v="14"/>
  </r>
  <r>
    <x v="20"/>
    <s v="GDP growth (annual %)"/>
    <x v="213"/>
    <x v="14"/>
  </r>
  <r>
    <x v="21"/>
    <s v="GDP growth (annual %)"/>
    <x v="0"/>
    <x v="14"/>
  </r>
  <r>
    <x v="22"/>
    <s v="GDP growth (annual %)"/>
    <x v="214"/>
    <x v="14"/>
  </r>
  <r>
    <x v="23"/>
    <s v="GDP growth (annual %)"/>
    <x v="0"/>
    <x v="14"/>
  </r>
  <r>
    <x v="24"/>
    <s v="GDP growth (annual %)"/>
    <x v="0"/>
    <x v="14"/>
  </r>
  <r>
    <x v="25"/>
    <s v="GDP growth (annual %)"/>
    <x v="0"/>
    <x v="14"/>
  </r>
  <r>
    <x v="26"/>
    <s v="GDP growth (annual %)"/>
    <x v="215"/>
    <x v="14"/>
  </r>
  <r>
    <x v="27"/>
    <s v="GDP growth (annual %)"/>
    <x v="216"/>
    <x v="14"/>
  </r>
  <r>
    <x v="0"/>
    <s v="GDP growth (annual %)"/>
    <x v="217"/>
    <x v="15"/>
  </r>
  <r>
    <x v="1"/>
    <s v="GDP growth (annual %)"/>
    <x v="218"/>
    <x v="15"/>
  </r>
  <r>
    <x v="2"/>
    <s v="GDP growth (annual %)"/>
    <x v="219"/>
    <x v="15"/>
  </r>
  <r>
    <x v="3"/>
    <s v="GDP growth (annual %)"/>
    <x v="0"/>
    <x v="15"/>
  </r>
  <r>
    <x v="4"/>
    <s v="GDP growth (annual %)"/>
    <x v="0"/>
    <x v="15"/>
  </r>
  <r>
    <x v="5"/>
    <s v="GDP growth (annual %)"/>
    <x v="0"/>
    <x v="15"/>
  </r>
  <r>
    <x v="6"/>
    <s v="GDP growth (annual %)"/>
    <x v="0"/>
    <x v="15"/>
  </r>
  <r>
    <x v="7"/>
    <s v="GDP growth (annual %)"/>
    <x v="0"/>
    <x v="15"/>
  </r>
  <r>
    <x v="8"/>
    <s v="GDP growth (annual %)"/>
    <x v="220"/>
    <x v="15"/>
  </r>
  <r>
    <x v="9"/>
    <s v="GDP growth (annual %)"/>
    <x v="0"/>
    <x v="15"/>
  </r>
  <r>
    <x v="10"/>
    <s v="GDP growth (annual %)"/>
    <x v="221"/>
    <x v="15"/>
  </r>
  <r>
    <x v="11"/>
    <s v="GDP growth (annual %)"/>
    <x v="222"/>
    <x v="15"/>
  </r>
  <r>
    <x v="12"/>
    <s v="GDP growth (annual %)"/>
    <x v="223"/>
    <x v="15"/>
  </r>
  <r>
    <x v="13"/>
    <s v="GDP growth (annual %)"/>
    <x v="224"/>
    <x v="15"/>
  </r>
  <r>
    <x v="14"/>
    <s v="GDP growth (annual %)"/>
    <x v="0"/>
    <x v="15"/>
  </r>
  <r>
    <x v="15"/>
    <s v="GDP growth (annual %)"/>
    <x v="0"/>
    <x v="15"/>
  </r>
  <r>
    <x v="16"/>
    <s v="GDP growth (annual %)"/>
    <x v="225"/>
    <x v="15"/>
  </r>
  <r>
    <x v="17"/>
    <s v="GDP growth (annual %)"/>
    <x v="226"/>
    <x v="15"/>
  </r>
  <r>
    <x v="18"/>
    <s v="GDP growth (annual %)"/>
    <x v="227"/>
    <x v="15"/>
  </r>
  <r>
    <x v="19"/>
    <s v="GDP growth (annual %)"/>
    <x v="228"/>
    <x v="15"/>
  </r>
  <r>
    <x v="20"/>
    <s v="GDP growth (annual %)"/>
    <x v="229"/>
    <x v="15"/>
  </r>
  <r>
    <x v="21"/>
    <s v="GDP growth (annual %)"/>
    <x v="0"/>
    <x v="15"/>
  </r>
  <r>
    <x v="22"/>
    <s v="GDP growth (annual %)"/>
    <x v="230"/>
    <x v="15"/>
  </r>
  <r>
    <x v="23"/>
    <s v="GDP growth (annual %)"/>
    <x v="0"/>
    <x v="15"/>
  </r>
  <r>
    <x v="24"/>
    <s v="GDP growth (annual %)"/>
    <x v="0"/>
    <x v="15"/>
  </r>
  <r>
    <x v="25"/>
    <s v="GDP growth (annual %)"/>
    <x v="0"/>
    <x v="15"/>
  </r>
  <r>
    <x v="26"/>
    <s v="GDP growth (annual %)"/>
    <x v="231"/>
    <x v="15"/>
  </r>
  <r>
    <x v="27"/>
    <s v="GDP growth (annual %)"/>
    <x v="232"/>
    <x v="15"/>
  </r>
  <r>
    <x v="0"/>
    <s v="GDP growth (annual %)"/>
    <x v="233"/>
    <x v="16"/>
  </r>
  <r>
    <x v="1"/>
    <s v="GDP growth (annual %)"/>
    <x v="234"/>
    <x v="16"/>
  </r>
  <r>
    <x v="2"/>
    <s v="GDP growth (annual %)"/>
    <x v="235"/>
    <x v="16"/>
  </r>
  <r>
    <x v="3"/>
    <s v="GDP growth (annual %)"/>
    <x v="0"/>
    <x v="16"/>
  </r>
  <r>
    <x v="4"/>
    <s v="GDP growth (annual %)"/>
    <x v="0"/>
    <x v="16"/>
  </r>
  <r>
    <x v="5"/>
    <s v="GDP growth (annual %)"/>
    <x v="0"/>
    <x v="16"/>
  </r>
  <r>
    <x v="6"/>
    <s v="GDP growth (annual %)"/>
    <x v="0"/>
    <x v="16"/>
  </r>
  <r>
    <x v="7"/>
    <s v="GDP growth (annual %)"/>
    <x v="0"/>
    <x v="16"/>
  </r>
  <r>
    <x v="8"/>
    <s v="GDP growth (annual %)"/>
    <x v="236"/>
    <x v="16"/>
  </r>
  <r>
    <x v="9"/>
    <s v="GDP growth (annual %)"/>
    <x v="0"/>
    <x v="16"/>
  </r>
  <r>
    <x v="10"/>
    <s v="GDP growth (annual %)"/>
    <x v="237"/>
    <x v="16"/>
  </r>
  <r>
    <x v="11"/>
    <s v="GDP growth (annual %)"/>
    <x v="238"/>
    <x v="16"/>
  </r>
  <r>
    <x v="12"/>
    <s v="GDP growth (annual %)"/>
    <x v="239"/>
    <x v="16"/>
  </r>
  <r>
    <x v="13"/>
    <s v="GDP growth (annual %)"/>
    <x v="240"/>
    <x v="16"/>
  </r>
  <r>
    <x v="14"/>
    <s v="GDP growth (annual %)"/>
    <x v="0"/>
    <x v="16"/>
  </r>
  <r>
    <x v="15"/>
    <s v="GDP growth (annual %)"/>
    <x v="0"/>
    <x v="16"/>
  </r>
  <r>
    <x v="16"/>
    <s v="GDP growth (annual %)"/>
    <x v="241"/>
    <x v="16"/>
  </r>
  <r>
    <x v="17"/>
    <s v="GDP growth (annual %)"/>
    <x v="242"/>
    <x v="16"/>
  </r>
  <r>
    <x v="18"/>
    <s v="GDP growth (annual %)"/>
    <x v="243"/>
    <x v="16"/>
  </r>
  <r>
    <x v="19"/>
    <s v="GDP growth (annual %)"/>
    <x v="244"/>
    <x v="16"/>
  </r>
  <r>
    <x v="20"/>
    <s v="GDP growth (annual %)"/>
    <x v="245"/>
    <x v="16"/>
  </r>
  <r>
    <x v="21"/>
    <s v="GDP growth (annual %)"/>
    <x v="0"/>
    <x v="16"/>
  </r>
  <r>
    <x v="22"/>
    <s v="GDP growth (annual %)"/>
    <x v="246"/>
    <x v="16"/>
  </r>
  <r>
    <x v="23"/>
    <s v="GDP growth (annual %)"/>
    <x v="0"/>
    <x v="16"/>
  </r>
  <r>
    <x v="24"/>
    <s v="GDP growth (annual %)"/>
    <x v="0"/>
    <x v="16"/>
  </r>
  <r>
    <x v="25"/>
    <s v="GDP growth (annual %)"/>
    <x v="0"/>
    <x v="16"/>
  </r>
  <r>
    <x v="26"/>
    <s v="GDP growth (annual %)"/>
    <x v="247"/>
    <x v="16"/>
  </r>
  <r>
    <x v="27"/>
    <s v="GDP growth (annual %)"/>
    <x v="248"/>
    <x v="16"/>
  </r>
  <r>
    <x v="0"/>
    <s v="GDP growth (annual %)"/>
    <x v="249"/>
    <x v="17"/>
  </r>
  <r>
    <x v="1"/>
    <s v="GDP growth (annual %)"/>
    <x v="250"/>
    <x v="17"/>
  </r>
  <r>
    <x v="2"/>
    <s v="GDP growth (annual %)"/>
    <x v="251"/>
    <x v="17"/>
  </r>
  <r>
    <x v="3"/>
    <s v="GDP growth (annual %)"/>
    <x v="0"/>
    <x v="17"/>
  </r>
  <r>
    <x v="4"/>
    <s v="GDP growth (annual %)"/>
    <x v="0"/>
    <x v="17"/>
  </r>
  <r>
    <x v="5"/>
    <s v="GDP growth (annual %)"/>
    <x v="0"/>
    <x v="17"/>
  </r>
  <r>
    <x v="6"/>
    <s v="GDP growth (annual %)"/>
    <x v="0"/>
    <x v="17"/>
  </r>
  <r>
    <x v="7"/>
    <s v="GDP growth (annual %)"/>
    <x v="0"/>
    <x v="17"/>
  </r>
  <r>
    <x v="8"/>
    <s v="GDP growth (annual %)"/>
    <x v="252"/>
    <x v="17"/>
  </r>
  <r>
    <x v="9"/>
    <s v="GDP growth (annual %)"/>
    <x v="0"/>
    <x v="17"/>
  </r>
  <r>
    <x v="10"/>
    <s v="GDP growth (annual %)"/>
    <x v="253"/>
    <x v="17"/>
  </r>
  <r>
    <x v="11"/>
    <s v="GDP growth (annual %)"/>
    <x v="254"/>
    <x v="17"/>
  </r>
  <r>
    <x v="12"/>
    <s v="GDP growth (annual %)"/>
    <x v="255"/>
    <x v="17"/>
  </r>
  <r>
    <x v="13"/>
    <s v="GDP growth (annual %)"/>
    <x v="256"/>
    <x v="17"/>
  </r>
  <r>
    <x v="14"/>
    <s v="GDP growth (annual %)"/>
    <x v="0"/>
    <x v="17"/>
  </r>
  <r>
    <x v="15"/>
    <s v="GDP growth (annual %)"/>
    <x v="0"/>
    <x v="17"/>
  </r>
  <r>
    <x v="16"/>
    <s v="GDP growth (annual %)"/>
    <x v="257"/>
    <x v="17"/>
  </r>
  <r>
    <x v="17"/>
    <s v="GDP growth (annual %)"/>
    <x v="258"/>
    <x v="17"/>
  </r>
  <r>
    <x v="18"/>
    <s v="GDP growth (annual %)"/>
    <x v="259"/>
    <x v="17"/>
  </r>
  <r>
    <x v="19"/>
    <s v="GDP growth (annual %)"/>
    <x v="260"/>
    <x v="17"/>
  </r>
  <r>
    <x v="20"/>
    <s v="GDP growth (annual %)"/>
    <x v="261"/>
    <x v="17"/>
  </r>
  <r>
    <x v="21"/>
    <s v="GDP growth (annual %)"/>
    <x v="0"/>
    <x v="17"/>
  </r>
  <r>
    <x v="22"/>
    <s v="GDP growth (annual %)"/>
    <x v="262"/>
    <x v="17"/>
  </r>
  <r>
    <x v="23"/>
    <s v="GDP growth (annual %)"/>
    <x v="0"/>
    <x v="17"/>
  </r>
  <r>
    <x v="24"/>
    <s v="GDP growth (annual %)"/>
    <x v="0"/>
    <x v="17"/>
  </r>
  <r>
    <x v="25"/>
    <s v="GDP growth (annual %)"/>
    <x v="0"/>
    <x v="17"/>
  </r>
  <r>
    <x v="26"/>
    <s v="GDP growth (annual %)"/>
    <x v="263"/>
    <x v="17"/>
  </r>
  <r>
    <x v="27"/>
    <s v="GDP growth (annual %)"/>
    <x v="264"/>
    <x v="17"/>
  </r>
  <r>
    <x v="0"/>
    <s v="GDP growth (annual %)"/>
    <x v="265"/>
    <x v="18"/>
  </r>
  <r>
    <x v="1"/>
    <s v="GDP growth (annual %)"/>
    <x v="266"/>
    <x v="18"/>
  </r>
  <r>
    <x v="2"/>
    <s v="GDP growth (annual %)"/>
    <x v="267"/>
    <x v="18"/>
  </r>
  <r>
    <x v="3"/>
    <s v="GDP growth (annual %)"/>
    <x v="0"/>
    <x v="18"/>
  </r>
  <r>
    <x v="4"/>
    <s v="GDP growth (annual %)"/>
    <x v="0"/>
    <x v="18"/>
  </r>
  <r>
    <x v="5"/>
    <s v="GDP growth (annual %)"/>
    <x v="0"/>
    <x v="18"/>
  </r>
  <r>
    <x v="6"/>
    <s v="GDP growth (annual %)"/>
    <x v="0"/>
    <x v="18"/>
  </r>
  <r>
    <x v="7"/>
    <s v="GDP growth (annual %)"/>
    <x v="0"/>
    <x v="18"/>
  </r>
  <r>
    <x v="8"/>
    <s v="GDP growth (annual %)"/>
    <x v="268"/>
    <x v="18"/>
  </r>
  <r>
    <x v="9"/>
    <s v="GDP growth (annual %)"/>
    <x v="0"/>
    <x v="18"/>
  </r>
  <r>
    <x v="10"/>
    <s v="GDP growth (annual %)"/>
    <x v="269"/>
    <x v="18"/>
  </r>
  <r>
    <x v="11"/>
    <s v="GDP growth (annual %)"/>
    <x v="270"/>
    <x v="18"/>
  </r>
  <r>
    <x v="12"/>
    <s v="GDP growth (annual %)"/>
    <x v="271"/>
    <x v="18"/>
  </r>
  <r>
    <x v="13"/>
    <s v="GDP growth (annual %)"/>
    <x v="272"/>
    <x v="18"/>
  </r>
  <r>
    <x v="14"/>
    <s v="GDP growth (annual %)"/>
    <x v="0"/>
    <x v="18"/>
  </r>
  <r>
    <x v="15"/>
    <s v="GDP growth (annual %)"/>
    <x v="0"/>
    <x v="18"/>
  </r>
  <r>
    <x v="16"/>
    <s v="GDP growth (annual %)"/>
    <x v="273"/>
    <x v="18"/>
  </r>
  <r>
    <x v="17"/>
    <s v="GDP growth (annual %)"/>
    <x v="274"/>
    <x v="18"/>
  </r>
  <r>
    <x v="18"/>
    <s v="GDP growth (annual %)"/>
    <x v="275"/>
    <x v="18"/>
  </r>
  <r>
    <x v="19"/>
    <s v="GDP growth (annual %)"/>
    <x v="276"/>
    <x v="18"/>
  </r>
  <r>
    <x v="20"/>
    <s v="GDP growth (annual %)"/>
    <x v="277"/>
    <x v="18"/>
  </r>
  <r>
    <x v="21"/>
    <s v="GDP growth (annual %)"/>
    <x v="0"/>
    <x v="18"/>
  </r>
  <r>
    <x v="22"/>
    <s v="GDP growth (annual %)"/>
    <x v="278"/>
    <x v="18"/>
  </r>
  <r>
    <x v="23"/>
    <s v="GDP growth (annual %)"/>
    <x v="0"/>
    <x v="18"/>
  </r>
  <r>
    <x v="24"/>
    <s v="GDP growth (annual %)"/>
    <x v="0"/>
    <x v="18"/>
  </r>
  <r>
    <x v="25"/>
    <s v="GDP growth (annual %)"/>
    <x v="0"/>
    <x v="18"/>
  </r>
  <r>
    <x v="26"/>
    <s v="GDP growth (annual %)"/>
    <x v="279"/>
    <x v="18"/>
  </r>
  <r>
    <x v="27"/>
    <s v="GDP growth (annual %)"/>
    <x v="280"/>
    <x v="18"/>
  </r>
  <r>
    <x v="0"/>
    <s v="GDP growth (annual %)"/>
    <x v="281"/>
    <x v="19"/>
  </r>
  <r>
    <x v="1"/>
    <s v="GDP growth (annual %)"/>
    <x v="282"/>
    <x v="19"/>
  </r>
  <r>
    <x v="2"/>
    <s v="GDP growth (annual %)"/>
    <x v="283"/>
    <x v="19"/>
  </r>
  <r>
    <x v="3"/>
    <s v="GDP growth (annual %)"/>
    <x v="0"/>
    <x v="19"/>
  </r>
  <r>
    <x v="4"/>
    <s v="GDP growth (annual %)"/>
    <x v="0"/>
    <x v="19"/>
  </r>
  <r>
    <x v="5"/>
    <s v="GDP growth (annual %)"/>
    <x v="0"/>
    <x v="19"/>
  </r>
  <r>
    <x v="6"/>
    <s v="GDP growth (annual %)"/>
    <x v="0"/>
    <x v="19"/>
  </r>
  <r>
    <x v="7"/>
    <s v="GDP growth (annual %)"/>
    <x v="0"/>
    <x v="19"/>
  </r>
  <r>
    <x v="8"/>
    <s v="GDP growth (annual %)"/>
    <x v="284"/>
    <x v="19"/>
  </r>
  <r>
    <x v="9"/>
    <s v="GDP growth (annual %)"/>
    <x v="0"/>
    <x v="19"/>
  </r>
  <r>
    <x v="10"/>
    <s v="GDP growth (annual %)"/>
    <x v="285"/>
    <x v="19"/>
  </r>
  <r>
    <x v="11"/>
    <s v="GDP growth (annual %)"/>
    <x v="286"/>
    <x v="19"/>
  </r>
  <r>
    <x v="12"/>
    <s v="GDP growth (annual %)"/>
    <x v="287"/>
    <x v="19"/>
  </r>
  <r>
    <x v="13"/>
    <s v="GDP growth (annual %)"/>
    <x v="288"/>
    <x v="19"/>
  </r>
  <r>
    <x v="14"/>
    <s v="GDP growth (annual %)"/>
    <x v="0"/>
    <x v="19"/>
  </r>
  <r>
    <x v="15"/>
    <s v="GDP growth (annual %)"/>
    <x v="0"/>
    <x v="19"/>
  </r>
  <r>
    <x v="16"/>
    <s v="GDP growth (annual %)"/>
    <x v="289"/>
    <x v="19"/>
  </r>
  <r>
    <x v="17"/>
    <s v="GDP growth (annual %)"/>
    <x v="290"/>
    <x v="19"/>
  </r>
  <r>
    <x v="18"/>
    <s v="GDP growth (annual %)"/>
    <x v="291"/>
    <x v="19"/>
  </r>
  <r>
    <x v="19"/>
    <s v="GDP growth (annual %)"/>
    <x v="292"/>
    <x v="19"/>
  </r>
  <r>
    <x v="20"/>
    <s v="GDP growth (annual %)"/>
    <x v="293"/>
    <x v="19"/>
  </r>
  <r>
    <x v="21"/>
    <s v="GDP growth (annual %)"/>
    <x v="0"/>
    <x v="19"/>
  </r>
  <r>
    <x v="22"/>
    <s v="GDP growth (annual %)"/>
    <x v="294"/>
    <x v="19"/>
  </r>
  <r>
    <x v="23"/>
    <s v="GDP growth (annual %)"/>
    <x v="0"/>
    <x v="19"/>
  </r>
  <r>
    <x v="24"/>
    <s v="GDP growth (annual %)"/>
    <x v="0"/>
    <x v="19"/>
  </r>
  <r>
    <x v="25"/>
    <s v="GDP growth (annual %)"/>
    <x v="0"/>
    <x v="19"/>
  </r>
  <r>
    <x v="26"/>
    <s v="GDP growth (annual %)"/>
    <x v="295"/>
    <x v="19"/>
  </r>
  <r>
    <x v="27"/>
    <s v="GDP growth (annual %)"/>
    <x v="296"/>
    <x v="19"/>
  </r>
  <r>
    <x v="0"/>
    <s v="GDP growth (annual %)"/>
    <x v="297"/>
    <x v="20"/>
  </r>
  <r>
    <x v="1"/>
    <s v="GDP growth (annual %)"/>
    <x v="298"/>
    <x v="20"/>
  </r>
  <r>
    <x v="2"/>
    <s v="GDP growth (annual %)"/>
    <x v="299"/>
    <x v="20"/>
  </r>
  <r>
    <x v="3"/>
    <s v="GDP growth (annual %)"/>
    <x v="0"/>
    <x v="20"/>
  </r>
  <r>
    <x v="4"/>
    <s v="GDP growth (annual %)"/>
    <x v="0"/>
    <x v="20"/>
  </r>
  <r>
    <x v="5"/>
    <s v="GDP growth (annual %)"/>
    <x v="0"/>
    <x v="20"/>
  </r>
  <r>
    <x v="6"/>
    <s v="GDP growth (annual %)"/>
    <x v="0"/>
    <x v="20"/>
  </r>
  <r>
    <x v="7"/>
    <s v="GDP growth (annual %)"/>
    <x v="0"/>
    <x v="20"/>
  </r>
  <r>
    <x v="8"/>
    <s v="GDP growth (annual %)"/>
    <x v="300"/>
    <x v="20"/>
  </r>
  <r>
    <x v="9"/>
    <s v="GDP growth (annual %)"/>
    <x v="0"/>
    <x v="20"/>
  </r>
  <r>
    <x v="10"/>
    <s v="GDP growth (annual %)"/>
    <x v="301"/>
    <x v="20"/>
  </r>
  <r>
    <x v="11"/>
    <s v="GDP growth (annual %)"/>
    <x v="302"/>
    <x v="20"/>
  </r>
  <r>
    <x v="12"/>
    <s v="GDP growth (annual %)"/>
    <x v="303"/>
    <x v="20"/>
  </r>
  <r>
    <x v="13"/>
    <s v="GDP growth (annual %)"/>
    <x v="304"/>
    <x v="20"/>
  </r>
  <r>
    <x v="14"/>
    <s v="GDP growth (annual %)"/>
    <x v="0"/>
    <x v="20"/>
  </r>
  <r>
    <x v="15"/>
    <s v="GDP growth (annual %)"/>
    <x v="0"/>
    <x v="20"/>
  </r>
  <r>
    <x v="16"/>
    <s v="GDP growth (annual %)"/>
    <x v="305"/>
    <x v="20"/>
  </r>
  <r>
    <x v="17"/>
    <s v="GDP growth (annual %)"/>
    <x v="306"/>
    <x v="20"/>
  </r>
  <r>
    <x v="18"/>
    <s v="GDP growth (annual %)"/>
    <x v="307"/>
    <x v="20"/>
  </r>
  <r>
    <x v="19"/>
    <s v="GDP growth (annual %)"/>
    <x v="308"/>
    <x v="20"/>
  </r>
  <r>
    <x v="20"/>
    <s v="GDP growth (annual %)"/>
    <x v="309"/>
    <x v="20"/>
  </r>
  <r>
    <x v="21"/>
    <s v="GDP growth (annual %)"/>
    <x v="0"/>
    <x v="20"/>
  </r>
  <r>
    <x v="22"/>
    <s v="GDP growth (annual %)"/>
    <x v="310"/>
    <x v="20"/>
  </r>
  <r>
    <x v="23"/>
    <s v="GDP growth (annual %)"/>
    <x v="0"/>
    <x v="20"/>
  </r>
  <r>
    <x v="24"/>
    <s v="GDP growth (annual %)"/>
    <x v="0"/>
    <x v="20"/>
  </r>
  <r>
    <x v="25"/>
    <s v="GDP growth (annual %)"/>
    <x v="0"/>
    <x v="20"/>
  </r>
  <r>
    <x v="26"/>
    <s v="GDP growth (annual %)"/>
    <x v="311"/>
    <x v="20"/>
  </r>
  <r>
    <x v="27"/>
    <s v="GDP growth (annual %)"/>
    <x v="312"/>
    <x v="20"/>
  </r>
  <r>
    <x v="0"/>
    <s v="GDP growth (annual %)"/>
    <x v="313"/>
    <x v="21"/>
  </r>
  <r>
    <x v="1"/>
    <s v="GDP growth (annual %)"/>
    <x v="314"/>
    <x v="21"/>
  </r>
  <r>
    <x v="2"/>
    <s v="GDP growth (annual %)"/>
    <x v="315"/>
    <x v="21"/>
  </r>
  <r>
    <x v="3"/>
    <s v="GDP growth (annual %)"/>
    <x v="316"/>
    <x v="21"/>
  </r>
  <r>
    <x v="4"/>
    <s v="GDP growth (annual %)"/>
    <x v="0"/>
    <x v="21"/>
  </r>
  <r>
    <x v="5"/>
    <s v="GDP growth (annual %)"/>
    <x v="0"/>
    <x v="21"/>
  </r>
  <r>
    <x v="6"/>
    <s v="GDP growth (annual %)"/>
    <x v="0"/>
    <x v="21"/>
  </r>
  <r>
    <x v="7"/>
    <s v="GDP growth (annual %)"/>
    <x v="0"/>
    <x v="21"/>
  </r>
  <r>
    <x v="8"/>
    <s v="GDP growth (annual %)"/>
    <x v="317"/>
    <x v="21"/>
  </r>
  <r>
    <x v="9"/>
    <s v="GDP growth (annual %)"/>
    <x v="0"/>
    <x v="21"/>
  </r>
  <r>
    <x v="10"/>
    <s v="GDP growth (annual %)"/>
    <x v="318"/>
    <x v="21"/>
  </r>
  <r>
    <x v="11"/>
    <s v="GDP growth (annual %)"/>
    <x v="319"/>
    <x v="21"/>
  </r>
  <r>
    <x v="12"/>
    <s v="GDP growth (annual %)"/>
    <x v="320"/>
    <x v="21"/>
  </r>
  <r>
    <x v="13"/>
    <s v="GDP growth (annual %)"/>
    <x v="321"/>
    <x v="21"/>
  </r>
  <r>
    <x v="14"/>
    <s v="GDP growth (annual %)"/>
    <x v="0"/>
    <x v="21"/>
  </r>
  <r>
    <x v="15"/>
    <s v="GDP growth (annual %)"/>
    <x v="322"/>
    <x v="21"/>
  </r>
  <r>
    <x v="16"/>
    <s v="GDP growth (annual %)"/>
    <x v="323"/>
    <x v="21"/>
  </r>
  <r>
    <x v="17"/>
    <s v="GDP growth (annual %)"/>
    <x v="324"/>
    <x v="21"/>
  </r>
  <r>
    <x v="18"/>
    <s v="GDP growth (annual %)"/>
    <x v="325"/>
    <x v="21"/>
  </r>
  <r>
    <x v="19"/>
    <s v="GDP growth (annual %)"/>
    <x v="326"/>
    <x v="21"/>
  </r>
  <r>
    <x v="20"/>
    <s v="GDP growth (annual %)"/>
    <x v="327"/>
    <x v="21"/>
  </r>
  <r>
    <x v="21"/>
    <s v="GDP growth (annual %)"/>
    <x v="0"/>
    <x v="21"/>
  </r>
  <r>
    <x v="22"/>
    <s v="GDP growth (annual %)"/>
    <x v="328"/>
    <x v="21"/>
  </r>
  <r>
    <x v="23"/>
    <s v="GDP growth (annual %)"/>
    <x v="0"/>
    <x v="21"/>
  </r>
  <r>
    <x v="24"/>
    <s v="GDP growth (annual %)"/>
    <x v="0"/>
    <x v="21"/>
  </r>
  <r>
    <x v="25"/>
    <s v="GDP growth (annual %)"/>
    <x v="0"/>
    <x v="21"/>
  </r>
  <r>
    <x v="26"/>
    <s v="GDP growth (annual %)"/>
    <x v="329"/>
    <x v="21"/>
  </r>
  <r>
    <x v="27"/>
    <s v="GDP growth (annual %)"/>
    <x v="330"/>
    <x v="21"/>
  </r>
  <r>
    <x v="0"/>
    <s v="GDP growth (annual %)"/>
    <x v="331"/>
    <x v="22"/>
  </r>
  <r>
    <x v="1"/>
    <s v="GDP growth (annual %)"/>
    <x v="332"/>
    <x v="22"/>
  </r>
  <r>
    <x v="2"/>
    <s v="GDP growth (annual %)"/>
    <x v="333"/>
    <x v="22"/>
  </r>
  <r>
    <x v="3"/>
    <s v="GDP growth (annual %)"/>
    <x v="334"/>
    <x v="22"/>
  </r>
  <r>
    <x v="4"/>
    <s v="GDP growth (annual %)"/>
    <x v="0"/>
    <x v="22"/>
  </r>
  <r>
    <x v="5"/>
    <s v="GDP growth (annual %)"/>
    <x v="335"/>
    <x v="22"/>
  </r>
  <r>
    <x v="6"/>
    <s v="GDP growth (annual %)"/>
    <x v="0"/>
    <x v="22"/>
  </r>
  <r>
    <x v="7"/>
    <s v="GDP growth (annual %)"/>
    <x v="0"/>
    <x v="22"/>
  </r>
  <r>
    <x v="8"/>
    <s v="GDP growth (annual %)"/>
    <x v="336"/>
    <x v="22"/>
  </r>
  <r>
    <x v="9"/>
    <s v="GDP growth (annual %)"/>
    <x v="0"/>
    <x v="22"/>
  </r>
  <r>
    <x v="10"/>
    <s v="GDP growth (annual %)"/>
    <x v="337"/>
    <x v="22"/>
  </r>
  <r>
    <x v="11"/>
    <s v="GDP growth (annual %)"/>
    <x v="338"/>
    <x v="22"/>
  </r>
  <r>
    <x v="12"/>
    <s v="GDP growth (annual %)"/>
    <x v="339"/>
    <x v="22"/>
  </r>
  <r>
    <x v="13"/>
    <s v="GDP growth (annual %)"/>
    <x v="340"/>
    <x v="22"/>
  </r>
  <r>
    <x v="14"/>
    <s v="GDP growth (annual %)"/>
    <x v="0"/>
    <x v="22"/>
  </r>
  <r>
    <x v="15"/>
    <s v="GDP growth (annual %)"/>
    <x v="341"/>
    <x v="22"/>
  </r>
  <r>
    <x v="16"/>
    <s v="GDP growth (annual %)"/>
    <x v="342"/>
    <x v="22"/>
  </r>
  <r>
    <x v="17"/>
    <s v="GDP growth (annual %)"/>
    <x v="343"/>
    <x v="22"/>
  </r>
  <r>
    <x v="18"/>
    <s v="GDP growth (annual %)"/>
    <x v="344"/>
    <x v="22"/>
  </r>
  <r>
    <x v="19"/>
    <s v="GDP growth (annual %)"/>
    <x v="345"/>
    <x v="22"/>
  </r>
  <r>
    <x v="20"/>
    <s v="GDP growth (annual %)"/>
    <x v="346"/>
    <x v="22"/>
  </r>
  <r>
    <x v="21"/>
    <s v="GDP growth (annual %)"/>
    <x v="0"/>
    <x v="22"/>
  </r>
  <r>
    <x v="22"/>
    <s v="GDP growth (annual %)"/>
    <x v="347"/>
    <x v="22"/>
  </r>
  <r>
    <x v="23"/>
    <s v="GDP growth (annual %)"/>
    <x v="0"/>
    <x v="22"/>
  </r>
  <r>
    <x v="24"/>
    <s v="GDP growth (annual %)"/>
    <x v="0"/>
    <x v="22"/>
  </r>
  <r>
    <x v="25"/>
    <s v="GDP growth (annual %)"/>
    <x v="0"/>
    <x v="22"/>
  </r>
  <r>
    <x v="26"/>
    <s v="GDP growth (annual %)"/>
    <x v="348"/>
    <x v="22"/>
  </r>
  <r>
    <x v="27"/>
    <s v="GDP growth (annual %)"/>
    <x v="349"/>
    <x v="22"/>
  </r>
  <r>
    <x v="0"/>
    <s v="GDP growth (annual %)"/>
    <x v="350"/>
    <x v="23"/>
  </r>
  <r>
    <x v="1"/>
    <s v="GDP growth (annual %)"/>
    <x v="351"/>
    <x v="23"/>
  </r>
  <r>
    <x v="2"/>
    <s v="GDP growth (annual %)"/>
    <x v="352"/>
    <x v="23"/>
  </r>
  <r>
    <x v="3"/>
    <s v="GDP growth (annual %)"/>
    <x v="353"/>
    <x v="23"/>
  </r>
  <r>
    <x v="4"/>
    <s v="GDP growth (annual %)"/>
    <x v="0"/>
    <x v="23"/>
  </r>
  <r>
    <x v="5"/>
    <s v="GDP growth (annual %)"/>
    <x v="354"/>
    <x v="23"/>
  </r>
  <r>
    <x v="6"/>
    <s v="GDP growth (annual %)"/>
    <x v="0"/>
    <x v="23"/>
  </r>
  <r>
    <x v="7"/>
    <s v="GDP growth (annual %)"/>
    <x v="0"/>
    <x v="23"/>
  </r>
  <r>
    <x v="8"/>
    <s v="GDP growth (annual %)"/>
    <x v="355"/>
    <x v="23"/>
  </r>
  <r>
    <x v="9"/>
    <s v="GDP growth (annual %)"/>
    <x v="0"/>
    <x v="23"/>
  </r>
  <r>
    <x v="10"/>
    <s v="GDP growth (annual %)"/>
    <x v="356"/>
    <x v="23"/>
  </r>
  <r>
    <x v="11"/>
    <s v="GDP growth (annual %)"/>
    <x v="357"/>
    <x v="23"/>
  </r>
  <r>
    <x v="12"/>
    <s v="GDP growth (annual %)"/>
    <x v="358"/>
    <x v="23"/>
  </r>
  <r>
    <x v="13"/>
    <s v="GDP growth (annual %)"/>
    <x v="359"/>
    <x v="23"/>
  </r>
  <r>
    <x v="14"/>
    <s v="GDP growth (annual %)"/>
    <x v="0"/>
    <x v="23"/>
  </r>
  <r>
    <x v="15"/>
    <s v="GDP growth (annual %)"/>
    <x v="360"/>
    <x v="23"/>
  </r>
  <r>
    <x v="16"/>
    <s v="GDP growth (annual %)"/>
    <x v="361"/>
    <x v="23"/>
  </r>
  <r>
    <x v="17"/>
    <s v="GDP growth (annual %)"/>
    <x v="362"/>
    <x v="23"/>
  </r>
  <r>
    <x v="18"/>
    <s v="GDP growth (annual %)"/>
    <x v="363"/>
    <x v="23"/>
  </r>
  <r>
    <x v="19"/>
    <s v="GDP growth (annual %)"/>
    <x v="364"/>
    <x v="23"/>
  </r>
  <r>
    <x v="20"/>
    <s v="GDP growth (annual %)"/>
    <x v="365"/>
    <x v="23"/>
  </r>
  <r>
    <x v="21"/>
    <s v="GDP growth (annual %)"/>
    <x v="0"/>
    <x v="23"/>
  </r>
  <r>
    <x v="22"/>
    <s v="GDP growth (annual %)"/>
    <x v="366"/>
    <x v="23"/>
  </r>
  <r>
    <x v="23"/>
    <s v="GDP growth (annual %)"/>
    <x v="0"/>
    <x v="23"/>
  </r>
  <r>
    <x v="24"/>
    <s v="GDP growth (annual %)"/>
    <x v="0"/>
    <x v="23"/>
  </r>
  <r>
    <x v="25"/>
    <s v="GDP growth (annual %)"/>
    <x v="367"/>
    <x v="23"/>
  </r>
  <r>
    <x v="26"/>
    <s v="GDP growth (annual %)"/>
    <x v="368"/>
    <x v="23"/>
  </r>
  <r>
    <x v="27"/>
    <s v="GDP growth (annual %)"/>
    <x v="369"/>
    <x v="23"/>
  </r>
  <r>
    <x v="0"/>
    <s v="GDP growth (annual %)"/>
    <x v="370"/>
    <x v="24"/>
  </r>
  <r>
    <x v="1"/>
    <s v="GDP growth (annual %)"/>
    <x v="371"/>
    <x v="24"/>
  </r>
  <r>
    <x v="2"/>
    <s v="GDP growth (annual %)"/>
    <x v="372"/>
    <x v="24"/>
  </r>
  <r>
    <x v="3"/>
    <s v="GDP growth (annual %)"/>
    <x v="373"/>
    <x v="24"/>
  </r>
  <r>
    <x v="4"/>
    <s v="GDP growth (annual %)"/>
    <x v="0"/>
    <x v="24"/>
  </r>
  <r>
    <x v="5"/>
    <s v="GDP growth (annual %)"/>
    <x v="374"/>
    <x v="24"/>
  </r>
  <r>
    <x v="6"/>
    <s v="GDP growth (annual %)"/>
    <x v="0"/>
    <x v="24"/>
  </r>
  <r>
    <x v="7"/>
    <s v="GDP growth (annual %)"/>
    <x v="0"/>
    <x v="24"/>
  </r>
  <r>
    <x v="8"/>
    <s v="GDP growth (annual %)"/>
    <x v="375"/>
    <x v="24"/>
  </r>
  <r>
    <x v="9"/>
    <s v="GDP growth (annual %)"/>
    <x v="0"/>
    <x v="24"/>
  </r>
  <r>
    <x v="10"/>
    <s v="GDP growth (annual %)"/>
    <x v="376"/>
    <x v="24"/>
  </r>
  <r>
    <x v="11"/>
    <s v="GDP growth (annual %)"/>
    <x v="377"/>
    <x v="24"/>
  </r>
  <r>
    <x v="12"/>
    <s v="GDP growth (annual %)"/>
    <x v="378"/>
    <x v="24"/>
  </r>
  <r>
    <x v="13"/>
    <s v="GDP growth (annual %)"/>
    <x v="379"/>
    <x v="24"/>
  </r>
  <r>
    <x v="14"/>
    <s v="GDP growth (annual %)"/>
    <x v="0"/>
    <x v="24"/>
  </r>
  <r>
    <x v="15"/>
    <s v="GDP growth (annual %)"/>
    <x v="380"/>
    <x v="24"/>
  </r>
  <r>
    <x v="16"/>
    <s v="GDP growth (annual %)"/>
    <x v="381"/>
    <x v="24"/>
  </r>
  <r>
    <x v="17"/>
    <s v="GDP growth (annual %)"/>
    <x v="382"/>
    <x v="24"/>
  </r>
  <r>
    <x v="18"/>
    <s v="GDP growth (annual %)"/>
    <x v="383"/>
    <x v="24"/>
  </r>
  <r>
    <x v="19"/>
    <s v="GDP growth (annual %)"/>
    <x v="384"/>
    <x v="24"/>
  </r>
  <r>
    <x v="20"/>
    <s v="GDP growth (annual %)"/>
    <x v="385"/>
    <x v="24"/>
  </r>
  <r>
    <x v="21"/>
    <s v="GDP growth (annual %)"/>
    <x v="0"/>
    <x v="24"/>
  </r>
  <r>
    <x v="22"/>
    <s v="GDP growth (annual %)"/>
    <x v="386"/>
    <x v="24"/>
  </r>
  <r>
    <x v="23"/>
    <s v="GDP growth (annual %)"/>
    <x v="0"/>
    <x v="24"/>
  </r>
  <r>
    <x v="24"/>
    <s v="GDP growth (annual %)"/>
    <x v="0"/>
    <x v="24"/>
  </r>
  <r>
    <x v="25"/>
    <s v="GDP growth (annual %)"/>
    <x v="387"/>
    <x v="24"/>
  </r>
  <r>
    <x v="26"/>
    <s v="GDP growth (annual %)"/>
    <x v="388"/>
    <x v="24"/>
  </r>
  <r>
    <x v="27"/>
    <s v="GDP growth (annual %)"/>
    <x v="389"/>
    <x v="24"/>
  </r>
  <r>
    <x v="0"/>
    <s v="GDP growth (annual %)"/>
    <x v="390"/>
    <x v="25"/>
  </r>
  <r>
    <x v="1"/>
    <s v="GDP growth (annual %)"/>
    <x v="391"/>
    <x v="25"/>
  </r>
  <r>
    <x v="2"/>
    <s v="GDP growth (annual %)"/>
    <x v="392"/>
    <x v="25"/>
  </r>
  <r>
    <x v="3"/>
    <s v="GDP growth (annual %)"/>
    <x v="393"/>
    <x v="25"/>
  </r>
  <r>
    <x v="4"/>
    <s v="GDP growth (annual %)"/>
    <x v="0"/>
    <x v="25"/>
  </r>
  <r>
    <x v="5"/>
    <s v="GDP growth (annual %)"/>
    <x v="394"/>
    <x v="25"/>
  </r>
  <r>
    <x v="6"/>
    <s v="GDP growth (annual %)"/>
    <x v="0"/>
    <x v="25"/>
  </r>
  <r>
    <x v="7"/>
    <s v="GDP growth (annual %)"/>
    <x v="0"/>
    <x v="25"/>
  </r>
  <r>
    <x v="8"/>
    <s v="GDP growth (annual %)"/>
    <x v="395"/>
    <x v="25"/>
  </r>
  <r>
    <x v="9"/>
    <s v="GDP growth (annual %)"/>
    <x v="0"/>
    <x v="25"/>
  </r>
  <r>
    <x v="10"/>
    <s v="GDP growth (annual %)"/>
    <x v="396"/>
    <x v="25"/>
  </r>
  <r>
    <x v="11"/>
    <s v="GDP growth (annual %)"/>
    <x v="397"/>
    <x v="25"/>
  </r>
  <r>
    <x v="12"/>
    <s v="GDP growth (annual %)"/>
    <x v="398"/>
    <x v="25"/>
  </r>
  <r>
    <x v="13"/>
    <s v="GDP growth (annual %)"/>
    <x v="399"/>
    <x v="25"/>
  </r>
  <r>
    <x v="14"/>
    <s v="GDP growth (annual %)"/>
    <x v="0"/>
    <x v="25"/>
  </r>
  <r>
    <x v="15"/>
    <s v="GDP growth (annual %)"/>
    <x v="400"/>
    <x v="25"/>
  </r>
  <r>
    <x v="16"/>
    <s v="GDP growth (annual %)"/>
    <x v="401"/>
    <x v="25"/>
  </r>
  <r>
    <x v="17"/>
    <s v="GDP growth (annual %)"/>
    <x v="402"/>
    <x v="25"/>
  </r>
  <r>
    <x v="18"/>
    <s v="GDP growth (annual %)"/>
    <x v="403"/>
    <x v="25"/>
  </r>
  <r>
    <x v="19"/>
    <s v="GDP growth (annual %)"/>
    <x v="404"/>
    <x v="25"/>
  </r>
  <r>
    <x v="20"/>
    <s v="GDP growth (annual %)"/>
    <x v="405"/>
    <x v="25"/>
  </r>
  <r>
    <x v="21"/>
    <s v="GDP growth (annual %)"/>
    <x v="0"/>
    <x v="25"/>
  </r>
  <r>
    <x v="22"/>
    <s v="GDP growth (annual %)"/>
    <x v="406"/>
    <x v="25"/>
  </r>
  <r>
    <x v="23"/>
    <s v="GDP growth (annual %)"/>
    <x v="0"/>
    <x v="25"/>
  </r>
  <r>
    <x v="24"/>
    <s v="GDP growth (annual %)"/>
    <x v="0"/>
    <x v="25"/>
  </r>
  <r>
    <x v="25"/>
    <s v="GDP growth (annual %)"/>
    <x v="407"/>
    <x v="25"/>
  </r>
  <r>
    <x v="26"/>
    <s v="GDP growth (annual %)"/>
    <x v="408"/>
    <x v="25"/>
  </r>
  <r>
    <x v="27"/>
    <s v="GDP growth (annual %)"/>
    <x v="409"/>
    <x v="25"/>
  </r>
  <r>
    <x v="0"/>
    <s v="GDP growth (annual %)"/>
    <x v="410"/>
    <x v="26"/>
  </r>
  <r>
    <x v="1"/>
    <s v="GDP growth (annual %)"/>
    <x v="411"/>
    <x v="26"/>
  </r>
  <r>
    <x v="2"/>
    <s v="GDP growth (annual %)"/>
    <x v="412"/>
    <x v="26"/>
  </r>
  <r>
    <x v="3"/>
    <s v="GDP growth (annual %)"/>
    <x v="413"/>
    <x v="26"/>
  </r>
  <r>
    <x v="4"/>
    <s v="GDP growth (annual %)"/>
    <x v="0"/>
    <x v="26"/>
  </r>
  <r>
    <x v="5"/>
    <s v="GDP growth (annual %)"/>
    <x v="414"/>
    <x v="26"/>
  </r>
  <r>
    <x v="6"/>
    <s v="GDP growth (annual %)"/>
    <x v="0"/>
    <x v="26"/>
  </r>
  <r>
    <x v="7"/>
    <s v="GDP growth (annual %)"/>
    <x v="0"/>
    <x v="26"/>
  </r>
  <r>
    <x v="8"/>
    <s v="GDP growth (annual %)"/>
    <x v="415"/>
    <x v="26"/>
  </r>
  <r>
    <x v="9"/>
    <s v="GDP growth (annual %)"/>
    <x v="0"/>
    <x v="26"/>
  </r>
  <r>
    <x v="10"/>
    <s v="GDP growth (annual %)"/>
    <x v="416"/>
    <x v="26"/>
  </r>
  <r>
    <x v="11"/>
    <s v="GDP growth (annual %)"/>
    <x v="417"/>
    <x v="26"/>
  </r>
  <r>
    <x v="12"/>
    <s v="GDP growth (annual %)"/>
    <x v="418"/>
    <x v="26"/>
  </r>
  <r>
    <x v="13"/>
    <s v="GDP growth (annual %)"/>
    <x v="419"/>
    <x v="26"/>
  </r>
  <r>
    <x v="14"/>
    <s v="GDP growth (annual %)"/>
    <x v="0"/>
    <x v="26"/>
  </r>
  <r>
    <x v="15"/>
    <s v="GDP growth (annual %)"/>
    <x v="420"/>
    <x v="26"/>
  </r>
  <r>
    <x v="16"/>
    <s v="GDP growth (annual %)"/>
    <x v="421"/>
    <x v="26"/>
  </r>
  <r>
    <x v="17"/>
    <s v="GDP growth (annual %)"/>
    <x v="422"/>
    <x v="26"/>
  </r>
  <r>
    <x v="18"/>
    <s v="GDP growth (annual %)"/>
    <x v="423"/>
    <x v="26"/>
  </r>
  <r>
    <x v="19"/>
    <s v="GDP growth (annual %)"/>
    <x v="424"/>
    <x v="26"/>
  </r>
  <r>
    <x v="20"/>
    <s v="GDP growth (annual %)"/>
    <x v="425"/>
    <x v="26"/>
  </r>
  <r>
    <x v="21"/>
    <s v="GDP growth (annual %)"/>
    <x v="0"/>
    <x v="26"/>
  </r>
  <r>
    <x v="22"/>
    <s v="GDP growth (annual %)"/>
    <x v="426"/>
    <x v="26"/>
  </r>
  <r>
    <x v="23"/>
    <s v="GDP growth (annual %)"/>
    <x v="427"/>
    <x v="26"/>
  </r>
  <r>
    <x v="24"/>
    <s v="GDP growth (annual %)"/>
    <x v="0"/>
    <x v="26"/>
  </r>
  <r>
    <x v="25"/>
    <s v="GDP growth (annual %)"/>
    <x v="428"/>
    <x v="26"/>
  </r>
  <r>
    <x v="26"/>
    <s v="GDP growth (annual %)"/>
    <x v="429"/>
    <x v="26"/>
  </r>
  <r>
    <x v="27"/>
    <s v="GDP growth (annual %)"/>
    <x v="430"/>
    <x v="26"/>
  </r>
  <r>
    <x v="0"/>
    <s v="GDP growth (annual %)"/>
    <x v="431"/>
    <x v="27"/>
  </r>
  <r>
    <x v="1"/>
    <s v="GDP growth (annual %)"/>
    <x v="432"/>
    <x v="27"/>
  </r>
  <r>
    <x v="2"/>
    <s v="GDP growth (annual %)"/>
    <x v="433"/>
    <x v="27"/>
  </r>
  <r>
    <x v="3"/>
    <s v="GDP growth (annual %)"/>
    <x v="434"/>
    <x v="27"/>
  </r>
  <r>
    <x v="4"/>
    <s v="GDP growth (annual %)"/>
    <x v="0"/>
    <x v="27"/>
  </r>
  <r>
    <x v="5"/>
    <s v="GDP growth (annual %)"/>
    <x v="435"/>
    <x v="27"/>
  </r>
  <r>
    <x v="6"/>
    <s v="GDP growth (annual %)"/>
    <x v="436"/>
    <x v="27"/>
  </r>
  <r>
    <x v="7"/>
    <s v="GDP growth (annual %)"/>
    <x v="0"/>
    <x v="27"/>
  </r>
  <r>
    <x v="8"/>
    <s v="GDP growth (annual %)"/>
    <x v="437"/>
    <x v="27"/>
  </r>
  <r>
    <x v="9"/>
    <s v="GDP growth (annual %)"/>
    <x v="0"/>
    <x v="27"/>
  </r>
  <r>
    <x v="10"/>
    <s v="GDP growth (annual %)"/>
    <x v="438"/>
    <x v="27"/>
  </r>
  <r>
    <x v="11"/>
    <s v="GDP growth (annual %)"/>
    <x v="439"/>
    <x v="27"/>
  </r>
  <r>
    <x v="12"/>
    <s v="GDP growth (annual %)"/>
    <x v="440"/>
    <x v="27"/>
  </r>
  <r>
    <x v="13"/>
    <s v="GDP growth (annual %)"/>
    <x v="441"/>
    <x v="27"/>
  </r>
  <r>
    <x v="14"/>
    <s v="GDP growth (annual %)"/>
    <x v="0"/>
    <x v="27"/>
  </r>
  <r>
    <x v="15"/>
    <s v="GDP growth (annual %)"/>
    <x v="442"/>
    <x v="27"/>
  </r>
  <r>
    <x v="16"/>
    <s v="GDP growth (annual %)"/>
    <x v="443"/>
    <x v="27"/>
  </r>
  <r>
    <x v="17"/>
    <s v="GDP growth (annual %)"/>
    <x v="444"/>
    <x v="27"/>
  </r>
  <r>
    <x v="18"/>
    <s v="GDP growth (annual %)"/>
    <x v="445"/>
    <x v="27"/>
  </r>
  <r>
    <x v="19"/>
    <s v="GDP growth (annual %)"/>
    <x v="446"/>
    <x v="27"/>
  </r>
  <r>
    <x v="20"/>
    <s v="GDP growth (annual %)"/>
    <x v="447"/>
    <x v="27"/>
  </r>
  <r>
    <x v="21"/>
    <s v="GDP growth (annual %)"/>
    <x v="0"/>
    <x v="27"/>
  </r>
  <r>
    <x v="22"/>
    <s v="GDP growth (annual %)"/>
    <x v="448"/>
    <x v="27"/>
  </r>
  <r>
    <x v="23"/>
    <s v="GDP growth (annual %)"/>
    <x v="449"/>
    <x v="27"/>
  </r>
  <r>
    <x v="24"/>
    <s v="GDP growth (annual %)"/>
    <x v="0"/>
    <x v="27"/>
  </r>
  <r>
    <x v="25"/>
    <s v="GDP growth (annual %)"/>
    <x v="450"/>
    <x v="27"/>
  </r>
  <r>
    <x v="26"/>
    <s v="GDP growth (annual %)"/>
    <x v="451"/>
    <x v="27"/>
  </r>
  <r>
    <x v="27"/>
    <s v="GDP growth (annual %)"/>
    <x v="452"/>
    <x v="27"/>
  </r>
  <r>
    <x v="0"/>
    <s v="GDP growth (annual %)"/>
    <x v="453"/>
    <x v="28"/>
  </r>
  <r>
    <x v="1"/>
    <s v="GDP growth (annual %)"/>
    <x v="454"/>
    <x v="28"/>
  </r>
  <r>
    <x v="2"/>
    <s v="GDP growth (annual %)"/>
    <x v="455"/>
    <x v="28"/>
  </r>
  <r>
    <x v="3"/>
    <s v="GDP growth (annual %)"/>
    <x v="456"/>
    <x v="28"/>
  </r>
  <r>
    <x v="4"/>
    <s v="GDP growth (annual %)"/>
    <x v="0"/>
    <x v="28"/>
  </r>
  <r>
    <x v="5"/>
    <s v="GDP growth (annual %)"/>
    <x v="457"/>
    <x v="28"/>
  </r>
  <r>
    <x v="6"/>
    <s v="GDP growth (annual %)"/>
    <x v="458"/>
    <x v="28"/>
  </r>
  <r>
    <x v="7"/>
    <s v="GDP growth (annual %)"/>
    <x v="0"/>
    <x v="28"/>
  </r>
  <r>
    <x v="8"/>
    <s v="GDP growth (annual %)"/>
    <x v="459"/>
    <x v="28"/>
  </r>
  <r>
    <x v="9"/>
    <s v="GDP growth (annual %)"/>
    <x v="0"/>
    <x v="28"/>
  </r>
  <r>
    <x v="10"/>
    <s v="GDP growth (annual %)"/>
    <x v="460"/>
    <x v="28"/>
  </r>
  <r>
    <x v="11"/>
    <s v="GDP growth (annual %)"/>
    <x v="461"/>
    <x v="28"/>
  </r>
  <r>
    <x v="12"/>
    <s v="GDP growth (annual %)"/>
    <x v="462"/>
    <x v="28"/>
  </r>
  <r>
    <x v="13"/>
    <s v="GDP growth (annual %)"/>
    <x v="463"/>
    <x v="28"/>
  </r>
  <r>
    <x v="14"/>
    <s v="GDP growth (annual %)"/>
    <x v="0"/>
    <x v="28"/>
  </r>
  <r>
    <x v="15"/>
    <s v="GDP growth (annual %)"/>
    <x v="464"/>
    <x v="28"/>
  </r>
  <r>
    <x v="16"/>
    <s v="GDP growth (annual %)"/>
    <x v="465"/>
    <x v="28"/>
  </r>
  <r>
    <x v="17"/>
    <s v="GDP growth (annual %)"/>
    <x v="466"/>
    <x v="28"/>
  </r>
  <r>
    <x v="18"/>
    <s v="GDP growth (annual %)"/>
    <x v="467"/>
    <x v="28"/>
  </r>
  <r>
    <x v="19"/>
    <s v="GDP growth (annual %)"/>
    <x v="468"/>
    <x v="28"/>
  </r>
  <r>
    <x v="20"/>
    <s v="GDP growth (annual %)"/>
    <x v="469"/>
    <x v="28"/>
  </r>
  <r>
    <x v="21"/>
    <s v="GDP growth (annual %)"/>
    <x v="0"/>
    <x v="28"/>
  </r>
  <r>
    <x v="22"/>
    <s v="GDP growth (annual %)"/>
    <x v="470"/>
    <x v="28"/>
  </r>
  <r>
    <x v="23"/>
    <s v="GDP growth (annual %)"/>
    <x v="471"/>
    <x v="28"/>
  </r>
  <r>
    <x v="24"/>
    <s v="GDP growth (annual %)"/>
    <x v="0"/>
    <x v="28"/>
  </r>
  <r>
    <x v="25"/>
    <s v="GDP growth (annual %)"/>
    <x v="472"/>
    <x v="28"/>
  </r>
  <r>
    <x v="26"/>
    <s v="GDP growth (annual %)"/>
    <x v="473"/>
    <x v="28"/>
  </r>
  <r>
    <x v="27"/>
    <s v="GDP growth (annual %)"/>
    <x v="474"/>
    <x v="28"/>
  </r>
  <r>
    <x v="0"/>
    <s v="GDP growth (annual %)"/>
    <x v="475"/>
    <x v="29"/>
  </r>
  <r>
    <x v="1"/>
    <s v="GDP growth (annual %)"/>
    <x v="476"/>
    <x v="29"/>
  </r>
  <r>
    <x v="2"/>
    <s v="GDP growth (annual %)"/>
    <x v="477"/>
    <x v="29"/>
  </r>
  <r>
    <x v="3"/>
    <s v="GDP growth (annual %)"/>
    <x v="478"/>
    <x v="29"/>
  </r>
  <r>
    <x v="4"/>
    <s v="GDP growth (annual %)"/>
    <x v="0"/>
    <x v="29"/>
  </r>
  <r>
    <x v="5"/>
    <s v="GDP growth (annual %)"/>
    <x v="479"/>
    <x v="29"/>
  </r>
  <r>
    <x v="6"/>
    <s v="GDP growth (annual %)"/>
    <x v="480"/>
    <x v="29"/>
  </r>
  <r>
    <x v="7"/>
    <s v="GDP growth (annual %)"/>
    <x v="0"/>
    <x v="29"/>
  </r>
  <r>
    <x v="8"/>
    <s v="GDP growth (annual %)"/>
    <x v="481"/>
    <x v="29"/>
  </r>
  <r>
    <x v="9"/>
    <s v="GDP growth (annual %)"/>
    <x v="0"/>
    <x v="29"/>
  </r>
  <r>
    <x v="10"/>
    <s v="GDP growth (annual %)"/>
    <x v="482"/>
    <x v="29"/>
  </r>
  <r>
    <x v="11"/>
    <s v="GDP growth (annual %)"/>
    <x v="483"/>
    <x v="29"/>
  </r>
  <r>
    <x v="12"/>
    <s v="GDP growth (annual %)"/>
    <x v="484"/>
    <x v="29"/>
  </r>
  <r>
    <x v="13"/>
    <s v="GDP growth (annual %)"/>
    <x v="485"/>
    <x v="29"/>
  </r>
  <r>
    <x v="14"/>
    <s v="GDP growth (annual %)"/>
    <x v="0"/>
    <x v="29"/>
  </r>
  <r>
    <x v="15"/>
    <s v="GDP growth (annual %)"/>
    <x v="486"/>
    <x v="29"/>
  </r>
  <r>
    <x v="16"/>
    <s v="GDP growth (annual %)"/>
    <x v="487"/>
    <x v="29"/>
  </r>
  <r>
    <x v="17"/>
    <s v="GDP growth (annual %)"/>
    <x v="488"/>
    <x v="29"/>
  </r>
  <r>
    <x v="18"/>
    <s v="GDP growth (annual %)"/>
    <x v="489"/>
    <x v="29"/>
  </r>
  <r>
    <x v="19"/>
    <s v="GDP growth (annual %)"/>
    <x v="490"/>
    <x v="29"/>
  </r>
  <r>
    <x v="20"/>
    <s v="GDP growth (annual %)"/>
    <x v="491"/>
    <x v="29"/>
  </r>
  <r>
    <x v="21"/>
    <s v="GDP growth (annual %)"/>
    <x v="0"/>
    <x v="29"/>
  </r>
  <r>
    <x v="22"/>
    <s v="GDP growth (annual %)"/>
    <x v="492"/>
    <x v="29"/>
  </r>
  <r>
    <x v="23"/>
    <s v="GDP growth (annual %)"/>
    <x v="493"/>
    <x v="29"/>
  </r>
  <r>
    <x v="24"/>
    <s v="GDP growth (annual %)"/>
    <x v="494"/>
    <x v="29"/>
  </r>
  <r>
    <x v="25"/>
    <s v="GDP growth (annual %)"/>
    <x v="495"/>
    <x v="29"/>
  </r>
  <r>
    <x v="26"/>
    <s v="GDP growth (annual %)"/>
    <x v="496"/>
    <x v="29"/>
  </r>
  <r>
    <x v="27"/>
    <s v="GDP growth (annual %)"/>
    <x v="497"/>
    <x v="29"/>
  </r>
  <r>
    <x v="0"/>
    <s v="GDP growth (annual %)"/>
    <x v="498"/>
    <x v="30"/>
  </r>
  <r>
    <x v="1"/>
    <s v="GDP growth (annual %)"/>
    <x v="499"/>
    <x v="30"/>
  </r>
  <r>
    <x v="2"/>
    <s v="GDP growth (annual %)"/>
    <x v="500"/>
    <x v="30"/>
  </r>
  <r>
    <x v="3"/>
    <s v="GDP growth (annual %)"/>
    <x v="501"/>
    <x v="30"/>
  </r>
  <r>
    <x v="4"/>
    <s v="GDP growth (annual %)"/>
    <x v="0"/>
    <x v="30"/>
  </r>
  <r>
    <x v="5"/>
    <s v="GDP growth (annual %)"/>
    <x v="502"/>
    <x v="30"/>
  </r>
  <r>
    <x v="6"/>
    <s v="GDP growth (annual %)"/>
    <x v="503"/>
    <x v="30"/>
  </r>
  <r>
    <x v="7"/>
    <s v="GDP growth (annual %)"/>
    <x v="0"/>
    <x v="30"/>
  </r>
  <r>
    <x v="8"/>
    <s v="GDP growth (annual %)"/>
    <x v="504"/>
    <x v="30"/>
  </r>
  <r>
    <x v="9"/>
    <s v="GDP growth (annual %)"/>
    <x v="0"/>
    <x v="30"/>
  </r>
  <r>
    <x v="10"/>
    <s v="GDP growth (annual %)"/>
    <x v="505"/>
    <x v="30"/>
  </r>
  <r>
    <x v="11"/>
    <s v="GDP growth (annual %)"/>
    <x v="506"/>
    <x v="30"/>
  </r>
  <r>
    <x v="12"/>
    <s v="GDP growth (annual %)"/>
    <x v="507"/>
    <x v="30"/>
  </r>
  <r>
    <x v="13"/>
    <s v="GDP growth (annual %)"/>
    <x v="508"/>
    <x v="30"/>
  </r>
  <r>
    <x v="14"/>
    <s v="GDP growth (annual %)"/>
    <x v="0"/>
    <x v="30"/>
  </r>
  <r>
    <x v="15"/>
    <s v="GDP growth (annual %)"/>
    <x v="509"/>
    <x v="30"/>
  </r>
  <r>
    <x v="16"/>
    <s v="GDP growth (annual %)"/>
    <x v="510"/>
    <x v="30"/>
  </r>
  <r>
    <x v="17"/>
    <s v="GDP growth (annual %)"/>
    <x v="511"/>
    <x v="30"/>
  </r>
  <r>
    <x v="18"/>
    <s v="GDP growth (annual %)"/>
    <x v="512"/>
    <x v="30"/>
  </r>
  <r>
    <x v="19"/>
    <s v="GDP growth (annual %)"/>
    <x v="513"/>
    <x v="30"/>
  </r>
  <r>
    <x v="20"/>
    <s v="GDP growth (annual %)"/>
    <x v="514"/>
    <x v="30"/>
  </r>
  <r>
    <x v="21"/>
    <s v="GDP growth (annual %)"/>
    <x v="0"/>
    <x v="30"/>
  </r>
  <r>
    <x v="22"/>
    <s v="GDP growth (annual %)"/>
    <x v="515"/>
    <x v="30"/>
  </r>
  <r>
    <x v="23"/>
    <s v="GDP growth (annual %)"/>
    <x v="516"/>
    <x v="30"/>
  </r>
  <r>
    <x v="24"/>
    <s v="GDP growth (annual %)"/>
    <x v="517"/>
    <x v="30"/>
  </r>
  <r>
    <x v="25"/>
    <s v="GDP growth (annual %)"/>
    <x v="518"/>
    <x v="30"/>
  </r>
  <r>
    <x v="26"/>
    <s v="GDP growth (annual %)"/>
    <x v="519"/>
    <x v="30"/>
  </r>
  <r>
    <x v="27"/>
    <s v="GDP growth (annual %)"/>
    <x v="520"/>
    <x v="30"/>
  </r>
  <r>
    <x v="0"/>
    <s v="GDP growth (annual %)"/>
    <x v="521"/>
    <x v="31"/>
  </r>
  <r>
    <x v="1"/>
    <s v="GDP growth (annual %)"/>
    <x v="522"/>
    <x v="31"/>
  </r>
  <r>
    <x v="2"/>
    <s v="GDP growth (annual %)"/>
    <x v="523"/>
    <x v="31"/>
  </r>
  <r>
    <x v="3"/>
    <s v="GDP growth (annual %)"/>
    <x v="524"/>
    <x v="31"/>
  </r>
  <r>
    <x v="4"/>
    <s v="GDP growth (annual %)"/>
    <x v="0"/>
    <x v="31"/>
  </r>
  <r>
    <x v="5"/>
    <s v="GDP growth (annual %)"/>
    <x v="525"/>
    <x v="31"/>
  </r>
  <r>
    <x v="6"/>
    <s v="GDP growth (annual %)"/>
    <x v="526"/>
    <x v="31"/>
  </r>
  <r>
    <x v="7"/>
    <s v="GDP growth (annual %)"/>
    <x v="0"/>
    <x v="31"/>
  </r>
  <r>
    <x v="8"/>
    <s v="GDP growth (annual %)"/>
    <x v="527"/>
    <x v="31"/>
  </r>
  <r>
    <x v="9"/>
    <s v="GDP growth (annual %)"/>
    <x v="0"/>
    <x v="31"/>
  </r>
  <r>
    <x v="10"/>
    <s v="GDP growth (annual %)"/>
    <x v="528"/>
    <x v="31"/>
  </r>
  <r>
    <x v="11"/>
    <s v="GDP growth (annual %)"/>
    <x v="529"/>
    <x v="31"/>
  </r>
  <r>
    <x v="12"/>
    <s v="GDP growth (annual %)"/>
    <x v="530"/>
    <x v="31"/>
  </r>
  <r>
    <x v="13"/>
    <s v="GDP growth (annual %)"/>
    <x v="531"/>
    <x v="31"/>
  </r>
  <r>
    <x v="14"/>
    <s v="GDP growth (annual %)"/>
    <x v="0"/>
    <x v="31"/>
  </r>
  <r>
    <x v="15"/>
    <s v="GDP growth (annual %)"/>
    <x v="532"/>
    <x v="31"/>
  </r>
  <r>
    <x v="16"/>
    <s v="GDP growth (annual %)"/>
    <x v="533"/>
    <x v="31"/>
  </r>
  <r>
    <x v="17"/>
    <s v="GDP growth (annual %)"/>
    <x v="534"/>
    <x v="31"/>
  </r>
  <r>
    <x v="18"/>
    <s v="GDP growth (annual %)"/>
    <x v="535"/>
    <x v="31"/>
  </r>
  <r>
    <x v="19"/>
    <s v="GDP growth (annual %)"/>
    <x v="536"/>
    <x v="31"/>
  </r>
  <r>
    <x v="20"/>
    <s v="GDP growth (annual %)"/>
    <x v="537"/>
    <x v="31"/>
  </r>
  <r>
    <x v="21"/>
    <s v="GDP growth (annual %)"/>
    <x v="0"/>
    <x v="31"/>
  </r>
  <r>
    <x v="22"/>
    <s v="GDP growth (annual %)"/>
    <x v="538"/>
    <x v="31"/>
  </r>
  <r>
    <x v="23"/>
    <s v="GDP growth (annual %)"/>
    <x v="539"/>
    <x v="31"/>
  </r>
  <r>
    <x v="24"/>
    <s v="GDP growth (annual %)"/>
    <x v="540"/>
    <x v="31"/>
  </r>
  <r>
    <x v="25"/>
    <s v="GDP growth (annual %)"/>
    <x v="541"/>
    <x v="31"/>
  </r>
  <r>
    <x v="26"/>
    <s v="GDP growth (annual %)"/>
    <x v="542"/>
    <x v="31"/>
  </r>
  <r>
    <x v="27"/>
    <s v="GDP growth (annual %)"/>
    <x v="543"/>
    <x v="31"/>
  </r>
  <r>
    <x v="0"/>
    <s v="GDP growth (annual %)"/>
    <x v="544"/>
    <x v="32"/>
  </r>
  <r>
    <x v="1"/>
    <s v="GDP growth (annual %)"/>
    <x v="545"/>
    <x v="32"/>
  </r>
  <r>
    <x v="2"/>
    <s v="GDP growth (annual %)"/>
    <x v="546"/>
    <x v="32"/>
  </r>
  <r>
    <x v="3"/>
    <s v="GDP growth (annual %)"/>
    <x v="547"/>
    <x v="32"/>
  </r>
  <r>
    <x v="4"/>
    <s v="GDP growth (annual %)"/>
    <x v="0"/>
    <x v="32"/>
  </r>
  <r>
    <x v="5"/>
    <s v="GDP growth (annual %)"/>
    <x v="548"/>
    <x v="32"/>
  </r>
  <r>
    <x v="6"/>
    <s v="GDP growth (annual %)"/>
    <x v="549"/>
    <x v="32"/>
  </r>
  <r>
    <x v="7"/>
    <s v="GDP growth (annual %)"/>
    <x v="0"/>
    <x v="32"/>
  </r>
  <r>
    <x v="8"/>
    <s v="GDP growth (annual %)"/>
    <x v="550"/>
    <x v="32"/>
  </r>
  <r>
    <x v="9"/>
    <s v="GDP growth (annual %)"/>
    <x v="0"/>
    <x v="32"/>
  </r>
  <r>
    <x v="10"/>
    <s v="GDP growth (annual %)"/>
    <x v="551"/>
    <x v="32"/>
  </r>
  <r>
    <x v="11"/>
    <s v="GDP growth (annual %)"/>
    <x v="552"/>
    <x v="32"/>
  </r>
  <r>
    <x v="12"/>
    <s v="GDP growth (annual %)"/>
    <x v="553"/>
    <x v="32"/>
  </r>
  <r>
    <x v="13"/>
    <s v="GDP growth (annual %)"/>
    <x v="554"/>
    <x v="32"/>
  </r>
  <r>
    <x v="14"/>
    <s v="GDP growth (annual %)"/>
    <x v="0"/>
    <x v="32"/>
  </r>
  <r>
    <x v="15"/>
    <s v="GDP growth (annual %)"/>
    <x v="555"/>
    <x v="32"/>
  </r>
  <r>
    <x v="16"/>
    <s v="GDP growth (annual %)"/>
    <x v="556"/>
    <x v="32"/>
  </r>
  <r>
    <x v="17"/>
    <s v="GDP growth (annual %)"/>
    <x v="557"/>
    <x v="32"/>
  </r>
  <r>
    <x v="18"/>
    <s v="GDP growth (annual %)"/>
    <x v="558"/>
    <x v="32"/>
  </r>
  <r>
    <x v="19"/>
    <s v="GDP growth (annual %)"/>
    <x v="559"/>
    <x v="32"/>
  </r>
  <r>
    <x v="20"/>
    <s v="GDP growth (annual %)"/>
    <x v="560"/>
    <x v="32"/>
  </r>
  <r>
    <x v="21"/>
    <s v="GDP growth (annual %)"/>
    <x v="0"/>
    <x v="32"/>
  </r>
  <r>
    <x v="22"/>
    <s v="GDP growth (annual %)"/>
    <x v="561"/>
    <x v="32"/>
  </r>
  <r>
    <x v="23"/>
    <s v="GDP growth (annual %)"/>
    <x v="562"/>
    <x v="32"/>
  </r>
  <r>
    <x v="24"/>
    <s v="GDP growth (annual %)"/>
    <x v="563"/>
    <x v="32"/>
  </r>
  <r>
    <x v="25"/>
    <s v="GDP growth (annual %)"/>
    <x v="564"/>
    <x v="32"/>
  </r>
  <r>
    <x v="26"/>
    <s v="GDP growth (annual %)"/>
    <x v="565"/>
    <x v="32"/>
  </r>
  <r>
    <x v="27"/>
    <s v="GDP growth (annual %)"/>
    <x v="566"/>
    <x v="32"/>
  </r>
  <r>
    <x v="0"/>
    <s v="GDP growth (annual %)"/>
    <x v="567"/>
    <x v="33"/>
  </r>
  <r>
    <x v="1"/>
    <s v="GDP growth (annual %)"/>
    <x v="568"/>
    <x v="33"/>
  </r>
  <r>
    <x v="2"/>
    <s v="GDP growth (annual %)"/>
    <x v="569"/>
    <x v="33"/>
  </r>
  <r>
    <x v="3"/>
    <s v="GDP growth (annual %)"/>
    <x v="570"/>
    <x v="33"/>
  </r>
  <r>
    <x v="4"/>
    <s v="GDP growth (annual %)"/>
    <x v="0"/>
    <x v="33"/>
  </r>
  <r>
    <x v="5"/>
    <s v="GDP growth (annual %)"/>
    <x v="571"/>
    <x v="33"/>
  </r>
  <r>
    <x v="6"/>
    <s v="GDP growth (annual %)"/>
    <x v="572"/>
    <x v="33"/>
  </r>
  <r>
    <x v="7"/>
    <s v="GDP growth (annual %)"/>
    <x v="0"/>
    <x v="33"/>
  </r>
  <r>
    <x v="8"/>
    <s v="GDP growth (annual %)"/>
    <x v="573"/>
    <x v="33"/>
  </r>
  <r>
    <x v="9"/>
    <s v="GDP growth (annual %)"/>
    <x v="0"/>
    <x v="33"/>
  </r>
  <r>
    <x v="10"/>
    <s v="GDP growth (annual %)"/>
    <x v="574"/>
    <x v="33"/>
  </r>
  <r>
    <x v="11"/>
    <s v="GDP growth (annual %)"/>
    <x v="575"/>
    <x v="33"/>
  </r>
  <r>
    <x v="12"/>
    <s v="GDP growth (annual %)"/>
    <x v="576"/>
    <x v="33"/>
  </r>
  <r>
    <x v="13"/>
    <s v="GDP growth (annual %)"/>
    <x v="577"/>
    <x v="33"/>
  </r>
  <r>
    <x v="14"/>
    <s v="GDP growth (annual %)"/>
    <x v="0"/>
    <x v="33"/>
  </r>
  <r>
    <x v="15"/>
    <s v="GDP growth (annual %)"/>
    <x v="578"/>
    <x v="33"/>
  </r>
  <r>
    <x v="16"/>
    <s v="GDP growth (annual %)"/>
    <x v="579"/>
    <x v="33"/>
  </r>
  <r>
    <x v="17"/>
    <s v="GDP growth (annual %)"/>
    <x v="580"/>
    <x v="33"/>
  </r>
  <r>
    <x v="18"/>
    <s v="GDP growth (annual %)"/>
    <x v="581"/>
    <x v="33"/>
  </r>
  <r>
    <x v="19"/>
    <s v="GDP growth (annual %)"/>
    <x v="582"/>
    <x v="33"/>
  </r>
  <r>
    <x v="20"/>
    <s v="GDP growth (annual %)"/>
    <x v="583"/>
    <x v="33"/>
  </r>
  <r>
    <x v="21"/>
    <s v="GDP growth (annual %)"/>
    <x v="0"/>
    <x v="33"/>
  </r>
  <r>
    <x v="22"/>
    <s v="GDP growth (annual %)"/>
    <x v="584"/>
    <x v="33"/>
  </r>
  <r>
    <x v="23"/>
    <s v="GDP growth (annual %)"/>
    <x v="585"/>
    <x v="33"/>
  </r>
  <r>
    <x v="24"/>
    <s v="GDP growth (annual %)"/>
    <x v="586"/>
    <x v="33"/>
  </r>
  <r>
    <x v="25"/>
    <s v="GDP growth (annual %)"/>
    <x v="587"/>
    <x v="33"/>
  </r>
  <r>
    <x v="26"/>
    <s v="GDP growth (annual %)"/>
    <x v="588"/>
    <x v="33"/>
  </r>
  <r>
    <x v="27"/>
    <s v="GDP growth (annual %)"/>
    <x v="589"/>
    <x v="33"/>
  </r>
  <r>
    <x v="0"/>
    <s v="GDP growth (annual %)"/>
    <x v="590"/>
    <x v="34"/>
  </r>
  <r>
    <x v="1"/>
    <s v="GDP growth (annual %)"/>
    <x v="591"/>
    <x v="34"/>
  </r>
  <r>
    <x v="2"/>
    <s v="GDP growth (annual %)"/>
    <x v="592"/>
    <x v="34"/>
  </r>
  <r>
    <x v="3"/>
    <s v="GDP growth (annual %)"/>
    <x v="593"/>
    <x v="34"/>
  </r>
  <r>
    <x v="4"/>
    <s v="GDP growth (annual %)"/>
    <x v="0"/>
    <x v="34"/>
  </r>
  <r>
    <x v="5"/>
    <s v="GDP growth (annual %)"/>
    <x v="594"/>
    <x v="34"/>
  </r>
  <r>
    <x v="6"/>
    <s v="GDP growth (annual %)"/>
    <x v="595"/>
    <x v="34"/>
  </r>
  <r>
    <x v="7"/>
    <s v="GDP growth (annual %)"/>
    <x v="0"/>
    <x v="34"/>
  </r>
  <r>
    <x v="8"/>
    <s v="GDP growth (annual %)"/>
    <x v="596"/>
    <x v="34"/>
  </r>
  <r>
    <x v="9"/>
    <s v="GDP growth (annual %)"/>
    <x v="0"/>
    <x v="34"/>
  </r>
  <r>
    <x v="10"/>
    <s v="GDP growth (annual %)"/>
    <x v="597"/>
    <x v="34"/>
  </r>
  <r>
    <x v="11"/>
    <s v="GDP growth (annual %)"/>
    <x v="598"/>
    <x v="34"/>
  </r>
  <r>
    <x v="12"/>
    <s v="GDP growth (annual %)"/>
    <x v="599"/>
    <x v="34"/>
  </r>
  <r>
    <x v="13"/>
    <s v="GDP growth (annual %)"/>
    <x v="600"/>
    <x v="34"/>
  </r>
  <r>
    <x v="14"/>
    <s v="GDP growth (annual %)"/>
    <x v="0"/>
    <x v="34"/>
  </r>
  <r>
    <x v="15"/>
    <s v="GDP growth (annual %)"/>
    <x v="601"/>
    <x v="34"/>
  </r>
  <r>
    <x v="16"/>
    <s v="GDP growth (annual %)"/>
    <x v="602"/>
    <x v="34"/>
  </r>
  <r>
    <x v="17"/>
    <s v="GDP growth (annual %)"/>
    <x v="603"/>
    <x v="34"/>
  </r>
  <r>
    <x v="18"/>
    <s v="GDP growth (annual %)"/>
    <x v="604"/>
    <x v="34"/>
  </r>
  <r>
    <x v="19"/>
    <s v="GDP growth (annual %)"/>
    <x v="605"/>
    <x v="34"/>
  </r>
  <r>
    <x v="20"/>
    <s v="GDP growth (annual %)"/>
    <x v="606"/>
    <x v="34"/>
  </r>
  <r>
    <x v="21"/>
    <s v="GDP growth (annual %)"/>
    <x v="0"/>
    <x v="34"/>
  </r>
  <r>
    <x v="22"/>
    <s v="GDP growth (annual %)"/>
    <x v="607"/>
    <x v="34"/>
  </r>
  <r>
    <x v="23"/>
    <s v="GDP growth (annual %)"/>
    <x v="608"/>
    <x v="34"/>
  </r>
  <r>
    <x v="24"/>
    <s v="GDP growth (annual %)"/>
    <x v="609"/>
    <x v="34"/>
  </r>
  <r>
    <x v="25"/>
    <s v="GDP growth (annual %)"/>
    <x v="610"/>
    <x v="34"/>
  </r>
  <r>
    <x v="26"/>
    <s v="GDP growth (annual %)"/>
    <x v="611"/>
    <x v="34"/>
  </r>
  <r>
    <x v="27"/>
    <s v="GDP growth (annual %)"/>
    <x v="612"/>
    <x v="34"/>
  </r>
  <r>
    <x v="0"/>
    <s v="GDP growth (annual %)"/>
    <x v="613"/>
    <x v="35"/>
  </r>
  <r>
    <x v="1"/>
    <s v="GDP growth (annual %)"/>
    <x v="614"/>
    <x v="35"/>
  </r>
  <r>
    <x v="2"/>
    <s v="GDP growth (annual %)"/>
    <x v="615"/>
    <x v="35"/>
  </r>
  <r>
    <x v="3"/>
    <s v="GDP growth (annual %)"/>
    <x v="616"/>
    <x v="35"/>
  </r>
  <r>
    <x v="4"/>
    <s v="GDP growth (annual %)"/>
    <x v="0"/>
    <x v="35"/>
  </r>
  <r>
    <x v="5"/>
    <s v="GDP growth (annual %)"/>
    <x v="617"/>
    <x v="35"/>
  </r>
  <r>
    <x v="6"/>
    <s v="GDP growth (annual %)"/>
    <x v="618"/>
    <x v="35"/>
  </r>
  <r>
    <x v="7"/>
    <s v="GDP growth (annual %)"/>
    <x v="0"/>
    <x v="35"/>
  </r>
  <r>
    <x v="8"/>
    <s v="GDP growth (annual %)"/>
    <x v="619"/>
    <x v="35"/>
  </r>
  <r>
    <x v="9"/>
    <s v="GDP growth (annual %)"/>
    <x v="0"/>
    <x v="35"/>
  </r>
  <r>
    <x v="10"/>
    <s v="GDP growth (annual %)"/>
    <x v="620"/>
    <x v="35"/>
  </r>
  <r>
    <x v="11"/>
    <s v="GDP growth (annual %)"/>
    <x v="621"/>
    <x v="35"/>
  </r>
  <r>
    <x v="12"/>
    <s v="GDP growth (annual %)"/>
    <x v="622"/>
    <x v="35"/>
  </r>
  <r>
    <x v="13"/>
    <s v="GDP growth (annual %)"/>
    <x v="623"/>
    <x v="35"/>
  </r>
  <r>
    <x v="14"/>
    <s v="GDP growth (annual %)"/>
    <x v="0"/>
    <x v="35"/>
  </r>
  <r>
    <x v="15"/>
    <s v="GDP growth (annual %)"/>
    <x v="624"/>
    <x v="35"/>
  </r>
  <r>
    <x v="16"/>
    <s v="GDP growth (annual %)"/>
    <x v="625"/>
    <x v="35"/>
  </r>
  <r>
    <x v="17"/>
    <s v="GDP growth (annual %)"/>
    <x v="626"/>
    <x v="35"/>
  </r>
  <r>
    <x v="18"/>
    <s v="GDP growth (annual %)"/>
    <x v="627"/>
    <x v="35"/>
  </r>
  <r>
    <x v="19"/>
    <s v="GDP growth (annual %)"/>
    <x v="628"/>
    <x v="35"/>
  </r>
  <r>
    <x v="20"/>
    <s v="GDP growth (annual %)"/>
    <x v="629"/>
    <x v="35"/>
  </r>
  <r>
    <x v="21"/>
    <s v="GDP growth (annual %)"/>
    <x v="0"/>
    <x v="35"/>
  </r>
  <r>
    <x v="22"/>
    <s v="GDP growth (annual %)"/>
    <x v="630"/>
    <x v="35"/>
  </r>
  <r>
    <x v="23"/>
    <s v="GDP growth (annual %)"/>
    <x v="631"/>
    <x v="35"/>
  </r>
  <r>
    <x v="24"/>
    <s v="GDP growth (annual %)"/>
    <x v="632"/>
    <x v="35"/>
  </r>
  <r>
    <x v="25"/>
    <s v="GDP growth (annual %)"/>
    <x v="633"/>
    <x v="35"/>
  </r>
  <r>
    <x v="26"/>
    <s v="GDP growth (annual %)"/>
    <x v="634"/>
    <x v="35"/>
  </r>
  <r>
    <x v="27"/>
    <s v="GDP growth (annual %)"/>
    <x v="635"/>
    <x v="35"/>
  </r>
  <r>
    <x v="0"/>
    <s v="GDP growth (annual %)"/>
    <x v="636"/>
    <x v="36"/>
  </r>
  <r>
    <x v="1"/>
    <s v="GDP growth (annual %)"/>
    <x v="637"/>
    <x v="36"/>
  </r>
  <r>
    <x v="2"/>
    <s v="GDP growth (annual %)"/>
    <x v="638"/>
    <x v="36"/>
  </r>
  <r>
    <x v="3"/>
    <s v="GDP growth (annual %)"/>
    <x v="639"/>
    <x v="36"/>
  </r>
  <r>
    <x v="4"/>
    <s v="GDP growth (annual %)"/>
    <x v="0"/>
    <x v="36"/>
  </r>
  <r>
    <x v="5"/>
    <s v="GDP growth (annual %)"/>
    <x v="640"/>
    <x v="36"/>
  </r>
  <r>
    <x v="6"/>
    <s v="GDP growth (annual %)"/>
    <x v="641"/>
    <x v="36"/>
  </r>
  <r>
    <x v="7"/>
    <s v="GDP growth (annual %)"/>
    <x v="0"/>
    <x v="36"/>
  </r>
  <r>
    <x v="8"/>
    <s v="GDP growth (annual %)"/>
    <x v="642"/>
    <x v="36"/>
  </r>
  <r>
    <x v="9"/>
    <s v="GDP growth (annual %)"/>
    <x v="0"/>
    <x v="36"/>
  </r>
  <r>
    <x v="10"/>
    <s v="GDP growth (annual %)"/>
    <x v="643"/>
    <x v="36"/>
  </r>
  <r>
    <x v="11"/>
    <s v="GDP growth (annual %)"/>
    <x v="644"/>
    <x v="36"/>
  </r>
  <r>
    <x v="12"/>
    <s v="GDP growth (annual %)"/>
    <x v="645"/>
    <x v="36"/>
  </r>
  <r>
    <x v="13"/>
    <s v="GDP growth (annual %)"/>
    <x v="646"/>
    <x v="36"/>
  </r>
  <r>
    <x v="14"/>
    <s v="GDP growth (annual %)"/>
    <x v="647"/>
    <x v="36"/>
  </r>
  <r>
    <x v="15"/>
    <s v="GDP growth (annual %)"/>
    <x v="648"/>
    <x v="36"/>
  </r>
  <r>
    <x v="16"/>
    <s v="GDP growth (annual %)"/>
    <x v="649"/>
    <x v="36"/>
  </r>
  <r>
    <x v="17"/>
    <s v="GDP growth (annual %)"/>
    <x v="650"/>
    <x v="36"/>
  </r>
  <r>
    <x v="18"/>
    <s v="GDP growth (annual %)"/>
    <x v="651"/>
    <x v="36"/>
  </r>
  <r>
    <x v="19"/>
    <s v="GDP growth (annual %)"/>
    <x v="652"/>
    <x v="36"/>
  </r>
  <r>
    <x v="20"/>
    <s v="GDP growth (annual %)"/>
    <x v="653"/>
    <x v="36"/>
  </r>
  <r>
    <x v="21"/>
    <s v="GDP growth (annual %)"/>
    <x v="0"/>
    <x v="36"/>
  </r>
  <r>
    <x v="22"/>
    <s v="GDP growth (annual %)"/>
    <x v="654"/>
    <x v="36"/>
  </r>
  <r>
    <x v="23"/>
    <s v="GDP growth (annual %)"/>
    <x v="655"/>
    <x v="36"/>
  </r>
  <r>
    <x v="24"/>
    <s v="GDP growth (annual %)"/>
    <x v="656"/>
    <x v="36"/>
  </r>
  <r>
    <x v="25"/>
    <s v="GDP growth (annual %)"/>
    <x v="657"/>
    <x v="36"/>
  </r>
  <r>
    <x v="26"/>
    <s v="GDP growth (annual %)"/>
    <x v="658"/>
    <x v="36"/>
  </r>
  <r>
    <x v="27"/>
    <s v="GDP growth (annual %)"/>
    <x v="659"/>
    <x v="36"/>
  </r>
  <r>
    <x v="0"/>
    <s v="GDP growth (annual %)"/>
    <x v="660"/>
    <x v="37"/>
  </r>
  <r>
    <x v="1"/>
    <s v="GDP growth (annual %)"/>
    <x v="661"/>
    <x v="37"/>
  </r>
  <r>
    <x v="2"/>
    <s v="GDP growth (annual %)"/>
    <x v="662"/>
    <x v="37"/>
  </r>
  <r>
    <x v="3"/>
    <s v="GDP growth (annual %)"/>
    <x v="663"/>
    <x v="37"/>
  </r>
  <r>
    <x v="4"/>
    <s v="GDP growth (annual %)"/>
    <x v="0"/>
    <x v="37"/>
  </r>
  <r>
    <x v="5"/>
    <s v="GDP growth (annual %)"/>
    <x v="664"/>
    <x v="37"/>
  </r>
  <r>
    <x v="6"/>
    <s v="GDP growth (annual %)"/>
    <x v="665"/>
    <x v="37"/>
  </r>
  <r>
    <x v="7"/>
    <s v="GDP growth (annual %)"/>
    <x v="666"/>
    <x v="37"/>
  </r>
  <r>
    <x v="8"/>
    <s v="GDP growth (annual %)"/>
    <x v="667"/>
    <x v="37"/>
  </r>
  <r>
    <x v="9"/>
    <s v="GDP growth (annual %)"/>
    <x v="0"/>
    <x v="37"/>
  </r>
  <r>
    <x v="10"/>
    <s v="GDP growth (annual %)"/>
    <x v="668"/>
    <x v="37"/>
  </r>
  <r>
    <x v="11"/>
    <s v="GDP growth (annual %)"/>
    <x v="669"/>
    <x v="37"/>
  </r>
  <r>
    <x v="12"/>
    <s v="GDP growth (annual %)"/>
    <x v="670"/>
    <x v="37"/>
  </r>
  <r>
    <x v="13"/>
    <s v="GDP growth (annual %)"/>
    <x v="671"/>
    <x v="37"/>
  </r>
  <r>
    <x v="14"/>
    <s v="GDP growth (annual %)"/>
    <x v="672"/>
    <x v="37"/>
  </r>
  <r>
    <x v="15"/>
    <s v="GDP growth (annual %)"/>
    <x v="673"/>
    <x v="37"/>
  </r>
  <r>
    <x v="16"/>
    <s v="GDP growth (annual %)"/>
    <x v="674"/>
    <x v="37"/>
  </r>
  <r>
    <x v="17"/>
    <s v="GDP growth (annual %)"/>
    <x v="675"/>
    <x v="37"/>
  </r>
  <r>
    <x v="18"/>
    <s v="GDP growth (annual %)"/>
    <x v="676"/>
    <x v="37"/>
  </r>
  <r>
    <x v="19"/>
    <s v="GDP growth (annual %)"/>
    <x v="677"/>
    <x v="37"/>
  </r>
  <r>
    <x v="20"/>
    <s v="GDP growth (annual %)"/>
    <x v="678"/>
    <x v="37"/>
  </r>
  <r>
    <x v="21"/>
    <s v="GDP growth (annual %)"/>
    <x v="0"/>
    <x v="37"/>
  </r>
  <r>
    <x v="22"/>
    <s v="GDP growth (annual %)"/>
    <x v="679"/>
    <x v="37"/>
  </r>
  <r>
    <x v="23"/>
    <s v="GDP growth (annual %)"/>
    <x v="680"/>
    <x v="37"/>
  </r>
  <r>
    <x v="24"/>
    <s v="GDP growth (annual %)"/>
    <x v="681"/>
    <x v="37"/>
  </r>
  <r>
    <x v="25"/>
    <s v="GDP growth (annual %)"/>
    <x v="682"/>
    <x v="37"/>
  </r>
  <r>
    <x v="26"/>
    <s v="GDP growth (annual %)"/>
    <x v="683"/>
    <x v="37"/>
  </r>
  <r>
    <x v="27"/>
    <s v="GDP growth (annual %)"/>
    <x v="684"/>
    <x v="37"/>
  </r>
  <r>
    <x v="0"/>
    <s v="GDP growth (annual %)"/>
    <x v="685"/>
    <x v="38"/>
  </r>
  <r>
    <x v="1"/>
    <s v="GDP growth (annual %)"/>
    <x v="686"/>
    <x v="38"/>
  </r>
  <r>
    <x v="2"/>
    <s v="GDP growth (annual %)"/>
    <x v="687"/>
    <x v="38"/>
  </r>
  <r>
    <x v="3"/>
    <s v="GDP growth (annual %)"/>
    <x v="688"/>
    <x v="38"/>
  </r>
  <r>
    <x v="4"/>
    <s v="GDP growth (annual %)"/>
    <x v="0"/>
    <x v="38"/>
  </r>
  <r>
    <x v="5"/>
    <s v="GDP growth (annual %)"/>
    <x v="689"/>
    <x v="38"/>
  </r>
  <r>
    <x v="6"/>
    <s v="GDP growth (annual %)"/>
    <x v="690"/>
    <x v="38"/>
  </r>
  <r>
    <x v="7"/>
    <s v="GDP growth (annual %)"/>
    <x v="691"/>
    <x v="38"/>
  </r>
  <r>
    <x v="8"/>
    <s v="GDP growth (annual %)"/>
    <x v="692"/>
    <x v="38"/>
  </r>
  <r>
    <x v="9"/>
    <s v="GDP growth (annual %)"/>
    <x v="0"/>
    <x v="38"/>
  </r>
  <r>
    <x v="10"/>
    <s v="GDP growth (annual %)"/>
    <x v="693"/>
    <x v="38"/>
  </r>
  <r>
    <x v="11"/>
    <s v="GDP growth (annual %)"/>
    <x v="694"/>
    <x v="38"/>
  </r>
  <r>
    <x v="12"/>
    <s v="GDP growth (annual %)"/>
    <x v="695"/>
    <x v="38"/>
  </r>
  <r>
    <x v="13"/>
    <s v="GDP growth (annual %)"/>
    <x v="696"/>
    <x v="38"/>
  </r>
  <r>
    <x v="14"/>
    <s v="GDP growth (annual %)"/>
    <x v="697"/>
    <x v="38"/>
  </r>
  <r>
    <x v="15"/>
    <s v="GDP growth (annual %)"/>
    <x v="698"/>
    <x v="38"/>
  </r>
  <r>
    <x v="16"/>
    <s v="GDP growth (annual %)"/>
    <x v="699"/>
    <x v="38"/>
  </r>
  <r>
    <x v="17"/>
    <s v="GDP growth (annual %)"/>
    <x v="700"/>
    <x v="38"/>
  </r>
  <r>
    <x v="18"/>
    <s v="GDP growth (annual %)"/>
    <x v="701"/>
    <x v="38"/>
  </r>
  <r>
    <x v="19"/>
    <s v="GDP growth (annual %)"/>
    <x v="702"/>
    <x v="38"/>
  </r>
  <r>
    <x v="20"/>
    <s v="GDP growth (annual %)"/>
    <x v="703"/>
    <x v="38"/>
  </r>
  <r>
    <x v="21"/>
    <s v="GDP growth (annual %)"/>
    <x v="0"/>
    <x v="38"/>
  </r>
  <r>
    <x v="22"/>
    <s v="GDP growth (annual %)"/>
    <x v="704"/>
    <x v="38"/>
  </r>
  <r>
    <x v="23"/>
    <s v="GDP growth (annual %)"/>
    <x v="705"/>
    <x v="38"/>
  </r>
  <r>
    <x v="24"/>
    <s v="GDP growth (annual %)"/>
    <x v="706"/>
    <x v="38"/>
  </r>
  <r>
    <x v="25"/>
    <s v="GDP growth (annual %)"/>
    <x v="707"/>
    <x v="38"/>
  </r>
  <r>
    <x v="26"/>
    <s v="GDP growth (annual %)"/>
    <x v="708"/>
    <x v="38"/>
  </r>
  <r>
    <x v="27"/>
    <s v="GDP growth (annual %)"/>
    <x v="709"/>
    <x v="38"/>
  </r>
  <r>
    <x v="0"/>
    <s v="GDP growth (annual %)"/>
    <x v="710"/>
    <x v="39"/>
  </r>
  <r>
    <x v="1"/>
    <s v="GDP growth (annual %)"/>
    <x v="711"/>
    <x v="39"/>
  </r>
  <r>
    <x v="2"/>
    <s v="GDP growth (annual %)"/>
    <x v="712"/>
    <x v="39"/>
  </r>
  <r>
    <x v="3"/>
    <s v="GDP growth (annual %)"/>
    <x v="713"/>
    <x v="39"/>
  </r>
  <r>
    <x v="4"/>
    <s v="GDP growth (annual %)"/>
    <x v="0"/>
    <x v="39"/>
  </r>
  <r>
    <x v="5"/>
    <s v="GDP growth (annual %)"/>
    <x v="714"/>
    <x v="39"/>
  </r>
  <r>
    <x v="6"/>
    <s v="GDP growth (annual %)"/>
    <x v="715"/>
    <x v="39"/>
  </r>
  <r>
    <x v="7"/>
    <s v="GDP growth (annual %)"/>
    <x v="716"/>
    <x v="39"/>
  </r>
  <r>
    <x v="8"/>
    <s v="GDP growth (annual %)"/>
    <x v="717"/>
    <x v="39"/>
  </r>
  <r>
    <x v="9"/>
    <s v="GDP growth (annual %)"/>
    <x v="0"/>
    <x v="39"/>
  </r>
  <r>
    <x v="10"/>
    <s v="GDP growth (annual %)"/>
    <x v="718"/>
    <x v="39"/>
  </r>
  <r>
    <x v="11"/>
    <s v="GDP growth (annual %)"/>
    <x v="719"/>
    <x v="39"/>
  </r>
  <r>
    <x v="12"/>
    <s v="GDP growth (annual %)"/>
    <x v="720"/>
    <x v="39"/>
  </r>
  <r>
    <x v="13"/>
    <s v="GDP growth (annual %)"/>
    <x v="721"/>
    <x v="39"/>
  </r>
  <r>
    <x v="14"/>
    <s v="GDP growth (annual %)"/>
    <x v="722"/>
    <x v="39"/>
  </r>
  <r>
    <x v="15"/>
    <s v="GDP growth (annual %)"/>
    <x v="723"/>
    <x v="39"/>
  </r>
  <r>
    <x v="16"/>
    <s v="GDP growth (annual %)"/>
    <x v="724"/>
    <x v="39"/>
  </r>
  <r>
    <x v="17"/>
    <s v="GDP growth (annual %)"/>
    <x v="725"/>
    <x v="39"/>
  </r>
  <r>
    <x v="18"/>
    <s v="GDP growth (annual %)"/>
    <x v="726"/>
    <x v="39"/>
  </r>
  <r>
    <x v="19"/>
    <s v="GDP growth (annual %)"/>
    <x v="727"/>
    <x v="39"/>
  </r>
  <r>
    <x v="20"/>
    <s v="GDP growth (annual %)"/>
    <x v="728"/>
    <x v="39"/>
  </r>
  <r>
    <x v="21"/>
    <s v="GDP growth (annual %)"/>
    <x v="0"/>
    <x v="39"/>
  </r>
  <r>
    <x v="22"/>
    <s v="GDP growth (annual %)"/>
    <x v="729"/>
    <x v="39"/>
  </r>
  <r>
    <x v="23"/>
    <s v="GDP growth (annual %)"/>
    <x v="730"/>
    <x v="39"/>
  </r>
  <r>
    <x v="24"/>
    <s v="GDP growth (annual %)"/>
    <x v="731"/>
    <x v="39"/>
  </r>
  <r>
    <x v="25"/>
    <s v="GDP growth (annual %)"/>
    <x v="732"/>
    <x v="39"/>
  </r>
  <r>
    <x v="26"/>
    <s v="GDP growth (annual %)"/>
    <x v="733"/>
    <x v="39"/>
  </r>
  <r>
    <x v="27"/>
    <s v="GDP growth (annual %)"/>
    <x v="734"/>
    <x v="39"/>
  </r>
  <r>
    <x v="0"/>
    <s v="GDP growth (annual %)"/>
    <x v="735"/>
    <x v="40"/>
  </r>
  <r>
    <x v="1"/>
    <s v="GDP growth (annual %)"/>
    <x v="736"/>
    <x v="40"/>
  </r>
  <r>
    <x v="2"/>
    <s v="GDP growth (annual %)"/>
    <x v="737"/>
    <x v="40"/>
  </r>
  <r>
    <x v="3"/>
    <s v="GDP growth (annual %)"/>
    <x v="738"/>
    <x v="40"/>
  </r>
  <r>
    <x v="4"/>
    <s v="GDP growth (annual %)"/>
    <x v="0"/>
    <x v="40"/>
  </r>
  <r>
    <x v="5"/>
    <s v="GDP growth (annual %)"/>
    <x v="739"/>
    <x v="40"/>
  </r>
  <r>
    <x v="6"/>
    <s v="GDP growth (annual %)"/>
    <x v="740"/>
    <x v="40"/>
  </r>
  <r>
    <x v="7"/>
    <s v="GDP growth (annual %)"/>
    <x v="741"/>
    <x v="40"/>
  </r>
  <r>
    <x v="8"/>
    <s v="GDP growth (annual %)"/>
    <x v="742"/>
    <x v="40"/>
  </r>
  <r>
    <x v="9"/>
    <s v="GDP growth (annual %)"/>
    <x v="0"/>
    <x v="40"/>
  </r>
  <r>
    <x v="10"/>
    <s v="GDP growth (annual %)"/>
    <x v="743"/>
    <x v="40"/>
  </r>
  <r>
    <x v="11"/>
    <s v="GDP growth (annual %)"/>
    <x v="744"/>
    <x v="40"/>
  </r>
  <r>
    <x v="12"/>
    <s v="GDP growth (annual %)"/>
    <x v="745"/>
    <x v="40"/>
  </r>
  <r>
    <x v="13"/>
    <s v="GDP growth (annual %)"/>
    <x v="746"/>
    <x v="40"/>
  </r>
  <r>
    <x v="14"/>
    <s v="GDP growth (annual %)"/>
    <x v="747"/>
    <x v="40"/>
  </r>
  <r>
    <x v="15"/>
    <s v="GDP growth (annual %)"/>
    <x v="748"/>
    <x v="40"/>
  </r>
  <r>
    <x v="16"/>
    <s v="GDP growth (annual %)"/>
    <x v="749"/>
    <x v="40"/>
  </r>
  <r>
    <x v="17"/>
    <s v="GDP growth (annual %)"/>
    <x v="750"/>
    <x v="40"/>
  </r>
  <r>
    <x v="18"/>
    <s v="GDP growth (annual %)"/>
    <x v="751"/>
    <x v="40"/>
  </r>
  <r>
    <x v="19"/>
    <s v="GDP growth (annual %)"/>
    <x v="752"/>
    <x v="40"/>
  </r>
  <r>
    <x v="20"/>
    <s v="GDP growth (annual %)"/>
    <x v="753"/>
    <x v="40"/>
  </r>
  <r>
    <x v="21"/>
    <s v="GDP growth (annual %)"/>
    <x v="0"/>
    <x v="40"/>
  </r>
  <r>
    <x v="22"/>
    <s v="GDP growth (annual %)"/>
    <x v="754"/>
    <x v="40"/>
  </r>
  <r>
    <x v="23"/>
    <s v="GDP growth (annual %)"/>
    <x v="755"/>
    <x v="40"/>
  </r>
  <r>
    <x v="24"/>
    <s v="GDP growth (annual %)"/>
    <x v="756"/>
    <x v="40"/>
  </r>
  <r>
    <x v="25"/>
    <s v="GDP growth (annual %)"/>
    <x v="757"/>
    <x v="40"/>
  </r>
  <r>
    <x v="26"/>
    <s v="GDP growth (annual %)"/>
    <x v="758"/>
    <x v="40"/>
  </r>
  <r>
    <x v="27"/>
    <s v="GDP growth (annual %)"/>
    <x v="759"/>
    <x v="40"/>
  </r>
  <r>
    <x v="0"/>
    <s v="GDP growth (annual %)"/>
    <x v="760"/>
    <x v="41"/>
  </r>
  <r>
    <x v="1"/>
    <s v="GDP growth (annual %)"/>
    <x v="761"/>
    <x v="41"/>
  </r>
  <r>
    <x v="2"/>
    <s v="GDP growth (annual %)"/>
    <x v="762"/>
    <x v="41"/>
  </r>
  <r>
    <x v="3"/>
    <s v="GDP growth (annual %)"/>
    <x v="763"/>
    <x v="41"/>
  </r>
  <r>
    <x v="4"/>
    <s v="GDP growth (annual %)"/>
    <x v="0"/>
    <x v="41"/>
  </r>
  <r>
    <x v="5"/>
    <s v="GDP growth (annual %)"/>
    <x v="764"/>
    <x v="41"/>
  </r>
  <r>
    <x v="6"/>
    <s v="GDP growth (annual %)"/>
    <x v="765"/>
    <x v="41"/>
  </r>
  <r>
    <x v="7"/>
    <s v="GDP growth (annual %)"/>
    <x v="766"/>
    <x v="41"/>
  </r>
  <r>
    <x v="8"/>
    <s v="GDP growth (annual %)"/>
    <x v="767"/>
    <x v="41"/>
  </r>
  <r>
    <x v="9"/>
    <s v="GDP growth (annual %)"/>
    <x v="768"/>
    <x v="41"/>
  </r>
  <r>
    <x v="10"/>
    <s v="GDP growth (annual %)"/>
    <x v="769"/>
    <x v="41"/>
  </r>
  <r>
    <x v="11"/>
    <s v="GDP growth (annual %)"/>
    <x v="770"/>
    <x v="41"/>
  </r>
  <r>
    <x v="12"/>
    <s v="GDP growth (annual %)"/>
    <x v="771"/>
    <x v="41"/>
  </r>
  <r>
    <x v="13"/>
    <s v="GDP growth (annual %)"/>
    <x v="772"/>
    <x v="41"/>
  </r>
  <r>
    <x v="14"/>
    <s v="GDP growth (annual %)"/>
    <x v="773"/>
    <x v="41"/>
  </r>
  <r>
    <x v="15"/>
    <s v="GDP growth (annual %)"/>
    <x v="774"/>
    <x v="41"/>
  </r>
  <r>
    <x v="16"/>
    <s v="GDP growth (annual %)"/>
    <x v="775"/>
    <x v="41"/>
  </r>
  <r>
    <x v="17"/>
    <s v="GDP growth (annual %)"/>
    <x v="776"/>
    <x v="41"/>
  </r>
  <r>
    <x v="18"/>
    <s v="GDP growth (annual %)"/>
    <x v="777"/>
    <x v="41"/>
  </r>
  <r>
    <x v="19"/>
    <s v="GDP growth (annual %)"/>
    <x v="778"/>
    <x v="41"/>
  </r>
  <r>
    <x v="20"/>
    <s v="GDP growth (annual %)"/>
    <x v="779"/>
    <x v="41"/>
  </r>
  <r>
    <x v="21"/>
    <s v="GDP growth (annual %)"/>
    <x v="0"/>
    <x v="41"/>
  </r>
  <r>
    <x v="22"/>
    <s v="GDP growth (annual %)"/>
    <x v="780"/>
    <x v="41"/>
  </r>
  <r>
    <x v="23"/>
    <s v="GDP growth (annual %)"/>
    <x v="781"/>
    <x v="41"/>
  </r>
  <r>
    <x v="24"/>
    <s v="GDP growth (annual %)"/>
    <x v="782"/>
    <x v="41"/>
  </r>
  <r>
    <x v="25"/>
    <s v="GDP growth (annual %)"/>
    <x v="783"/>
    <x v="41"/>
  </r>
  <r>
    <x v="26"/>
    <s v="GDP growth (annual %)"/>
    <x v="784"/>
    <x v="41"/>
  </r>
  <r>
    <x v="27"/>
    <s v="GDP growth (annual %)"/>
    <x v="785"/>
    <x v="41"/>
  </r>
  <r>
    <x v="0"/>
    <s v="GDP growth (annual %)"/>
    <x v="786"/>
    <x v="42"/>
  </r>
  <r>
    <x v="1"/>
    <s v="GDP growth (annual %)"/>
    <x v="787"/>
    <x v="42"/>
  </r>
  <r>
    <x v="2"/>
    <s v="GDP growth (annual %)"/>
    <x v="788"/>
    <x v="42"/>
  </r>
  <r>
    <x v="3"/>
    <s v="GDP growth (annual %)"/>
    <x v="789"/>
    <x v="42"/>
  </r>
  <r>
    <x v="4"/>
    <s v="GDP growth (annual %)"/>
    <x v="0"/>
    <x v="42"/>
  </r>
  <r>
    <x v="5"/>
    <s v="GDP growth (annual %)"/>
    <x v="790"/>
    <x v="42"/>
  </r>
  <r>
    <x v="6"/>
    <s v="GDP growth (annual %)"/>
    <x v="791"/>
    <x v="42"/>
  </r>
  <r>
    <x v="7"/>
    <s v="GDP growth (annual %)"/>
    <x v="792"/>
    <x v="42"/>
  </r>
  <r>
    <x v="8"/>
    <s v="GDP growth (annual %)"/>
    <x v="793"/>
    <x v="42"/>
  </r>
  <r>
    <x v="9"/>
    <s v="GDP growth (annual %)"/>
    <x v="794"/>
    <x v="42"/>
  </r>
  <r>
    <x v="10"/>
    <s v="GDP growth (annual %)"/>
    <x v="795"/>
    <x v="42"/>
  </r>
  <r>
    <x v="11"/>
    <s v="GDP growth (annual %)"/>
    <x v="796"/>
    <x v="42"/>
  </r>
  <r>
    <x v="12"/>
    <s v="GDP growth (annual %)"/>
    <x v="797"/>
    <x v="42"/>
  </r>
  <r>
    <x v="13"/>
    <s v="GDP growth (annual %)"/>
    <x v="798"/>
    <x v="42"/>
  </r>
  <r>
    <x v="14"/>
    <s v="GDP growth (annual %)"/>
    <x v="799"/>
    <x v="42"/>
  </r>
  <r>
    <x v="15"/>
    <s v="GDP growth (annual %)"/>
    <x v="800"/>
    <x v="42"/>
  </r>
  <r>
    <x v="16"/>
    <s v="GDP growth (annual %)"/>
    <x v="801"/>
    <x v="42"/>
  </r>
  <r>
    <x v="17"/>
    <s v="GDP growth (annual %)"/>
    <x v="802"/>
    <x v="42"/>
  </r>
  <r>
    <x v="18"/>
    <s v="GDP growth (annual %)"/>
    <x v="803"/>
    <x v="42"/>
  </r>
  <r>
    <x v="19"/>
    <s v="GDP growth (annual %)"/>
    <x v="804"/>
    <x v="42"/>
  </r>
  <r>
    <x v="20"/>
    <s v="GDP growth (annual %)"/>
    <x v="805"/>
    <x v="42"/>
  </r>
  <r>
    <x v="21"/>
    <s v="GDP growth (annual %)"/>
    <x v="806"/>
    <x v="42"/>
  </r>
  <r>
    <x v="22"/>
    <s v="GDP growth (annual %)"/>
    <x v="807"/>
    <x v="42"/>
  </r>
  <r>
    <x v="23"/>
    <s v="GDP growth (annual %)"/>
    <x v="808"/>
    <x v="42"/>
  </r>
  <r>
    <x v="24"/>
    <s v="GDP growth (annual %)"/>
    <x v="809"/>
    <x v="42"/>
  </r>
  <r>
    <x v="25"/>
    <s v="GDP growth (annual %)"/>
    <x v="810"/>
    <x v="42"/>
  </r>
  <r>
    <x v="26"/>
    <s v="GDP growth (annual %)"/>
    <x v="811"/>
    <x v="42"/>
  </r>
  <r>
    <x v="27"/>
    <s v="GDP growth (annual %)"/>
    <x v="812"/>
    <x v="42"/>
  </r>
  <r>
    <x v="0"/>
    <s v="GDP growth (annual %)"/>
    <x v="813"/>
    <x v="43"/>
  </r>
  <r>
    <x v="1"/>
    <s v="GDP growth (annual %)"/>
    <x v="814"/>
    <x v="43"/>
  </r>
  <r>
    <x v="2"/>
    <s v="GDP growth (annual %)"/>
    <x v="815"/>
    <x v="43"/>
  </r>
  <r>
    <x v="3"/>
    <s v="GDP growth (annual %)"/>
    <x v="816"/>
    <x v="43"/>
  </r>
  <r>
    <x v="4"/>
    <s v="GDP growth (annual %)"/>
    <x v="0"/>
    <x v="43"/>
  </r>
  <r>
    <x v="5"/>
    <s v="GDP growth (annual %)"/>
    <x v="817"/>
    <x v="43"/>
  </r>
  <r>
    <x v="6"/>
    <s v="GDP growth (annual %)"/>
    <x v="818"/>
    <x v="43"/>
  </r>
  <r>
    <x v="7"/>
    <s v="GDP growth (annual %)"/>
    <x v="819"/>
    <x v="43"/>
  </r>
  <r>
    <x v="8"/>
    <s v="GDP growth (annual %)"/>
    <x v="820"/>
    <x v="43"/>
  </r>
  <r>
    <x v="9"/>
    <s v="GDP growth (annual %)"/>
    <x v="821"/>
    <x v="43"/>
  </r>
  <r>
    <x v="10"/>
    <s v="GDP growth (annual %)"/>
    <x v="822"/>
    <x v="43"/>
  </r>
  <r>
    <x v="11"/>
    <s v="GDP growth (annual %)"/>
    <x v="823"/>
    <x v="43"/>
  </r>
  <r>
    <x v="12"/>
    <s v="GDP growth (annual %)"/>
    <x v="824"/>
    <x v="43"/>
  </r>
  <r>
    <x v="13"/>
    <s v="GDP growth (annual %)"/>
    <x v="825"/>
    <x v="43"/>
  </r>
  <r>
    <x v="14"/>
    <s v="GDP growth (annual %)"/>
    <x v="826"/>
    <x v="43"/>
  </r>
  <r>
    <x v="15"/>
    <s v="GDP growth (annual %)"/>
    <x v="827"/>
    <x v="43"/>
  </r>
  <r>
    <x v="16"/>
    <s v="GDP growth (annual %)"/>
    <x v="828"/>
    <x v="43"/>
  </r>
  <r>
    <x v="17"/>
    <s v="GDP growth (annual %)"/>
    <x v="829"/>
    <x v="43"/>
  </r>
  <r>
    <x v="18"/>
    <s v="GDP growth (annual %)"/>
    <x v="830"/>
    <x v="43"/>
  </r>
  <r>
    <x v="19"/>
    <s v="GDP growth (annual %)"/>
    <x v="831"/>
    <x v="43"/>
  </r>
  <r>
    <x v="20"/>
    <s v="GDP growth (annual %)"/>
    <x v="832"/>
    <x v="43"/>
  </r>
  <r>
    <x v="21"/>
    <s v="GDP growth (annual %)"/>
    <x v="833"/>
    <x v="43"/>
  </r>
  <r>
    <x v="22"/>
    <s v="GDP growth (annual %)"/>
    <x v="834"/>
    <x v="43"/>
  </r>
  <r>
    <x v="23"/>
    <s v="GDP growth (annual %)"/>
    <x v="835"/>
    <x v="43"/>
  </r>
  <r>
    <x v="24"/>
    <s v="GDP growth (annual %)"/>
    <x v="836"/>
    <x v="43"/>
  </r>
  <r>
    <x v="25"/>
    <s v="GDP growth (annual %)"/>
    <x v="837"/>
    <x v="43"/>
  </r>
  <r>
    <x v="26"/>
    <s v="GDP growth (annual %)"/>
    <x v="838"/>
    <x v="43"/>
  </r>
  <r>
    <x v="27"/>
    <s v="GDP growth (annual %)"/>
    <x v="839"/>
    <x v="43"/>
  </r>
  <r>
    <x v="0"/>
    <s v="GDP growth (annual %)"/>
    <x v="840"/>
    <x v="44"/>
  </r>
  <r>
    <x v="1"/>
    <s v="GDP growth (annual %)"/>
    <x v="841"/>
    <x v="44"/>
  </r>
  <r>
    <x v="2"/>
    <s v="GDP growth (annual %)"/>
    <x v="842"/>
    <x v="44"/>
  </r>
  <r>
    <x v="3"/>
    <s v="GDP growth (annual %)"/>
    <x v="843"/>
    <x v="44"/>
  </r>
  <r>
    <x v="4"/>
    <s v="GDP growth (annual %)"/>
    <x v="0"/>
    <x v="44"/>
  </r>
  <r>
    <x v="5"/>
    <s v="GDP growth (annual %)"/>
    <x v="844"/>
    <x v="44"/>
  </r>
  <r>
    <x v="6"/>
    <s v="GDP growth (annual %)"/>
    <x v="845"/>
    <x v="44"/>
  </r>
  <r>
    <x v="7"/>
    <s v="GDP growth (annual %)"/>
    <x v="846"/>
    <x v="44"/>
  </r>
  <r>
    <x v="8"/>
    <s v="GDP growth (annual %)"/>
    <x v="847"/>
    <x v="44"/>
  </r>
  <r>
    <x v="9"/>
    <s v="GDP growth (annual %)"/>
    <x v="848"/>
    <x v="44"/>
  </r>
  <r>
    <x v="10"/>
    <s v="GDP growth (annual %)"/>
    <x v="849"/>
    <x v="44"/>
  </r>
  <r>
    <x v="11"/>
    <s v="GDP growth (annual %)"/>
    <x v="850"/>
    <x v="44"/>
  </r>
  <r>
    <x v="12"/>
    <s v="GDP growth (annual %)"/>
    <x v="851"/>
    <x v="44"/>
  </r>
  <r>
    <x v="13"/>
    <s v="GDP growth (annual %)"/>
    <x v="852"/>
    <x v="44"/>
  </r>
  <r>
    <x v="14"/>
    <s v="GDP growth (annual %)"/>
    <x v="853"/>
    <x v="44"/>
  </r>
  <r>
    <x v="15"/>
    <s v="GDP growth (annual %)"/>
    <x v="854"/>
    <x v="44"/>
  </r>
  <r>
    <x v="16"/>
    <s v="GDP growth (annual %)"/>
    <x v="855"/>
    <x v="44"/>
  </r>
  <r>
    <x v="17"/>
    <s v="GDP growth (annual %)"/>
    <x v="856"/>
    <x v="44"/>
  </r>
  <r>
    <x v="18"/>
    <s v="GDP growth (annual %)"/>
    <x v="857"/>
    <x v="44"/>
  </r>
  <r>
    <x v="19"/>
    <s v="GDP growth (annual %)"/>
    <x v="858"/>
    <x v="44"/>
  </r>
  <r>
    <x v="20"/>
    <s v="GDP growth (annual %)"/>
    <x v="859"/>
    <x v="44"/>
  </r>
  <r>
    <x v="21"/>
    <s v="GDP growth (annual %)"/>
    <x v="860"/>
    <x v="44"/>
  </r>
  <r>
    <x v="22"/>
    <s v="GDP growth (annual %)"/>
    <x v="861"/>
    <x v="44"/>
  </r>
  <r>
    <x v="23"/>
    <s v="GDP growth (annual %)"/>
    <x v="862"/>
    <x v="44"/>
  </r>
  <r>
    <x v="24"/>
    <s v="GDP growth (annual %)"/>
    <x v="863"/>
    <x v="44"/>
  </r>
  <r>
    <x v="25"/>
    <s v="GDP growth (annual %)"/>
    <x v="864"/>
    <x v="44"/>
  </r>
  <r>
    <x v="26"/>
    <s v="GDP growth (annual %)"/>
    <x v="865"/>
    <x v="44"/>
  </r>
  <r>
    <x v="27"/>
    <s v="GDP growth (annual %)"/>
    <x v="866"/>
    <x v="44"/>
  </r>
  <r>
    <x v="0"/>
    <s v="GDP growth (annual %)"/>
    <x v="867"/>
    <x v="45"/>
  </r>
  <r>
    <x v="1"/>
    <s v="GDP growth (annual %)"/>
    <x v="868"/>
    <x v="45"/>
  </r>
  <r>
    <x v="2"/>
    <s v="GDP growth (annual %)"/>
    <x v="869"/>
    <x v="45"/>
  </r>
  <r>
    <x v="3"/>
    <s v="GDP growth (annual %)"/>
    <x v="870"/>
    <x v="45"/>
  </r>
  <r>
    <x v="4"/>
    <s v="GDP growth (annual %)"/>
    <x v="0"/>
    <x v="45"/>
  </r>
  <r>
    <x v="5"/>
    <s v="GDP growth (annual %)"/>
    <x v="871"/>
    <x v="45"/>
  </r>
  <r>
    <x v="6"/>
    <s v="GDP growth (annual %)"/>
    <x v="872"/>
    <x v="45"/>
  </r>
  <r>
    <x v="7"/>
    <s v="GDP growth (annual %)"/>
    <x v="873"/>
    <x v="45"/>
  </r>
  <r>
    <x v="8"/>
    <s v="GDP growth (annual %)"/>
    <x v="874"/>
    <x v="45"/>
  </r>
  <r>
    <x v="9"/>
    <s v="GDP growth (annual %)"/>
    <x v="875"/>
    <x v="45"/>
  </r>
  <r>
    <x v="10"/>
    <s v="GDP growth (annual %)"/>
    <x v="876"/>
    <x v="45"/>
  </r>
  <r>
    <x v="11"/>
    <s v="GDP growth (annual %)"/>
    <x v="877"/>
    <x v="45"/>
  </r>
  <r>
    <x v="12"/>
    <s v="GDP growth (annual %)"/>
    <x v="878"/>
    <x v="45"/>
  </r>
  <r>
    <x v="13"/>
    <s v="GDP growth (annual %)"/>
    <x v="879"/>
    <x v="45"/>
  </r>
  <r>
    <x v="14"/>
    <s v="GDP growth (annual %)"/>
    <x v="880"/>
    <x v="45"/>
  </r>
  <r>
    <x v="15"/>
    <s v="GDP growth (annual %)"/>
    <x v="881"/>
    <x v="45"/>
  </r>
  <r>
    <x v="16"/>
    <s v="GDP growth (annual %)"/>
    <x v="882"/>
    <x v="45"/>
  </r>
  <r>
    <x v="17"/>
    <s v="GDP growth (annual %)"/>
    <x v="883"/>
    <x v="45"/>
  </r>
  <r>
    <x v="18"/>
    <s v="GDP growth (annual %)"/>
    <x v="884"/>
    <x v="45"/>
  </r>
  <r>
    <x v="19"/>
    <s v="GDP growth (annual %)"/>
    <x v="885"/>
    <x v="45"/>
  </r>
  <r>
    <x v="20"/>
    <s v="GDP growth (annual %)"/>
    <x v="886"/>
    <x v="45"/>
  </r>
  <r>
    <x v="21"/>
    <s v="GDP growth (annual %)"/>
    <x v="887"/>
    <x v="45"/>
  </r>
  <r>
    <x v="22"/>
    <s v="GDP growth (annual %)"/>
    <x v="888"/>
    <x v="45"/>
  </r>
  <r>
    <x v="23"/>
    <s v="GDP growth (annual %)"/>
    <x v="889"/>
    <x v="45"/>
  </r>
  <r>
    <x v="24"/>
    <s v="GDP growth (annual %)"/>
    <x v="890"/>
    <x v="45"/>
  </r>
  <r>
    <x v="25"/>
    <s v="GDP growth (annual %)"/>
    <x v="891"/>
    <x v="45"/>
  </r>
  <r>
    <x v="26"/>
    <s v="GDP growth (annual %)"/>
    <x v="892"/>
    <x v="45"/>
  </r>
  <r>
    <x v="27"/>
    <s v="GDP growth (annual %)"/>
    <x v="893"/>
    <x v="45"/>
  </r>
  <r>
    <x v="0"/>
    <s v="GDP growth (annual %)"/>
    <x v="894"/>
    <x v="46"/>
  </r>
  <r>
    <x v="1"/>
    <s v="GDP growth (annual %)"/>
    <x v="895"/>
    <x v="46"/>
  </r>
  <r>
    <x v="2"/>
    <s v="GDP growth (annual %)"/>
    <x v="896"/>
    <x v="46"/>
  </r>
  <r>
    <x v="3"/>
    <s v="GDP growth (annual %)"/>
    <x v="897"/>
    <x v="46"/>
  </r>
  <r>
    <x v="4"/>
    <s v="GDP growth (annual %)"/>
    <x v="0"/>
    <x v="46"/>
  </r>
  <r>
    <x v="5"/>
    <s v="GDP growth (annual %)"/>
    <x v="898"/>
    <x v="46"/>
  </r>
  <r>
    <x v="6"/>
    <s v="GDP growth (annual %)"/>
    <x v="899"/>
    <x v="46"/>
  </r>
  <r>
    <x v="7"/>
    <s v="GDP growth (annual %)"/>
    <x v="900"/>
    <x v="46"/>
  </r>
  <r>
    <x v="8"/>
    <s v="GDP growth (annual %)"/>
    <x v="901"/>
    <x v="46"/>
  </r>
  <r>
    <x v="9"/>
    <s v="GDP growth (annual %)"/>
    <x v="902"/>
    <x v="46"/>
  </r>
  <r>
    <x v="10"/>
    <s v="GDP growth (annual %)"/>
    <x v="903"/>
    <x v="46"/>
  </r>
  <r>
    <x v="11"/>
    <s v="GDP growth (annual %)"/>
    <x v="904"/>
    <x v="46"/>
  </r>
  <r>
    <x v="12"/>
    <s v="GDP growth (annual %)"/>
    <x v="905"/>
    <x v="46"/>
  </r>
  <r>
    <x v="13"/>
    <s v="GDP growth (annual %)"/>
    <x v="906"/>
    <x v="46"/>
  </r>
  <r>
    <x v="14"/>
    <s v="GDP growth (annual %)"/>
    <x v="907"/>
    <x v="46"/>
  </r>
  <r>
    <x v="15"/>
    <s v="GDP growth (annual %)"/>
    <x v="908"/>
    <x v="46"/>
  </r>
  <r>
    <x v="16"/>
    <s v="GDP growth (annual %)"/>
    <x v="909"/>
    <x v="46"/>
  </r>
  <r>
    <x v="17"/>
    <s v="GDP growth (annual %)"/>
    <x v="910"/>
    <x v="46"/>
  </r>
  <r>
    <x v="18"/>
    <s v="GDP growth (annual %)"/>
    <x v="911"/>
    <x v="46"/>
  </r>
  <r>
    <x v="19"/>
    <s v="GDP growth (annual %)"/>
    <x v="912"/>
    <x v="46"/>
  </r>
  <r>
    <x v="20"/>
    <s v="GDP growth (annual %)"/>
    <x v="913"/>
    <x v="46"/>
  </r>
  <r>
    <x v="21"/>
    <s v="GDP growth (annual %)"/>
    <x v="914"/>
    <x v="46"/>
  </r>
  <r>
    <x v="22"/>
    <s v="GDP growth (annual %)"/>
    <x v="915"/>
    <x v="46"/>
  </r>
  <r>
    <x v="23"/>
    <s v="GDP growth (annual %)"/>
    <x v="916"/>
    <x v="46"/>
  </r>
  <r>
    <x v="24"/>
    <s v="GDP growth (annual %)"/>
    <x v="917"/>
    <x v="46"/>
  </r>
  <r>
    <x v="25"/>
    <s v="GDP growth (annual %)"/>
    <x v="918"/>
    <x v="46"/>
  </r>
  <r>
    <x v="26"/>
    <s v="GDP growth (annual %)"/>
    <x v="919"/>
    <x v="46"/>
  </r>
  <r>
    <x v="27"/>
    <s v="GDP growth (annual %)"/>
    <x v="920"/>
    <x v="46"/>
  </r>
  <r>
    <x v="0"/>
    <s v="GDP growth (annual %)"/>
    <x v="921"/>
    <x v="47"/>
  </r>
  <r>
    <x v="1"/>
    <s v="GDP growth (annual %)"/>
    <x v="922"/>
    <x v="47"/>
  </r>
  <r>
    <x v="2"/>
    <s v="GDP growth (annual %)"/>
    <x v="923"/>
    <x v="47"/>
  </r>
  <r>
    <x v="3"/>
    <s v="GDP growth (annual %)"/>
    <x v="924"/>
    <x v="47"/>
  </r>
  <r>
    <x v="4"/>
    <s v="GDP growth (annual %)"/>
    <x v="0"/>
    <x v="47"/>
  </r>
  <r>
    <x v="5"/>
    <s v="GDP growth (annual %)"/>
    <x v="925"/>
    <x v="47"/>
  </r>
  <r>
    <x v="6"/>
    <s v="GDP growth (annual %)"/>
    <x v="926"/>
    <x v="47"/>
  </r>
  <r>
    <x v="7"/>
    <s v="GDP growth (annual %)"/>
    <x v="927"/>
    <x v="47"/>
  </r>
  <r>
    <x v="8"/>
    <s v="GDP growth (annual %)"/>
    <x v="928"/>
    <x v="47"/>
  </r>
  <r>
    <x v="9"/>
    <s v="GDP growth (annual %)"/>
    <x v="929"/>
    <x v="47"/>
  </r>
  <r>
    <x v="10"/>
    <s v="GDP growth (annual %)"/>
    <x v="930"/>
    <x v="47"/>
  </r>
  <r>
    <x v="11"/>
    <s v="GDP growth (annual %)"/>
    <x v="931"/>
    <x v="47"/>
  </r>
  <r>
    <x v="12"/>
    <s v="GDP growth (annual %)"/>
    <x v="932"/>
    <x v="47"/>
  </r>
  <r>
    <x v="13"/>
    <s v="GDP growth (annual %)"/>
    <x v="933"/>
    <x v="47"/>
  </r>
  <r>
    <x v="14"/>
    <s v="GDP growth (annual %)"/>
    <x v="934"/>
    <x v="47"/>
  </r>
  <r>
    <x v="15"/>
    <s v="GDP growth (annual %)"/>
    <x v="935"/>
    <x v="47"/>
  </r>
  <r>
    <x v="16"/>
    <s v="GDP growth (annual %)"/>
    <x v="936"/>
    <x v="47"/>
  </r>
  <r>
    <x v="17"/>
    <s v="GDP growth (annual %)"/>
    <x v="937"/>
    <x v="47"/>
  </r>
  <r>
    <x v="18"/>
    <s v="GDP growth (annual %)"/>
    <x v="938"/>
    <x v="47"/>
  </r>
  <r>
    <x v="19"/>
    <s v="GDP growth (annual %)"/>
    <x v="939"/>
    <x v="47"/>
  </r>
  <r>
    <x v="20"/>
    <s v="GDP growth (annual %)"/>
    <x v="940"/>
    <x v="47"/>
  </r>
  <r>
    <x v="21"/>
    <s v="GDP growth (annual %)"/>
    <x v="941"/>
    <x v="47"/>
  </r>
  <r>
    <x v="22"/>
    <s v="GDP growth (annual %)"/>
    <x v="942"/>
    <x v="47"/>
  </r>
  <r>
    <x v="23"/>
    <s v="GDP growth (annual %)"/>
    <x v="943"/>
    <x v="47"/>
  </r>
  <r>
    <x v="24"/>
    <s v="GDP growth (annual %)"/>
    <x v="944"/>
    <x v="47"/>
  </r>
  <r>
    <x v="25"/>
    <s v="GDP growth (annual %)"/>
    <x v="945"/>
    <x v="47"/>
  </r>
  <r>
    <x v="26"/>
    <s v="GDP growth (annual %)"/>
    <x v="946"/>
    <x v="47"/>
  </r>
  <r>
    <x v="27"/>
    <s v="GDP growth (annual %)"/>
    <x v="947"/>
    <x v="47"/>
  </r>
  <r>
    <x v="0"/>
    <s v="GDP growth (annual %)"/>
    <x v="948"/>
    <x v="48"/>
  </r>
  <r>
    <x v="1"/>
    <s v="GDP growth (annual %)"/>
    <x v="949"/>
    <x v="48"/>
  </r>
  <r>
    <x v="2"/>
    <s v="GDP growth (annual %)"/>
    <x v="950"/>
    <x v="48"/>
  </r>
  <r>
    <x v="3"/>
    <s v="GDP growth (annual %)"/>
    <x v="951"/>
    <x v="48"/>
  </r>
  <r>
    <x v="4"/>
    <s v="GDP growth (annual %)"/>
    <x v="0"/>
    <x v="48"/>
  </r>
  <r>
    <x v="5"/>
    <s v="GDP growth (annual %)"/>
    <x v="952"/>
    <x v="48"/>
  </r>
  <r>
    <x v="6"/>
    <s v="GDP growth (annual %)"/>
    <x v="953"/>
    <x v="48"/>
  </r>
  <r>
    <x v="7"/>
    <s v="GDP growth (annual %)"/>
    <x v="954"/>
    <x v="48"/>
  </r>
  <r>
    <x v="8"/>
    <s v="GDP growth (annual %)"/>
    <x v="955"/>
    <x v="48"/>
  </r>
  <r>
    <x v="9"/>
    <s v="GDP growth (annual %)"/>
    <x v="956"/>
    <x v="48"/>
  </r>
  <r>
    <x v="10"/>
    <s v="GDP growth (annual %)"/>
    <x v="957"/>
    <x v="48"/>
  </r>
  <r>
    <x v="11"/>
    <s v="GDP growth (annual %)"/>
    <x v="958"/>
    <x v="48"/>
  </r>
  <r>
    <x v="12"/>
    <s v="GDP growth (annual %)"/>
    <x v="959"/>
    <x v="48"/>
  </r>
  <r>
    <x v="13"/>
    <s v="GDP growth (annual %)"/>
    <x v="960"/>
    <x v="48"/>
  </r>
  <r>
    <x v="14"/>
    <s v="GDP growth (annual %)"/>
    <x v="961"/>
    <x v="48"/>
  </r>
  <r>
    <x v="15"/>
    <s v="GDP growth (annual %)"/>
    <x v="962"/>
    <x v="48"/>
  </r>
  <r>
    <x v="16"/>
    <s v="GDP growth (annual %)"/>
    <x v="963"/>
    <x v="48"/>
  </r>
  <r>
    <x v="17"/>
    <s v="GDP growth (annual %)"/>
    <x v="964"/>
    <x v="48"/>
  </r>
  <r>
    <x v="18"/>
    <s v="GDP growth (annual %)"/>
    <x v="965"/>
    <x v="48"/>
  </r>
  <r>
    <x v="19"/>
    <s v="GDP growth (annual %)"/>
    <x v="966"/>
    <x v="48"/>
  </r>
  <r>
    <x v="20"/>
    <s v="GDP growth (annual %)"/>
    <x v="967"/>
    <x v="48"/>
  </r>
  <r>
    <x v="21"/>
    <s v="GDP growth (annual %)"/>
    <x v="968"/>
    <x v="48"/>
  </r>
  <r>
    <x v="22"/>
    <s v="GDP growth (annual %)"/>
    <x v="969"/>
    <x v="48"/>
  </r>
  <r>
    <x v="23"/>
    <s v="GDP growth (annual %)"/>
    <x v="970"/>
    <x v="48"/>
  </r>
  <r>
    <x v="24"/>
    <s v="GDP growth (annual %)"/>
    <x v="971"/>
    <x v="48"/>
  </r>
  <r>
    <x v="25"/>
    <s v="GDP growth (annual %)"/>
    <x v="972"/>
    <x v="48"/>
  </r>
  <r>
    <x v="26"/>
    <s v="GDP growth (annual %)"/>
    <x v="973"/>
    <x v="48"/>
  </r>
  <r>
    <x v="27"/>
    <s v="GDP growth (annual %)"/>
    <x v="974"/>
    <x v="48"/>
  </r>
  <r>
    <x v="0"/>
    <s v="GDP growth (annual %)"/>
    <x v="975"/>
    <x v="49"/>
  </r>
  <r>
    <x v="1"/>
    <s v="GDP growth (annual %)"/>
    <x v="976"/>
    <x v="49"/>
  </r>
  <r>
    <x v="2"/>
    <s v="GDP growth (annual %)"/>
    <x v="977"/>
    <x v="49"/>
  </r>
  <r>
    <x v="3"/>
    <s v="GDP growth (annual %)"/>
    <x v="978"/>
    <x v="49"/>
  </r>
  <r>
    <x v="4"/>
    <s v="GDP growth (annual %)"/>
    <x v="0"/>
    <x v="49"/>
  </r>
  <r>
    <x v="5"/>
    <s v="GDP growth (annual %)"/>
    <x v="979"/>
    <x v="49"/>
  </r>
  <r>
    <x v="6"/>
    <s v="GDP growth (annual %)"/>
    <x v="980"/>
    <x v="49"/>
  </r>
  <r>
    <x v="7"/>
    <s v="GDP growth (annual %)"/>
    <x v="981"/>
    <x v="49"/>
  </r>
  <r>
    <x v="8"/>
    <s v="GDP growth (annual %)"/>
    <x v="982"/>
    <x v="49"/>
  </r>
  <r>
    <x v="9"/>
    <s v="GDP growth (annual %)"/>
    <x v="983"/>
    <x v="49"/>
  </r>
  <r>
    <x v="10"/>
    <s v="GDP growth (annual %)"/>
    <x v="984"/>
    <x v="49"/>
  </r>
  <r>
    <x v="11"/>
    <s v="GDP growth (annual %)"/>
    <x v="985"/>
    <x v="49"/>
  </r>
  <r>
    <x v="12"/>
    <s v="GDP growth (annual %)"/>
    <x v="986"/>
    <x v="49"/>
  </r>
  <r>
    <x v="13"/>
    <s v="GDP growth (annual %)"/>
    <x v="987"/>
    <x v="49"/>
  </r>
  <r>
    <x v="14"/>
    <s v="GDP growth (annual %)"/>
    <x v="988"/>
    <x v="49"/>
  </r>
  <r>
    <x v="15"/>
    <s v="GDP growth (annual %)"/>
    <x v="989"/>
    <x v="49"/>
  </r>
  <r>
    <x v="16"/>
    <s v="GDP growth (annual %)"/>
    <x v="990"/>
    <x v="49"/>
  </r>
  <r>
    <x v="17"/>
    <s v="GDP growth (annual %)"/>
    <x v="991"/>
    <x v="49"/>
  </r>
  <r>
    <x v="18"/>
    <s v="GDP growth (annual %)"/>
    <x v="992"/>
    <x v="49"/>
  </r>
  <r>
    <x v="19"/>
    <s v="GDP growth (annual %)"/>
    <x v="993"/>
    <x v="49"/>
  </r>
  <r>
    <x v="20"/>
    <s v="GDP growth (annual %)"/>
    <x v="994"/>
    <x v="49"/>
  </r>
  <r>
    <x v="21"/>
    <s v="GDP growth (annual %)"/>
    <x v="995"/>
    <x v="49"/>
  </r>
  <r>
    <x v="22"/>
    <s v="GDP growth (annual %)"/>
    <x v="996"/>
    <x v="49"/>
  </r>
  <r>
    <x v="23"/>
    <s v="GDP growth (annual %)"/>
    <x v="997"/>
    <x v="49"/>
  </r>
  <r>
    <x v="24"/>
    <s v="GDP growth (annual %)"/>
    <x v="998"/>
    <x v="49"/>
  </r>
  <r>
    <x v="25"/>
    <s v="GDP growth (annual %)"/>
    <x v="999"/>
    <x v="49"/>
  </r>
  <r>
    <x v="26"/>
    <s v="GDP growth (annual %)"/>
    <x v="1000"/>
    <x v="49"/>
  </r>
  <r>
    <x v="27"/>
    <s v="GDP growth (annual %)"/>
    <x v="1001"/>
    <x v="49"/>
  </r>
  <r>
    <x v="0"/>
    <s v="GDP growth (annual %)"/>
    <x v="1002"/>
    <x v="50"/>
  </r>
  <r>
    <x v="1"/>
    <s v="GDP growth (annual %)"/>
    <x v="1003"/>
    <x v="50"/>
  </r>
  <r>
    <x v="2"/>
    <s v="GDP growth (annual %)"/>
    <x v="1004"/>
    <x v="50"/>
  </r>
  <r>
    <x v="3"/>
    <s v="GDP growth (annual %)"/>
    <x v="1005"/>
    <x v="50"/>
  </r>
  <r>
    <x v="4"/>
    <s v="GDP growth (annual %)"/>
    <x v="0"/>
    <x v="50"/>
  </r>
  <r>
    <x v="5"/>
    <s v="GDP growth (annual %)"/>
    <x v="1006"/>
    <x v="50"/>
  </r>
  <r>
    <x v="6"/>
    <s v="GDP growth (annual %)"/>
    <x v="1007"/>
    <x v="50"/>
  </r>
  <r>
    <x v="7"/>
    <s v="GDP growth (annual %)"/>
    <x v="1008"/>
    <x v="50"/>
  </r>
  <r>
    <x v="8"/>
    <s v="GDP growth (annual %)"/>
    <x v="1009"/>
    <x v="50"/>
  </r>
  <r>
    <x v="9"/>
    <s v="GDP growth (annual %)"/>
    <x v="1010"/>
    <x v="50"/>
  </r>
  <r>
    <x v="10"/>
    <s v="GDP growth (annual %)"/>
    <x v="1011"/>
    <x v="50"/>
  </r>
  <r>
    <x v="11"/>
    <s v="GDP growth (annual %)"/>
    <x v="1012"/>
    <x v="50"/>
  </r>
  <r>
    <x v="12"/>
    <s v="GDP growth (annual %)"/>
    <x v="1013"/>
    <x v="50"/>
  </r>
  <r>
    <x v="13"/>
    <s v="GDP growth (annual %)"/>
    <x v="1014"/>
    <x v="50"/>
  </r>
  <r>
    <x v="14"/>
    <s v="GDP growth (annual %)"/>
    <x v="1015"/>
    <x v="50"/>
  </r>
  <r>
    <x v="15"/>
    <s v="GDP growth (annual %)"/>
    <x v="1016"/>
    <x v="50"/>
  </r>
  <r>
    <x v="16"/>
    <s v="GDP growth (annual %)"/>
    <x v="1017"/>
    <x v="50"/>
  </r>
  <r>
    <x v="17"/>
    <s v="GDP growth (annual %)"/>
    <x v="1018"/>
    <x v="50"/>
  </r>
  <r>
    <x v="18"/>
    <s v="GDP growth (annual %)"/>
    <x v="1019"/>
    <x v="50"/>
  </r>
  <r>
    <x v="19"/>
    <s v="GDP growth (annual %)"/>
    <x v="1020"/>
    <x v="50"/>
  </r>
  <r>
    <x v="20"/>
    <s v="GDP growth (annual %)"/>
    <x v="1021"/>
    <x v="50"/>
  </r>
  <r>
    <x v="21"/>
    <s v="GDP growth (annual %)"/>
    <x v="1022"/>
    <x v="50"/>
  </r>
  <r>
    <x v="22"/>
    <s v="GDP growth (annual %)"/>
    <x v="1023"/>
    <x v="50"/>
  </r>
  <r>
    <x v="23"/>
    <s v="GDP growth (annual %)"/>
    <x v="1024"/>
    <x v="50"/>
  </r>
  <r>
    <x v="24"/>
    <s v="GDP growth (annual %)"/>
    <x v="1025"/>
    <x v="50"/>
  </r>
  <r>
    <x v="25"/>
    <s v="GDP growth (annual %)"/>
    <x v="1026"/>
    <x v="50"/>
  </r>
  <r>
    <x v="26"/>
    <s v="GDP growth (annual %)"/>
    <x v="1027"/>
    <x v="50"/>
  </r>
  <r>
    <x v="27"/>
    <s v="GDP growth (annual %)"/>
    <x v="1028"/>
    <x v="50"/>
  </r>
  <r>
    <x v="0"/>
    <s v="GDP growth (annual %)"/>
    <x v="1029"/>
    <x v="51"/>
  </r>
  <r>
    <x v="1"/>
    <s v="GDP growth (annual %)"/>
    <x v="1030"/>
    <x v="51"/>
  </r>
  <r>
    <x v="2"/>
    <s v="GDP growth (annual %)"/>
    <x v="1031"/>
    <x v="51"/>
  </r>
  <r>
    <x v="3"/>
    <s v="GDP growth (annual %)"/>
    <x v="1032"/>
    <x v="51"/>
  </r>
  <r>
    <x v="4"/>
    <s v="GDP growth (annual %)"/>
    <x v="0"/>
    <x v="51"/>
  </r>
  <r>
    <x v="5"/>
    <s v="GDP growth (annual %)"/>
    <x v="1033"/>
    <x v="51"/>
  </r>
  <r>
    <x v="6"/>
    <s v="GDP growth (annual %)"/>
    <x v="1034"/>
    <x v="51"/>
  </r>
  <r>
    <x v="7"/>
    <s v="GDP growth (annual %)"/>
    <x v="1035"/>
    <x v="51"/>
  </r>
  <r>
    <x v="8"/>
    <s v="GDP growth (annual %)"/>
    <x v="1036"/>
    <x v="51"/>
  </r>
  <r>
    <x v="9"/>
    <s v="GDP growth (annual %)"/>
    <x v="1037"/>
    <x v="51"/>
  </r>
  <r>
    <x v="10"/>
    <s v="GDP growth (annual %)"/>
    <x v="1038"/>
    <x v="51"/>
  </r>
  <r>
    <x v="11"/>
    <s v="GDP growth (annual %)"/>
    <x v="1039"/>
    <x v="51"/>
  </r>
  <r>
    <x v="12"/>
    <s v="GDP growth (annual %)"/>
    <x v="1040"/>
    <x v="51"/>
  </r>
  <r>
    <x v="13"/>
    <s v="GDP growth (annual %)"/>
    <x v="1041"/>
    <x v="51"/>
  </r>
  <r>
    <x v="14"/>
    <s v="GDP growth (annual %)"/>
    <x v="1042"/>
    <x v="51"/>
  </r>
  <r>
    <x v="15"/>
    <s v="GDP growth (annual %)"/>
    <x v="1043"/>
    <x v="51"/>
  </r>
  <r>
    <x v="16"/>
    <s v="GDP growth (annual %)"/>
    <x v="1044"/>
    <x v="51"/>
  </r>
  <r>
    <x v="17"/>
    <s v="GDP growth (annual %)"/>
    <x v="1045"/>
    <x v="51"/>
  </r>
  <r>
    <x v="18"/>
    <s v="GDP growth (annual %)"/>
    <x v="1046"/>
    <x v="51"/>
  </r>
  <r>
    <x v="19"/>
    <s v="GDP growth (annual %)"/>
    <x v="1047"/>
    <x v="51"/>
  </r>
  <r>
    <x v="20"/>
    <s v="GDP growth (annual %)"/>
    <x v="1048"/>
    <x v="51"/>
  </r>
  <r>
    <x v="21"/>
    <s v="GDP growth (annual %)"/>
    <x v="1049"/>
    <x v="51"/>
  </r>
  <r>
    <x v="22"/>
    <s v="GDP growth (annual %)"/>
    <x v="1050"/>
    <x v="51"/>
  </r>
  <r>
    <x v="23"/>
    <s v="GDP growth (annual %)"/>
    <x v="1051"/>
    <x v="51"/>
  </r>
  <r>
    <x v="24"/>
    <s v="GDP growth (annual %)"/>
    <x v="1052"/>
    <x v="51"/>
  </r>
  <r>
    <x v="25"/>
    <s v="GDP growth (annual %)"/>
    <x v="1053"/>
    <x v="51"/>
  </r>
  <r>
    <x v="26"/>
    <s v="GDP growth (annual %)"/>
    <x v="1054"/>
    <x v="51"/>
  </r>
  <r>
    <x v="27"/>
    <s v="GDP growth (annual %)"/>
    <x v="1055"/>
    <x v="51"/>
  </r>
  <r>
    <x v="0"/>
    <s v="GDP growth (annual %)"/>
    <x v="1056"/>
    <x v="52"/>
  </r>
  <r>
    <x v="1"/>
    <s v="GDP growth (annual %)"/>
    <x v="1057"/>
    <x v="52"/>
  </r>
  <r>
    <x v="2"/>
    <s v="GDP growth (annual %)"/>
    <x v="1058"/>
    <x v="52"/>
  </r>
  <r>
    <x v="3"/>
    <s v="GDP growth (annual %)"/>
    <x v="1059"/>
    <x v="52"/>
  </r>
  <r>
    <x v="4"/>
    <s v="GDP growth (annual %)"/>
    <x v="0"/>
    <x v="52"/>
  </r>
  <r>
    <x v="5"/>
    <s v="GDP growth (annual %)"/>
    <x v="1060"/>
    <x v="52"/>
  </r>
  <r>
    <x v="6"/>
    <s v="GDP growth (annual %)"/>
    <x v="1061"/>
    <x v="52"/>
  </r>
  <r>
    <x v="7"/>
    <s v="GDP growth (annual %)"/>
    <x v="1062"/>
    <x v="52"/>
  </r>
  <r>
    <x v="8"/>
    <s v="GDP growth (annual %)"/>
    <x v="1063"/>
    <x v="52"/>
  </r>
  <r>
    <x v="9"/>
    <s v="GDP growth (annual %)"/>
    <x v="1064"/>
    <x v="52"/>
  </r>
  <r>
    <x v="10"/>
    <s v="GDP growth (annual %)"/>
    <x v="1065"/>
    <x v="52"/>
  </r>
  <r>
    <x v="11"/>
    <s v="GDP growth (annual %)"/>
    <x v="1066"/>
    <x v="52"/>
  </r>
  <r>
    <x v="12"/>
    <s v="GDP growth (annual %)"/>
    <x v="1067"/>
    <x v="52"/>
  </r>
  <r>
    <x v="13"/>
    <s v="GDP growth (annual %)"/>
    <x v="1068"/>
    <x v="52"/>
  </r>
  <r>
    <x v="14"/>
    <s v="GDP growth (annual %)"/>
    <x v="1069"/>
    <x v="52"/>
  </r>
  <r>
    <x v="15"/>
    <s v="GDP growth (annual %)"/>
    <x v="1070"/>
    <x v="52"/>
  </r>
  <r>
    <x v="16"/>
    <s v="GDP growth (annual %)"/>
    <x v="1071"/>
    <x v="52"/>
  </r>
  <r>
    <x v="17"/>
    <s v="GDP growth (annual %)"/>
    <x v="1072"/>
    <x v="52"/>
  </r>
  <r>
    <x v="18"/>
    <s v="GDP growth (annual %)"/>
    <x v="1073"/>
    <x v="52"/>
  </r>
  <r>
    <x v="19"/>
    <s v="GDP growth (annual %)"/>
    <x v="1074"/>
    <x v="52"/>
  </r>
  <r>
    <x v="20"/>
    <s v="GDP growth (annual %)"/>
    <x v="1075"/>
    <x v="52"/>
  </r>
  <r>
    <x v="21"/>
    <s v="GDP growth (annual %)"/>
    <x v="1076"/>
    <x v="52"/>
  </r>
  <r>
    <x v="22"/>
    <s v="GDP growth (annual %)"/>
    <x v="1077"/>
    <x v="52"/>
  </r>
  <r>
    <x v="23"/>
    <s v="GDP growth (annual %)"/>
    <x v="1078"/>
    <x v="52"/>
  </r>
  <r>
    <x v="24"/>
    <s v="GDP growth (annual %)"/>
    <x v="1079"/>
    <x v="52"/>
  </r>
  <r>
    <x v="25"/>
    <s v="GDP growth (annual %)"/>
    <x v="1080"/>
    <x v="52"/>
  </r>
  <r>
    <x v="26"/>
    <s v="GDP growth (annual %)"/>
    <x v="1081"/>
    <x v="52"/>
  </r>
  <r>
    <x v="27"/>
    <s v="GDP growth (annual %)"/>
    <x v="1082"/>
    <x v="52"/>
  </r>
  <r>
    <x v="0"/>
    <s v="GDP growth (annual %)"/>
    <x v="1083"/>
    <x v="53"/>
  </r>
  <r>
    <x v="1"/>
    <s v="GDP growth (annual %)"/>
    <x v="1084"/>
    <x v="53"/>
  </r>
  <r>
    <x v="2"/>
    <s v="GDP growth (annual %)"/>
    <x v="1085"/>
    <x v="53"/>
  </r>
  <r>
    <x v="3"/>
    <s v="GDP growth (annual %)"/>
    <x v="1086"/>
    <x v="53"/>
  </r>
  <r>
    <x v="4"/>
    <s v="GDP growth (annual %)"/>
    <x v="0"/>
    <x v="53"/>
  </r>
  <r>
    <x v="5"/>
    <s v="GDP growth (annual %)"/>
    <x v="1087"/>
    <x v="53"/>
  </r>
  <r>
    <x v="6"/>
    <s v="GDP growth (annual %)"/>
    <x v="1088"/>
    <x v="53"/>
  </r>
  <r>
    <x v="7"/>
    <s v="GDP growth (annual %)"/>
    <x v="1089"/>
    <x v="53"/>
  </r>
  <r>
    <x v="8"/>
    <s v="GDP growth (annual %)"/>
    <x v="1090"/>
    <x v="53"/>
  </r>
  <r>
    <x v="9"/>
    <s v="GDP growth (annual %)"/>
    <x v="1091"/>
    <x v="53"/>
  </r>
  <r>
    <x v="10"/>
    <s v="GDP growth (annual %)"/>
    <x v="1092"/>
    <x v="53"/>
  </r>
  <r>
    <x v="11"/>
    <s v="GDP growth (annual %)"/>
    <x v="1093"/>
    <x v="53"/>
  </r>
  <r>
    <x v="12"/>
    <s v="GDP growth (annual %)"/>
    <x v="1094"/>
    <x v="53"/>
  </r>
  <r>
    <x v="13"/>
    <s v="GDP growth (annual %)"/>
    <x v="1095"/>
    <x v="53"/>
  </r>
  <r>
    <x v="14"/>
    <s v="GDP growth (annual %)"/>
    <x v="1096"/>
    <x v="53"/>
  </r>
  <r>
    <x v="15"/>
    <s v="GDP growth (annual %)"/>
    <x v="1097"/>
    <x v="53"/>
  </r>
  <r>
    <x v="16"/>
    <s v="GDP growth (annual %)"/>
    <x v="1098"/>
    <x v="53"/>
  </r>
  <r>
    <x v="17"/>
    <s v="GDP growth (annual %)"/>
    <x v="1099"/>
    <x v="53"/>
  </r>
  <r>
    <x v="18"/>
    <s v="GDP growth (annual %)"/>
    <x v="1100"/>
    <x v="53"/>
  </r>
  <r>
    <x v="19"/>
    <s v="GDP growth (annual %)"/>
    <x v="1101"/>
    <x v="53"/>
  </r>
  <r>
    <x v="20"/>
    <s v="GDP growth (annual %)"/>
    <x v="1102"/>
    <x v="53"/>
  </r>
  <r>
    <x v="21"/>
    <s v="GDP growth (annual %)"/>
    <x v="1103"/>
    <x v="53"/>
  </r>
  <r>
    <x v="22"/>
    <s v="GDP growth (annual %)"/>
    <x v="1104"/>
    <x v="53"/>
  </r>
  <r>
    <x v="23"/>
    <s v="GDP growth (annual %)"/>
    <x v="1105"/>
    <x v="53"/>
  </r>
  <r>
    <x v="24"/>
    <s v="GDP growth (annual %)"/>
    <x v="1106"/>
    <x v="53"/>
  </r>
  <r>
    <x v="25"/>
    <s v="GDP growth (annual %)"/>
    <x v="1107"/>
    <x v="53"/>
  </r>
  <r>
    <x v="26"/>
    <s v="GDP growth (annual %)"/>
    <x v="1108"/>
    <x v="53"/>
  </r>
  <r>
    <x v="27"/>
    <s v="GDP growth (annual %)"/>
    <x v="1109"/>
    <x v="53"/>
  </r>
  <r>
    <x v="0"/>
    <s v="GDP growth (annual %)"/>
    <x v="1110"/>
    <x v="54"/>
  </r>
  <r>
    <x v="1"/>
    <s v="GDP growth (annual %)"/>
    <x v="1111"/>
    <x v="54"/>
  </r>
  <r>
    <x v="2"/>
    <s v="GDP growth (annual %)"/>
    <x v="1112"/>
    <x v="54"/>
  </r>
  <r>
    <x v="3"/>
    <s v="GDP growth (annual %)"/>
    <x v="1113"/>
    <x v="54"/>
  </r>
  <r>
    <x v="4"/>
    <s v="GDP growth (annual %)"/>
    <x v="1114"/>
    <x v="54"/>
  </r>
  <r>
    <x v="5"/>
    <s v="GDP growth (annual %)"/>
    <x v="1115"/>
    <x v="54"/>
  </r>
  <r>
    <x v="6"/>
    <s v="GDP growth (annual %)"/>
    <x v="1116"/>
    <x v="54"/>
  </r>
  <r>
    <x v="7"/>
    <s v="GDP growth (annual %)"/>
    <x v="1117"/>
    <x v="54"/>
  </r>
  <r>
    <x v="8"/>
    <s v="GDP growth (annual %)"/>
    <x v="1118"/>
    <x v="54"/>
  </r>
  <r>
    <x v="9"/>
    <s v="GDP growth (annual %)"/>
    <x v="1119"/>
    <x v="54"/>
  </r>
  <r>
    <x v="10"/>
    <s v="GDP growth (annual %)"/>
    <x v="1120"/>
    <x v="54"/>
  </r>
  <r>
    <x v="11"/>
    <s v="GDP growth (annual %)"/>
    <x v="1121"/>
    <x v="54"/>
  </r>
  <r>
    <x v="12"/>
    <s v="GDP growth (annual %)"/>
    <x v="1122"/>
    <x v="54"/>
  </r>
  <r>
    <x v="13"/>
    <s v="GDP growth (annual %)"/>
    <x v="1123"/>
    <x v="54"/>
  </r>
  <r>
    <x v="14"/>
    <s v="GDP growth (annual %)"/>
    <x v="1124"/>
    <x v="54"/>
  </r>
  <r>
    <x v="15"/>
    <s v="GDP growth (annual %)"/>
    <x v="1125"/>
    <x v="54"/>
  </r>
  <r>
    <x v="16"/>
    <s v="GDP growth (annual %)"/>
    <x v="1126"/>
    <x v="54"/>
  </r>
  <r>
    <x v="17"/>
    <s v="GDP growth (annual %)"/>
    <x v="1127"/>
    <x v="54"/>
  </r>
  <r>
    <x v="18"/>
    <s v="GDP growth (annual %)"/>
    <x v="1128"/>
    <x v="54"/>
  </r>
  <r>
    <x v="19"/>
    <s v="GDP growth (annual %)"/>
    <x v="1129"/>
    <x v="54"/>
  </r>
  <r>
    <x v="20"/>
    <s v="GDP growth (annual %)"/>
    <x v="1130"/>
    <x v="54"/>
  </r>
  <r>
    <x v="21"/>
    <s v="GDP growth (annual %)"/>
    <x v="1131"/>
    <x v="54"/>
  </r>
  <r>
    <x v="22"/>
    <s v="GDP growth (annual %)"/>
    <x v="1132"/>
    <x v="54"/>
  </r>
  <r>
    <x v="23"/>
    <s v="GDP growth (annual %)"/>
    <x v="1133"/>
    <x v="54"/>
  </r>
  <r>
    <x v="24"/>
    <s v="GDP growth (annual %)"/>
    <x v="1134"/>
    <x v="54"/>
  </r>
  <r>
    <x v="25"/>
    <s v="GDP growth (annual %)"/>
    <x v="1135"/>
    <x v="54"/>
  </r>
  <r>
    <x v="26"/>
    <s v="GDP growth (annual %)"/>
    <x v="1136"/>
    <x v="54"/>
  </r>
  <r>
    <x v="27"/>
    <s v="GDP growth (annual %)"/>
    <x v="1137"/>
    <x v="54"/>
  </r>
  <r>
    <x v="0"/>
    <s v="GDP growth (annual %)"/>
    <x v="1138"/>
    <x v="55"/>
  </r>
  <r>
    <x v="1"/>
    <s v="GDP growth (annual %)"/>
    <x v="1139"/>
    <x v="55"/>
  </r>
  <r>
    <x v="2"/>
    <s v="GDP growth (annual %)"/>
    <x v="1140"/>
    <x v="55"/>
  </r>
  <r>
    <x v="3"/>
    <s v="GDP growth (annual %)"/>
    <x v="1141"/>
    <x v="55"/>
  </r>
  <r>
    <x v="4"/>
    <s v="GDP growth (annual %)"/>
    <x v="1142"/>
    <x v="55"/>
  </r>
  <r>
    <x v="5"/>
    <s v="GDP growth (annual %)"/>
    <x v="1143"/>
    <x v="55"/>
  </r>
  <r>
    <x v="6"/>
    <s v="GDP growth (annual %)"/>
    <x v="1144"/>
    <x v="55"/>
  </r>
  <r>
    <x v="7"/>
    <s v="GDP growth (annual %)"/>
    <x v="1145"/>
    <x v="55"/>
  </r>
  <r>
    <x v="8"/>
    <s v="GDP growth (annual %)"/>
    <x v="1146"/>
    <x v="55"/>
  </r>
  <r>
    <x v="9"/>
    <s v="GDP growth (annual %)"/>
    <x v="1147"/>
    <x v="55"/>
  </r>
  <r>
    <x v="10"/>
    <s v="GDP growth (annual %)"/>
    <x v="1148"/>
    <x v="55"/>
  </r>
  <r>
    <x v="11"/>
    <s v="GDP growth (annual %)"/>
    <x v="1149"/>
    <x v="55"/>
  </r>
  <r>
    <x v="12"/>
    <s v="GDP growth (annual %)"/>
    <x v="1150"/>
    <x v="55"/>
  </r>
  <r>
    <x v="13"/>
    <s v="GDP growth (annual %)"/>
    <x v="1151"/>
    <x v="55"/>
  </r>
  <r>
    <x v="14"/>
    <s v="GDP growth (annual %)"/>
    <x v="1152"/>
    <x v="55"/>
  </r>
  <r>
    <x v="15"/>
    <s v="GDP growth (annual %)"/>
    <x v="1153"/>
    <x v="55"/>
  </r>
  <r>
    <x v="16"/>
    <s v="GDP growth (annual %)"/>
    <x v="1154"/>
    <x v="55"/>
  </r>
  <r>
    <x v="17"/>
    <s v="GDP growth (annual %)"/>
    <x v="1155"/>
    <x v="55"/>
  </r>
  <r>
    <x v="18"/>
    <s v="GDP growth (annual %)"/>
    <x v="1156"/>
    <x v="55"/>
  </r>
  <r>
    <x v="19"/>
    <s v="GDP growth (annual %)"/>
    <x v="1157"/>
    <x v="55"/>
  </r>
  <r>
    <x v="20"/>
    <s v="GDP growth (annual %)"/>
    <x v="1158"/>
    <x v="55"/>
  </r>
  <r>
    <x v="21"/>
    <s v="GDP growth (annual %)"/>
    <x v="1159"/>
    <x v="55"/>
  </r>
  <r>
    <x v="22"/>
    <s v="GDP growth (annual %)"/>
    <x v="1160"/>
    <x v="55"/>
  </r>
  <r>
    <x v="23"/>
    <s v="GDP growth (annual %)"/>
    <x v="1161"/>
    <x v="55"/>
  </r>
  <r>
    <x v="24"/>
    <s v="GDP growth (annual %)"/>
    <x v="1162"/>
    <x v="55"/>
  </r>
  <r>
    <x v="25"/>
    <s v="GDP growth (annual %)"/>
    <x v="1163"/>
    <x v="55"/>
  </r>
  <r>
    <x v="26"/>
    <s v="GDP growth (annual %)"/>
    <x v="1164"/>
    <x v="55"/>
  </r>
  <r>
    <x v="27"/>
    <s v="GDP growth (annual %)"/>
    <x v="1165"/>
    <x v="55"/>
  </r>
  <r>
    <x v="0"/>
    <s v="GDP growth (annual %)"/>
    <x v="1166"/>
    <x v="56"/>
  </r>
  <r>
    <x v="1"/>
    <s v="GDP growth (annual %)"/>
    <x v="1167"/>
    <x v="56"/>
  </r>
  <r>
    <x v="2"/>
    <s v="GDP growth (annual %)"/>
    <x v="1168"/>
    <x v="56"/>
  </r>
  <r>
    <x v="3"/>
    <s v="GDP growth (annual %)"/>
    <x v="1169"/>
    <x v="56"/>
  </r>
  <r>
    <x v="4"/>
    <s v="GDP growth (annual %)"/>
    <x v="1170"/>
    <x v="56"/>
  </r>
  <r>
    <x v="5"/>
    <s v="GDP growth (annual %)"/>
    <x v="1171"/>
    <x v="56"/>
  </r>
  <r>
    <x v="6"/>
    <s v="GDP growth (annual %)"/>
    <x v="1172"/>
    <x v="56"/>
  </r>
  <r>
    <x v="7"/>
    <s v="GDP growth (annual %)"/>
    <x v="1173"/>
    <x v="56"/>
  </r>
  <r>
    <x v="8"/>
    <s v="GDP growth (annual %)"/>
    <x v="1174"/>
    <x v="56"/>
  </r>
  <r>
    <x v="9"/>
    <s v="GDP growth (annual %)"/>
    <x v="1175"/>
    <x v="56"/>
  </r>
  <r>
    <x v="10"/>
    <s v="GDP growth (annual %)"/>
    <x v="1176"/>
    <x v="56"/>
  </r>
  <r>
    <x v="11"/>
    <s v="GDP growth (annual %)"/>
    <x v="1177"/>
    <x v="56"/>
  </r>
  <r>
    <x v="12"/>
    <s v="GDP growth (annual %)"/>
    <x v="1178"/>
    <x v="56"/>
  </r>
  <r>
    <x v="13"/>
    <s v="GDP growth (annual %)"/>
    <x v="1179"/>
    <x v="56"/>
  </r>
  <r>
    <x v="14"/>
    <s v="GDP growth (annual %)"/>
    <x v="1180"/>
    <x v="56"/>
  </r>
  <r>
    <x v="15"/>
    <s v="GDP growth (annual %)"/>
    <x v="1181"/>
    <x v="56"/>
  </r>
  <r>
    <x v="16"/>
    <s v="GDP growth (annual %)"/>
    <x v="1182"/>
    <x v="56"/>
  </r>
  <r>
    <x v="17"/>
    <s v="GDP growth (annual %)"/>
    <x v="1183"/>
    <x v="56"/>
  </r>
  <r>
    <x v="18"/>
    <s v="GDP growth (annual %)"/>
    <x v="1184"/>
    <x v="56"/>
  </r>
  <r>
    <x v="19"/>
    <s v="GDP growth (annual %)"/>
    <x v="1185"/>
    <x v="56"/>
  </r>
  <r>
    <x v="20"/>
    <s v="GDP growth (annual %)"/>
    <x v="1186"/>
    <x v="56"/>
  </r>
  <r>
    <x v="21"/>
    <s v="GDP growth (annual %)"/>
    <x v="1187"/>
    <x v="56"/>
  </r>
  <r>
    <x v="22"/>
    <s v="GDP growth (annual %)"/>
    <x v="1188"/>
    <x v="56"/>
  </r>
  <r>
    <x v="23"/>
    <s v="GDP growth (annual %)"/>
    <x v="1189"/>
    <x v="56"/>
  </r>
  <r>
    <x v="24"/>
    <s v="GDP growth (annual %)"/>
    <x v="1190"/>
    <x v="56"/>
  </r>
  <r>
    <x v="25"/>
    <s v="GDP growth (annual %)"/>
    <x v="1191"/>
    <x v="56"/>
  </r>
  <r>
    <x v="26"/>
    <s v="GDP growth (annual %)"/>
    <x v="1192"/>
    <x v="56"/>
  </r>
  <r>
    <x v="27"/>
    <s v="GDP growth (annual %)"/>
    <x v="1193"/>
    <x v="56"/>
  </r>
  <r>
    <x v="0"/>
    <s v="GDP growth (annual %)"/>
    <x v="1194"/>
    <x v="57"/>
  </r>
  <r>
    <x v="1"/>
    <s v="GDP growth (annual %)"/>
    <x v="1195"/>
    <x v="57"/>
  </r>
  <r>
    <x v="2"/>
    <s v="GDP growth (annual %)"/>
    <x v="1196"/>
    <x v="57"/>
  </r>
  <r>
    <x v="3"/>
    <s v="GDP growth (annual %)"/>
    <x v="1197"/>
    <x v="57"/>
  </r>
  <r>
    <x v="4"/>
    <s v="GDP growth (annual %)"/>
    <x v="1198"/>
    <x v="57"/>
  </r>
  <r>
    <x v="5"/>
    <s v="GDP growth (annual %)"/>
    <x v="1199"/>
    <x v="57"/>
  </r>
  <r>
    <x v="6"/>
    <s v="GDP growth (annual %)"/>
    <x v="1200"/>
    <x v="57"/>
  </r>
  <r>
    <x v="7"/>
    <s v="GDP growth (annual %)"/>
    <x v="1201"/>
    <x v="57"/>
  </r>
  <r>
    <x v="8"/>
    <s v="GDP growth (annual %)"/>
    <x v="1202"/>
    <x v="57"/>
  </r>
  <r>
    <x v="9"/>
    <s v="GDP growth (annual %)"/>
    <x v="1203"/>
    <x v="57"/>
  </r>
  <r>
    <x v="10"/>
    <s v="GDP growth (annual %)"/>
    <x v="1204"/>
    <x v="57"/>
  </r>
  <r>
    <x v="11"/>
    <s v="GDP growth (annual %)"/>
    <x v="1205"/>
    <x v="57"/>
  </r>
  <r>
    <x v="12"/>
    <s v="GDP growth (annual %)"/>
    <x v="1206"/>
    <x v="57"/>
  </r>
  <r>
    <x v="13"/>
    <s v="GDP growth (annual %)"/>
    <x v="1207"/>
    <x v="57"/>
  </r>
  <r>
    <x v="14"/>
    <s v="GDP growth (annual %)"/>
    <x v="1208"/>
    <x v="57"/>
  </r>
  <r>
    <x v="15"/>
    <s v="GDP growth (annual %)"/>
    <x v="1209"/>
    <x v="57"/>
  </r>
  <r>
    <x v="16"/>
    <s v="GDP growth (annual %)"/>
    <x v="1210"/>
    <x v="57"/>
  </r>
  <r>
    <x v="17"/>
    <s v="GDP growth (annual %)"/>
    <x v="1211"/>
    <x v="57"/>
  </r>
  <r>
    <x v="18"/>
    <s v="GDP growth (annual %)"/>
    <x v="1212"/>
    <x v="57"/>
  </r>
  <r>
    <x v="19"/>
    <s v="GDP growth (annual %)"/>
    <x v="1213"/>
    <x v="57"/>
  </r>
  <r>
    <x v="20"/>
    <s v="GDP growth (annual %)"/>
    <x v="1214"/>
    <x v="57"/>
  </r>
  <r>
    <x v="21"/>
    <s v="GDP growth (annual %)"/>
    <x v="1215"/>
    <x v="57"/>
  </r>
  <r>
    <x v="22"/>
    <s v="GDP growth (annual %)"/>
    <x v="1216"/>
    <x v="57"/>
  </r>
  <r>
    <x v="23"/>
    <s v="GDP growth (annual %)"/>
    <x v="1217"/>
    <x v="57"/>
  </r>
  <r>
    <x v="24"/>
    <s v="GDP growth (annual %)"/>
    <x v="1218"/>
    <x v="57"/>
  </r>
  <r>
    <x v="25"/>
    <s v="GDP growth (annual %)"/>
    <x v="1219"/>
    <x v="57"/>
  </r>
  <r>
    <x v="26"/>
    <s v="GDP growth (annual %)"/>
    <x v="1220"/>
    <x v="57"/>
  </r>
  <r>
    <x v="27"/>
    <s v="GDP growth (annual %)"/>
    <x v="1221"/>
    <x v="5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24">
  <r>
    <x v="0"/>
    <s v="IBRD loans and IDA credits (DOD, current US$)"/>
    <m/>
    <x v="0"/>
  </r>
  <r>
    <x v="1"/>
    <s v="IBRD loans and IDA credits (DOD, current US$)"/>
    <m/>
    <x v="0"/>
  </r>
  <r>
    <x v="2"/>
    <s v="IBRD loans and IDA credits (DOD, current US$)"/>
    <m/>
    <x v="0"/>
  </r>
  <r>
    <x v="3"/>
    <s v="IBRD loans and IDA credits (DOD, current US$)"/>
    <m/>
    <x v="0"/>
  </r>
  <r>
    <x v="4"/>
    <s v="IBRD loans and IDA credits (DOD, current US$)"/>
    <m/>
    <x v="0"/>
  </r>
  <r>
    <x v="5"/>
    <s v="IBRD loans and IDA credits (DOD, current US$)"/>
    <m/>
    <x v="0"/>
  </r>
  <r>
    <x v="6"/>
    <s v="IBRD loans and IDA credits (DOD, current US$)"/>
    <m/>
    <x v="0"/>
  </r>
  <r>
    <x v="7"/>
    <s v="IBRD loans and IDA credits (DOD, current US$)"/>
    <m/>
    <x v="0"/>
  </r>
  <r>
    <x v="8"/>
    <s v="IBRD loans and IDA credits (DOD, current US$)"/>
    <m/>
    <x v="0"/>
  </r>
  <r>
    <x v="9"/>
    <s v="IBRD loans and IDA credits (DOD, current US$)"/>
    <m/>
    <x v="0"/>
  </r>
  <r>
    <x v="10"/>
    <s v="IBRD loans and IDA credits (DOD, current US$)"/>
    <m/>
    <x v="0"/>
  </r>
  <r>
    <x v="11"/>
    <s v="IBRD loans and IDA credits (DOD, current US$)"/>
    <m/>
    <x v="0"/>
  </r>
  <r>
    <x v="12"/>
    <s v="IBRD loans and IDA credits (DOD, current US$)"/>
    <m/>
    <x v="0"/>
  </r>
  <r>
    <x v="13"/>
    <s v="IBRD loans and IDA credits (DOD, current US$)"/>
    <m/>
    <x v="0"/>
  </r>
  <r>
    <x v="14"/>
    <s v="IBRD loans and IDA credits (DOD, current US$)"/>
    <m/>
    <x v="0"/>
  </r>
  <r>
    <x v="15"/>
    <s v="IBRD loans and IDA credits (DOD, current US$)"/>
    <m/>
    <x v="0"/>
  </r>
  <r>
    <x v="16"/>
    <s v="IBRD loans and IDA credits (DOD, current US$)"/>
    <m/>
    <x v="0"/>
  </r>
  <r>
    <x v="17"/>
    <s v="IBRD loans and IDA credits (DOD, current US$)"/>
    <m/>
    <x v="0"/>
  </r>
  <r>
    <x v="18"/>
    <s v="IBRD loans and IDA credits (DOD, current US$)"/>
    <m/>
    <x v="0"/>
  </r>
  <r>
    <x v="19"/>
    <s v="IBRD loans and IDA credits (DOD, current US$)"/>
    <m/>
    <x v="0"/>
  </r>
  <r>
    <x v="20"/>
    <s v="IBRD loans and IDA credits (DOD, current US$)"/>
    <m/>
    <x v="0"/>
  </r>
  <r>
    <x v="21"/>
    <s v="IBRD loans and IDA credits (DOD, current US$)"/>
    <m/>
    <x v="0"/>
  </r>
  <r>
    <x v="22"/>
    <s v="IBRD loans and IDA credits (DOD, current US$)"/>
    <m/>
    <x v="0"/>
  </r>
  <r>
    <x v="23"/>
    <s v="IBRD loans and IDA credits (DOD, current US$)"/>
    <m/>
    <x v="0"/>
  </r>
  <r>
    <x v="24"/>
    <s v="IBRD loans and IDA credits (DOD, current US$)"/>
    <m/>
    <x v="0"/>
  </r>
  <r>
    <x v="25"/>
    <s v="IBRD loans and IDA credits (DOD, current US$)"/>
    <m/>
    <x v="0"/>
  </r>
  <r>
    <x v="26"/>
    <s v="IBRD loans and IDA credits (DOD, current US$)"/>
    <m/>
    <x v="0"/>
  </r>
  <r>
    <x v="27"/>
    <s v="IBRD loans and IDA credits (DOD, current US$)"/>
    <m/>
    <x v="0"/>
  </r>
  <r>
    <x v="0"/>
    <s v="IBRD loans and IDA credits (DOD, current US$)"/>
    <m/>
    <x v="1"/>
  </r>
  <r>
    <x v="1"/>
    <s v="IBRD loans and IDA credits (DOD, current US$)"/>
    <m/>
    <x v="1"/>
  </r>
  <r>
    <x v="2"/>
    <s v="IBRD loans and IDA credits (DOD, current US$)"/>
    <m/>
    <x v="1"/>
  </r>
  <r>
    <x v="3"/>
    <s v="IBRD loans and IDA credits (DOD, current US$)"/>
    <m/>
    <x v="1"/>
  </r>
  <r>
    <x v="4"/>
    <s v="IBRD loans and IDA credits (DOD, current US$)"/>
    <m/>
    <x v="1"/>
  </r>
  <r>
    <x v="5"/>
    <s v="IBRD loans and IDA credits (DOD, current US$)"/>
    <m/>
    <x v="1"/>
  </r>
  <r>
    <x v="6"/>
    <s v="IBRD loans and IDA credits (DOD, current US$)"/>
    <m/>
    <x v="1"/>
  </r>
  <r>
    <x v="7"/>
    <s v="IBRD loans and IDA credits (DOD, current US$)"/>
    <m/>
    <x v="1"/>
  </r>
  <r>
    <x v="8"/>
    <s v="IBRD loans and IDA credits (DOD, current US$)"/>
    <m/>
    <x v="1"/>
  </r>
  <r>
    <x v="9"/>
    <s v="IBRD loans and IDA credits (DOD, current US$)"/>
    <m/>
    <x v="1"/>
  </r>
  <r>
    <x v="10"/>
    <s v="IBRD loans and IDA credits (DOD, current US$)"/>
    <m/>
    <x v="1"/>
  </r>
  <r>
    <x v="11"/>
    <s v="IBRD loans and IDA credits (DOD, current US$)"/>
    <m/>
    <x v="1"/>
  </r>
  <r>
    <x v="12"/>
    <s v="IBRD loans and IDA credits (DOD, current US$)"/>
    <m/>
    <x v="1"/>
  </r>
  <r>
    <x v="13"/>
    <s v="IBRD loans and IDA credits (DOD, current US$)"/>
    <m/>
    <x v="1"/>
  </r>
  <r>
    <x v="14"/>
    <s v="IBRD loans and IDA credits (DOD, current US$)"/>
    <m/>
    <x v="1"/>
  </r>
  <r>
    <x v="15"/>
    <s v="IBRD loans and IDA credits (DOD, current US$)"/>
    <m/>
    <x v="1"/>
  </r>
  <r>
    <x v="16"/>
    <s v="IBRD loans and IDA credits (DOD, current US$)"/>
    <m/>
    <x v="1"/>
  </r>
  <r>
    <x v="17"/>
    <s v="IBRD loans and IDA credits (DOD, current US$)"/>
    <m/>
    <x v="1"/>
  </r>
  <r>
    <x v="18"/>
    <s v="IBRD loans and IDA credits (DOD, current US$)"/>
    <m/>
    <x v="1"/>
  </r>
  <r>
    <x v="19"/>
    <s v="IBRD loans and IDA credits (DOD, current US$)"/>
    <m/>
    <x v="1"/>
  </r>
  <r>
    <x v="20"/>
    <s v="IBRD loans and IDA credits (DOD, current US$)"/>
    <m/>
    <x v="1"/>
  </r>
  <r>
    <x v="21"/>
    <s v="IBRD loans and IDA credits (DOD, current US$)"/>
    <m/>
    <x v="1"/>
  </r>
  <r>
    <x v="22"/>
    <s v="IBRD loans and IDA credits (DOD, current US$)"/>
    <m/>
    <x v="1"/>
  </r>
  <r>
    <x v="23"/>
    <s v="IBRD loans and IDA credits (DOD, current US$)"/>
    <m/>
    <x v="1"/>
  </r>
  <r>
    <x v="24"/>
    <s v="IBRD loans and IDA credits (DOD, current US$)"/>
    <m/>
    <x v="1"/>
  </r>
  <r>
    <x v="25"/>
    <s v="IBRD loans and IDA credits (DOD, current US$)"/>
    <m/>
    <x v="1"/>
  </r>
  <r>
    <x v="26"/>
    <s v="IBRD loans and IDA credits (DOD, current US$)"/>
    <m/>
    <x v="1"/>
  </r>
  <r>
    <x v="27"/>
    <s v="IBRD loans and IDA credits (DOD, current US$)"/>
    <m/>
    <x v="1"/>
  </r>
  <r>
    <x v="0"/>
    <s v="IBRD loans and IDA credits (DOD, current US$)"/>
    <m/>
    <x v="2"/>
  </r>
  <r>
    <x v="1"/>
    <s v="IBRD loans and IDA credits (DOD, current US$)"/>
    <m/>
    <x v="2"/>
  </r>
  <r>
    <x v="2"/>
    <s v="IBRD loans and IDA credits (DOD, current US$)"/>
    <m/>
    <x v="2"/>
  </r>
  <r>
    <x v="3"/>
    <s v="IBRD loans and IDA credits (DOD, current US$)"/>
    <m/>
    <x v="2"/>
  </r>
  <r>
    <x v="4"/>
    <s v="IBRD loans and IDA credits (DOD, current US$)"/>
    <m/>
    <x v="2"/>
  </r>
  <r>
    <x v="5"/>
    <s v="IBRD loans and IDA credits (DOD, current US$)"/>
    <m/>
    <x v="2"/>
  </r>
  <r>
    <x v="6"/>
    <s v="IBRD loans and IDA credits (DOD, current US$)"/>
    <m/>
    <x v="2"/>
  </r>
  <r>
    <x v="7"/>
    <s v="IBRD loans and IDA credits (DOD, current US$)"/>
    <m/>
    <x v="2"/>
  </r>
  <r>
    <x v="8"/>
    <s v="IBRD loans and IDA credits (DOD, current US$)"/>
    <m/>
    <x v="2"/>
  </r>
  <r>
    <x v="9"/>
    <s v="IBRD loans and IDA credits (DOD, current US$)"/>
    <m/>
    <x v="2"/>
  </r>
  <r>
    <x v="10"/>
    <s v="IBRD loans and IDA credits (DOD, current US$)"/>
    <m/>
    <x v="2"/>
  </r>
  <r>
    <x v="11"/>
    <s v="IBRD loans and IDA credits (DOD, current US$)"/>
    <m/>
    <x v="2"/>
  </r>
  <r>
    <x v="12"/>
    <s v="IBRD loans and IDA credits (DOD, current US$)"/>
    <m/>
    <x v="2"/>
  </r>
  <r>
    <x v="13"/>
    <s v="IBRD loans and IDA credits (DOD, current US$)"/>
    <m/>
    <x v="2"/>
  </r>
  <r>
    <x v="14"/>
    <s v="IBRD loans and IDA credits (DOD, current US$)"/>
    <m/>
    <x v="2"/>
  </r>
  <r>
    <x v="15"/>
    <s v="IBRD loans and IDA credits (DOD, current US$)"/>
    <m/>
    <x v="2"/>
  </r>
  <r>
    <x v="16"/>
    <s v="IBRD loans and IDA credits (DOD, current US$)"/>
    <m/>
    <x v="2"/>
  </r>
  <r>
    <x v="17"/>
    <s v="IBRD loans and IDA credits (DOD, current US$)"/>
    <m/>
    <x v="2"/>
  </r>
  <r>
    <x v="18"/>
    <s v="IBRD loans and IDA credits (DOD, current US$)"/>
    <m/>
    <x v="2"/>
  </r>
  <r>
    <x v="19"/>
    <s v="IBRD loans and IDA credits (DOD, current US$)"/>
    <m/>
    <x v="2"/>
  </r>
  <r>
    <x v="20"/>
    <s v="IBRD loans and IDA credits (DOD, current US$)"/>
    <m/>
    <x v="2"/>
  </r>
  <r>
    <x v="21"/>
    <s v="IBRD loans and IDA credits (DOD, current US$)"/>
    <m/>
    <x v="2"/>
  </r>
  <r>
    <x v="22"/>
    <s v="IBRD loans and IDA credits (DOD, current US$)"/>
    <m/>
    <x v="2"/>
  </r>
  <r>
    <x v="23"/>
    <s v="IBRD loans and IDA credits (DOD, current US$)"/>
    <m/>
    <x v="2"/>
  </r>
  <r>
    <x v="24"/>
    <s v="IBRD loans and IDA credits (DOD, current US$)"/>
    <m/>
    <x v="2"/>
  </r>
  <r>
    <x v="25"/>
    <s v="IBRD loans and IDA credits (DOD, current US$)"/>
    <m/>
    <x v="2"/>
  </r>
  <r>
    <x v="26"/>
    <s v="IBRD loans and IDA credits (DOD, current US$)"/>
    <m/>
    <x v="2"/>
  </r>
  <r>
    <x v="27"/>
    <s v="IBRD loans and IDA credits (DOD, current US$)"/>
    <m/>
    <x v="2"/>
  </r>
  <r>
    <x v="0"/>
    <s v="IBRD loans and IDA credits (DOD, current US$)"/>
    <m/>
    <x v="3"/>
  </r>
  <r>
    <x v="1"/>
    <s v="IBRD loans and IDA credits (DOD, current US$)"/>
    <m/>
    <x v="3"/>
  </r>
  <r>
    <x v="2"/>
    <s v="IBRD loans and IDA credits (DOD, current US$)"/>
    <m/>
    <x v="3"/>
  </r>
  <r>
    <x v="3"/>
    <s v="IBRD loans and IDA credits (DOD, current US$)"/>
    <m/>
    <x v="3"/>
  </r>
  <r>
    <x v="4"/>
    <s v="IBRD loans and IDA credits (DOD, current US$)"/>
    <m/>
    <x v="3"/>
  </r>
  <r>
    <x v="5"/>
    <s v="IBRD loans and IDA credits (DOD, current US$)"/>
    <m/>
    <x v="3"/>
  </r>
  <r>
    <x v="6"/>
    <s v="IBRD loans and IDA credits (DOD, current US$)"/>
    <m/>
    <x v="3"/>
  </r>
  <r>
    <x v="7"/>
    <s v="IBRD loans and IDA credits (DOD, current US$)"/>
    <m/>
    <x v="3"/>
  </r>
  <r>
    <x v="8"/>
    <s v="IBRD loans and IDA credits (DOD, current US$)"/>
    <m/>
    <x v="3"/>
  </r>
  <r>
    <x v="9"/>
    <s v="IBRD loans and IDA credits (DOD, current US$)"/>
    <m/>
    <x v="3"/>
  </r>
  <r>
    <x v="10"/>
    <s v="IBRD loans and IDA credits (DOD, current US$)"/>
    <m/>
    <x v="3"/>
  </r>
  <r>
    <x v="11"/>
    <s v="IBRD loans and IDA credits (DOD, current US$)"/>
    <m/>
    <x v="3"/>
  </r>
  <r>
    <x v="12"/>
    <s v="IBRD loans and IDA credits (DOD, current US$)"/>
    <m/>
    <x v="3"/>
  </r>
  <r>
    <x v="13"/>
    <s v="IBRD loans and IDA credits (DOD, current US$)"/>
    <m/>
    <x v="3"/>
  </r>
  <r>
    <x v="14"/>
    <s v="IBRD loans and IDA credits (DOD, current US$)"/>
    <m/>
    <x v="3"/>
  </r>
  <r>
    <x v="15"/>
    <s v="IBRD loans and IDA credits (DOD, current US$)"/>
    <m/>
    <x v="3"/>
  </r>
  <r>
    <x v="16"/>
    <s v="IBRD loans and IDA credits (DOD, current US$)"/>
    <m/>
    <x v="3"/>
  </r>
  <r>
    <x v="17"/>
    <s v="IBRD loans and IDA credits (DOD, current US$)"/>
    <m/>
    <x v="3"/>
  </r>
  <r>
    <x v="18"/>
    <s v="IBRD loans and IDA credits (DOD, current US$)"/>
    <m/>
    <x v="3"/>
  </r>
  <r>
    <x v="19"/>
    <s v="IBRD loans and IDA credits (DOD, current US$)"/>
    <m/>
    <x v="3"/>
  </r>
  <r>
    <x v="20"/>
    <s v="IBRD loans and IDA credits (DOD, current US$)"/>
    <m/>
    <x v="3"/>
  </r>
  <r>
    <x v="21"/>
    <s v="IBRD loans and IDA credits (DOD, current US$)"/>
    <m/>
    <x v="3"/>
  </r>
  <r>
    <x v="22"/>
    <s v="IBRD loans and IDA credits (DOD, current US$)"/>
    <m/>
    <x v="3"/>
  </r>
  <r>
    <x v="23"/>
    <s v="IBRD loans and IDA credits (DOD, current US$)"/>
    <m/>
    <x v="3"/>
  </r>
  <r>
    <x v="24"/>
    <s v="IBRD loans and IDA credits (DOD, current US$)"/>
    <m/>
    <x v="3"/>
  </r>
  <r>
    <x v="25"/>
    <s v="IBRD loans and IDA credits (DOD, current US$)"/>
    <m/>
    <x v="3"/>
  </r>
  <r>
    <x v="26"/>
    <s v="IBRD loans and IDA credits (DOD, current US$)"/>
    <m/>
    <x v="3"/>
  </r>
  <r>
    <x v="27"/>
    <s v="IBRD loans and IDA credits (DOD, current US$)"/>
    <m/>
    <x v="3"/>
  </r>
  <r>
    <x v="0"/>
    <s v="IBRD loans and IDA credits (DOD, current US$)"/>
    <m/>
    <x v="4"/>
  </r>
  <r>
    <x v="1"/>
    <s v="IBRD loans and IDA credits (DOD, current US$)"/>
    <m/>
    <x v="4"/>
  </r>
  <r>
    <x v="2"/>
    <s v="IBRD loans and IDA credits (DOD, current US$)"/>
    <m/>
    <x v="4"/>
  </r>
  <r>
    <x v="3"/>
    <s v="IBRD loans and IDA credits (DOD, current US$)"/>
    <m/>
    <x v="4"/>
  </r>
  <r>
    <x v="4"/>
    <s v="IBRD loans and IDA credits (DOD, current US$)"/>
    <m/>
    <x v="4"/>
  </r>
  <r>
    <x v="5"/>
    <s v="IBRD loans and IDA credits (DOD, current US$)"/>
    <m/>
    <x v="4"/>
  </r>
  <r>
    <x v="6"/>
    <s v="IBRD loans and IDA credits (DOD, current US$)"/>
    <m/>
    <x v="4"/>
  </r>
  <r>
    <x v="7"/>
    <s v="IBRD loans and IDA credits (DOD, current US$)"/>
    <m/>
    <x v="4"/>
  </r>
  <r>
    <x v="8"/>
    <s v="IBRD loans and IDA credits (DOD, current US$)"/>
    <m/>
    <x v="4"/>
  </r>
  <r>
    <x v="9"/>
    <s v="IBRD loans and IDA credits (DOD, current US$)"/>
    <m/>
    <x v="4"/>
  </r>
  <r>
    <x v="10"/>
    <s v="IBRD loans and IDA credits (DOD, current US$)"/>
    <m/>
    <x v="4"/>
  </r>
  <r>
    <x v="11"/>
    <s v="IBRD loans and IDA credits (DOD, current US$)"/>
    <m/>
    <x v="4"/>
  </r>
  <r>
    <x v="12"/>
    <s v="IBRD loans and IDA credits (DOD, current US$)"/>
    <m/>
    <x v="4"/>
  </r>
  <r>
    <x v="13"/>
    <s v="IBRD loans and IDA credits (DOD, current US$)"/>
    <m/>
    <x v="4"/>
  </r>
  <r>
    <x v="14"/>
    <s v="IBRD loans and IDA credits (DOD, current US$)"/>
    <m/>
    <x v="4"/>
  </r>
  <r>
    <x v="15"/>
    <s v="IBRD loans and IDA credits (DOD, current US$)"/>
    <m/>
    <x v="4"/>
  </r>
  <r>
    <x v="16"/>
    <s v="IBRD loans and IDA credits (DOD, current US$)"/>
    <m/>
    <x v="4"/>
  </r>
  <r>
    <x v="17"/>
    <s v="IBRD loans and IDA credits (DOD, current US$)"/>
    <m/>
    <x v="4"/>
  </r>
  <r>
    <x v="18"/>
    <s v="IBRD loans and IDA credits (DOD, current US$)"/>
    <m/>
    <x v="4"/>
  </r>
  <r>
    <x v="19"/>
    <s v="IBRD loans and IDA credits (DOD, current US$)"/>
    <m/>
    <x v="4"/>
  </r>
  <r>
    <x v="20"/>
    <s v="IBRD loans and IDA credits (DOD, current US$)"/>
    <m/>
    <x v="4"/>
  </r>
  <r>
    <x v="21"/>
    <s v="IBRD loans and IDA credits (DOD, current US$)"/>
    <m/>
    <x v="4"/>
  </r>
  <r>
    <x v="22"/>
    <s v="IBRD loans and IDA credits (DOD, current US$)"/>
    <m/>
    <x v="4"/>
  </r>
  <r>
    <x v="23"/>
    <s v="IBRD loans and IDA credits (DOD, current US$)"/>
    <m/>
    <x v="4"/>
  </r>
  <r>
    <x v="24"/>
    <s v="IBRD loans and IDA credits (DOD, current US$)"/>
    <m/>
    <x v="4"/>
  </r>
  <r>
    <x v="25"/>
    <s v="IBRD loans and IDA credits (DOD, current US$)"/>
    <m/>
    <x v="4"/>
  </r>
  <r>
    <x v="26"/>
    <s v="IBRD loans and IDA credits (DOD, current US$)"/>
    <m/>
    <x v="4"/>
  </r>
  <r>
    <x v="27"/>
    <s v="IBRD loans and IDA credits (DOD, current US$)"/>
    <m/>
    <x v="4"/>
  </r>
  <r>
    <x v="0"/>
    <s v="IBRD loans and IDA credits (DOD, current US$)"/>
    <m/>
    <x v="5"/>
  </r>
  <r>
    <x v="1"/>
    <s v="IBRD loans and IDA credits (DOD, current US$)"/>
    <m/>
    <x v="5"/>
  </r>
  <r>
    <x v="2"/>
    <s v="IBRD loans and IDA credits (DOD, current US$)"/>
    <m/>
    <x v="5"/>
  </r>
  <r>
    <x v="3"/>
    <s v="IBRD loans and IDA credits (DOD, current US$)"/>
    <m/>
    <x v="5"/>
  </r>
  <r>
    <x v="4"/>
    <s v="IBRD loans and IDA credits (DOD, current US$)"/>
    <m/>
    <x v="5"/>
  </r>
  <r>
    <x v="5"/>
    <s v="IBRD loans and IDA credits (DOD, current US$)"/>
    <m/>
    <x v="5"/>
  </r>
  <r>
    <x v="6"/>
    <s v="IBRD loans and IDA credits (DOD, current US$)"/>
    <m/>
    <x v="5"/>
  </r>
  <r>
    <x v="7"/>
    <s v="IBRD loans and IDA credits (DOD, current US$)"/>
    <m/>
    <x v="5"/>
  </r>
  <r>
    <x v="8"/>
    <s v="IBRD loans and IDA credits (DOD, current US$)"/>
    <m/>
    <x v="5"/>
  </r>
  <r>
    <x v="9"/>
    <s v="IBRD loans and IDA credits (DOD, current US$)"/>
    <m/>
    <x v="5"/>
  </r>
  <r>
    <x v="10"/>
    <s v="IBRD loans and IDA credits (DOD, current US$)"/>
    <m/>
    <x v="5"/>
  </r>
  <r>
    <x v="11"/>
    <s v="IBRD loans and IDA credits (DOD, current US$)"/>
    <m/>
    <x v="5"/>
  </r>
  <r>
    <x v="12"/>
    <s v="IBRD loans and IDA credits (DOD, current US$)"/>
    <m/>
    <x v="5"/>
  </r>
  <r>
    <x v="13"/>
    <s v="IBRD loans and IDA credits (DOD, current US$)"/>
    <m/>
    <x v="5"/>
  </r>
  <r>
    <x v="14"/>
    <s v="IBRD loans and IDA credits (DOD, current US$)"/>
    <m/>
    <x v="5"/>
  </r>
  <r>
    <x v="15"/>
    <s v="IBRD loans and IDA credits (DOD, current US$)"/>
    <m/>
    <x v="5"/>
  </r>
  <r>
    <x v="16"/>
    <s v="IBRD loans and IDA credits (DOD, current US$)"/>
    <m/>
    <x v="5"/>
  </r>
  <r>
    <x v="17"/>
    <s v="IBRD loans and IDA credits (DOD, current US$)"/>
    <m/>
    <x v="5"/>
  </r>
  <r>
    <x v="18"/>
    <s v="IBRD loans and IDA credits (DOD, current US$)"/>
    <m/>
    <x v="5"/>
  </r>
  <r>
    <x v="19"/>
    <s v="IBRD loans and IDA credits (DOD, current US$)"/>
    <m/>
    <x v="5"/>
  </r>
  <r>
    <x v="20"/>
    <s v="IBRD loans and IDA credits (DOD, current US$)"/>
    <m/>
    <x v="5"/>
  </r>
  <r>
    <x v="21"/>
    <s v="IBRD loans and IDA credits (DOD, current US$)"/>
    <m/>
    <x v="5"/>
  </r>
  <r>
    <x v="22"/>
    <s v="IBRD loans and IDA credits (DOD, current US$)"/>
    <m/>
    <x v="5"/>
  </r>
  <r>
    <x v="23"/>
    <s v="IBRD loans and IDA credits (DOD, current US$)"/>
    <m/>
    <x v="5"/>
  </r>
  <r>
    <x v="24"/>
    <s v="IBRD loans and IDA credits (DOD, current US$)"/>
    <m/>
    <x v="5"/>
  </r>
  <r>
    <x v="25"/>
    <s v="IBRD loans and IDA credits (DOD, current US$)"/>
    <m/>
    <x v="5"/>
  </r>
  <r>
    <x v="26"/>
    <s v="IBRD loans and IDA credits (DOD, current US$)"/>
    <m/>
    <x v="5"/>
  </r>
  <r>
    <x v="27"/>
    <s v="IBRD loans and IDA credits (DOD, current US$)"/>
    <m/>
    <x v="5"/>
  </r>
  <r>
    <x v="0"/>
    <s v="IBRD loans and IDA credits (DOD, current US$)"/>
    <m/>
    <x v="6"/>
  </r>
  <r>
    <x v="1"/>
    <s v="IBRD loans and IDA credits (DOD, current US$)"/>
    <m/>
    <x v="6"/>
  </r>
  <r>
    <x v="2"/>
    <s v="IBRD loans and IDA credits (DOD, current US$)"/>
    <m/>
    <x v="6"/>
  </r>
  <r>
    <x v="3"/>
    <s v="IBRD loans and IDA credits (DOD, current US$)"/>
    <m/>
    <x v="6"/>
  </r>
  <r>
    <x v="4"/>
    <s v="IBRD loans and IDA credits (DOD, current US$)"/>
    <m/>
    <x v="6"/>
  </r>
  <r>
    <x v="5"/>
    <s v="IBRD loans and IDA credits (DOD, current US$)"/>
    <m/>
    <x v="6"/>
  </r>
  <r>
    <x v="6"/>
    <s v="IBRD loans and IDA credits (DOD, current US$)"/>
    <m/>
    <x v="6"/>
  </r>
  <r>
    <x v="7"/>
    <s v="IBRD loans and IDA credits (DOD, current US$)"/>
    <m/>
    <x v="6"/>
  </r>
  <r>
    <x v="8"/>
    <s v="IBRD loans and IDA credits (DOD, current US$)"/>
    <m/>
    <x v="6"/>
  </r>
  <r>
    <x v="9"/>
    <s v="IBRD loans and IDA credits (DOD, current US$)"/>
    <m/>
    <x v="6"/>
  </r>
  <r>
    <x v="10"/>
    <s v="IBRD loans and IDA credits (DOD, current US$)"/>
    <m/>
    <x v="6"/>
  </r>
  <r>
    <x v="11"/>
    <s v="IBRD loans and IDA credits (DOD, current US$)"/>
    <m/>
    <x v="6"/>
  </r>
  <r>
    <x v="12"/>
    <s v="IBRD loans and IDA credits (DOD, current US$)"/>
    <m/>
    <x v="6"/>
  </r>
  <r>
    <x v="13"/>
    <s v="IBRD loans and IDA credits (DOD, current US$)"/>
    <m/>
    <x v="6"/>
  </r>
  <r>
    <x v="14"/>
    <s v="IBRD loans and IDA credits (DOD, current US$)"/>
    <m/>
    <x v="6"/>
  </r>
  <r>
    <x v="15"/>
    <s v="IBRD loans and IDA credits (DOD, current US$)"/>
    <m/>
    <x v="6"/>
  </r>
  <r>
    <x v="16"/>
    <s v="IBRD loans and IDA credits (DOD, current US$)"/>
    <m/>
    <x v="6"/>
  </r>
  <r>
    <x v="17"/>
    <s v="IBRD loans and IDA credits (DOD, current US$)"/>
    <m/>
    <x v="6"/>
  </r>
  <r>
    <x v="18"/>
    <s v="IBRD loans and IDA credits (DOD, current US$)"/>
    <m/>
    <x v="6"/>
  </r>
  <r>
    <x v="19"/>
    <s v="IBRD loans and IDA credits (DOD, current US$)"/>
    <m/>
    <x v="6"/>
  </r>
  <r>
    <x v="20"/>
    <s v="IBRD loans and IDA credits (DOD, current US$)"/>
    <m/>
    <x v="6"/>
  </r>
  <r>
    <x v="21"/>
    <s v="IBRD loans and IDA credits (DOD, current US$)"/>
    <m/>
    <x v="6"/>
  </r>
  <r>
    <x v="22"/>
    <s v="IBRD loans and IDA credits (DOD, current US$)"/>
    <m/>
    <x v="6"/>
  </r>
  <r>
    <x v="23"/>
    <s v="IBRD loans and IDA credits (DOD, current US$)"/>
    <m/>
    <x v="6"/>
  </r>
  <r>
    <x v="24"/>
    <s v="IBRD loans and IDA credits (DOD, current US$)"/>
    <m/>
    <x v="6"/>
  </r>
  <r>
    <x v="25"/>
    <s v="IBRD loans and IDA credits (DOD, current US$)"/>
    <m/>
    <x v="6"/>
  </r>
  <r>
    <x v="26"/>
    <s v="IBRD loans and IDA credits (DOD, current US$)"/>
    <m/>
    <x v="6"/>
  </r>
  <r>
    <x v="27"/>
    <s v="IBRD loans and IDA credits (DOD, current US$)"/>
    <m/>
    <x v="6"/>
  </r>
  <r>
    <x v="0"/>
    <s v="IBRD loans and IDA credits (DOD, current US$)"/>
    <m/>
    <x v="7"/>
  </r>
  <r>
    <x v="1"/>
    <s v="IBRD loans and IDA credits (DOD, current US$)"/>
    <m/>
    <x v="7"/>
  </r>
  <r>
    <x v="2"/>
    <s v="IBRD loans and IDA credits (DOD, current US$)"/>
    <m/>
    <x v="7"/>
  </r>
  <r>
    <x v="3"/>
    <s v="IBRD loans and IDA credits (DOD, current US$)"/>
    <m/>
    <x v="7"/>
  </r>
  <r>
    <x v="4"/>
    <s v="IBRD loans and IDA credits (DOD, current US$)"/>
    <m/>
    <x v="7"/>
  </r>
  <r>
    <x v="5"/>
    <s v="IBRD loans and IDA credits (DOD, current US$)"/>
    <m/>
    <x v="7"/>
  </r>
  <r>
    <x v="6"/>
    <s v="IBRD loans and IDA credits (DOD, current US$)"/>
    <m/>
    <x v="7"/>
  </r>
  <r>
    <x v="7"/>
    <s v="IBRD loans and IDA credits (DOD, current US$)"/>
    <m/>
    <x v="7"/>
  </r>
  <r>
    <x v="8"/>
    <s v="IBRD loans and IDA credits (DOD, current US$)"/>
    <m/>
    <x v="7"/>
  </r>
  <r>
    <x v="9"/>
    <s v="IBRD loans and IDA credits (DOD, current US$)"/>
    <m/>
    <x v="7"/>
  </r>
  <r>
    <x v="10"/>
    <s v="IBRD loans and IDA credits (DOD, current US$)"/>
    <m/>
    <x v="7"/>
  </r>
  <r>
    <x v="11"/>
    <s v="IBRD loans and IDA credits (DOD, current US$)"/>
    <m/>
    <x v="7"/>
  </r>
  <r>
    <x v="12"/>
    <s v="IBRD loans and IDA credits (DOD, current US$)"/>
    <m/>
    <x v="7"/>
  </r>
  <r>
    <x v="13"/>
    <s v="IBRD loans and IDA credits (DOD, current US$)"/>
    <m/>
    <x v="7"/>
  </r>
  <r>
    <x v="14"/>
    <s v="IBRD loans and IDA credits (DOD, current US$)"/>
    <m/>
    <x v="7"/>
  </r>
  <r>
    <x v="15"/>
    <s v="IBRD loans and IDA credits (DOD, current US$)"/>
    <m/>
    <x v="7"/>
  </r>
  <r>
    <x v="16"/>
    <s v="IBRD loans and IDA credits (DOD, current US$)"/>
    <m/>
    <x v="7"/>
  </r>
  <r>
    <x v="17"/>
    <s v="IBRD loans and IDA credits (DOD, current US$)"/>
    <m/>
    <x v="7"/>
  </r>
  <r>
    <x v="18"/>
    <s v="IBRD loans and IDA credits (DOD, current US$)"/>
    <m/>
    <x v="7"/>
  </r>
  <r>
    <x v="19"/>
    <s v="IBRD loans and IDA credits (DOD, current US$)"/>
    <m/>
    <x v="7"/>
  </r>
  <r>
    <x v="20"/>
    <s v="IBRD loans and IDA credits (DOD, current US$)"/>
    <m/>
    <x v="7"/>
  </r>
  <r>
    <x v="21"/>
    <s v="IBRD loans and IDA credits (DOD, current US$)"/>
    <m/>
    <x v="7"/>
  </r>
  <r>
    <x v="22"/>
    <s v="IBRD loans and IDA credits (DOD, current US$)"/>
    <m/>
    <x v="7"/>
  </r>
  <r>
    <x v="23"/>
    <s v="IBRD loans and IDA credits (DOD, current US$)"/>
    <m/>
    <x v="7"/>
  </r>
  <r>
    <x v="24"/>
    <s v="IBRD loans and IDA credits (DOD, current US$)"/>
    <m/>
    <x v="7"/>
  </r>
  <r>
    <x v="25"/>
    <s v="IBRD loans and IDA credits (DOD, current US$)"/>
    <m/>
    <x v="7"/>
  </r>
  <r>
    <x v="26"/>
    <s v="IBRD loans and IDA credits (DOD, current US$)"/>
    <m/>
    <x v="7"/>
  </r>
  <r>
    <x v="27"/>
    <s v="IBRD loans and IDA credits (DOD, current US$)"/>
    <m/>
    <x v="7"/>
  </r>
  <r>
    <x v="0"/>
    <s v="IBRD loans and IDA credits (DOD, current US$)"/>
    <m/>
    <x v="8"/>
  </r>
  <r>
    <x v="1"/>
    <s v="IBRD loans and IDA credits (DOD, current US$)"/>
    <m/>
    <x v="8"/>
  </r>
  <r>
    <x v="2"/>
    <s v="IBRD loans and IDA credits (DOD, current US$)"/>
    <m/>
    <x v="8"/>
  </r>
  <r>
    <x v="3"/>
    <s v="IBRD loans and IDA credits (DOD, current US$)"/>
    <m/>
    <x v="8"/>
  </r>
  <r>
    <x v="4"/>
    <s v="IBRD loans and IDA credits (DOD, current US$)"/>
    <m/>
    <x v="8"/>
  </r>
  <r>
    <x v="5"/>
    <s v="IBRD loans and IDA credits (DOD, current US$)"/>
    <m/>
    <x v="8"/>
  </r>
  <r>
    <x v="6"/>
    <s v="IBRD loans and IDA credits (DOD, current US$)"/>
    <m/>
    <x v="8"/>
  </r>
  <r>
    <x v="7"/>
    <s v="IBRD loans and IDA credits (DOD, current US$)"/>
    <m/>
    <x v="8"/>
  </r>
  <r>
    <x v="8"/>
    <s v="IBRD loans and IDA credits (DOD, current US$)"/>
    <m/>
    <x v="8"/>
  </r>
  <r>
    <x v="9"/>
    <s v="IBRD loans and IDA credits (DOD, current US$)"/>
    <m/>
    <x v="8"/>
  </r>
  <r>
    <x v="10"/>
    <s v="IBRD loans and IDA credits (DOD, current US$)"/>
    <m/>
    <x v="8"/>
  </r>
  <r>
    <x v="11"/>
    <s v="IBRD loans and IDA credits (DOD, current US$)"/>
    <m/>
    <x v="8"/>
  </r>
  <r>
    <x v="12"/>
    <s v="IBRD loans and IDA credits (DOD, current US$)"/>
    <m/>
    <x v="8"/>
  </r>
  <r>
    <x v="13"/>
    <s v="IBRD loans and IDA credits (DOD, current US$)"/>
    <m/>
    <x v="8"/>
  </r>
  <r>
    <x v="14"/>
    <s v="IBRD loans and IDA credits (DOD, current US$)"/>
    <m/>
    <x v="8"/>
  </r>
  <r>
    <x v="15"/>
    <s v="IBRD loans and IDA credits (DOD, current US$)"/>
    <m/>
    <x v="8"/>
  </r>
  <r>
    <x v="16"/>
    <s v="IBRD loans and IDA credits (DOD, current US$)"/>
    <m/>
    <x v="8"/>
  </r>
  <r>
    <x v="17"/>
    <s v="IBRD loans and IDA credits (DOD, current US$)"/>
    <m/>
    <x v="8"/>
  </r>
  <r>
    <x v="18"/>
    <s v="IBRD loans and IDA credits (DOD, current US$)"/>
    <m/>
    <x v="8"/>
  </r>
  <r>
    <x v="19"/>
    <s v="IBRD loans and IDA credits (DOD, current US$)"/>
    <m/>
    <x v="8"/>
  </r>
  <r>
    <x v="20"/>
    <s v="IBRD loans and IDA credits (DOD, current US$)"/>
    <m/>
    <x v="8"/>
  </r>
  <r>
    <x v="21"/>
    <s v="IBRD loans and IDA credits (DOD, current US$)"/>
    <m/>
    <x v="8"/>
  </r>
  <r>
    <x v="22"/>
    <s v="IBRD loans and IDA credits (DOD, current US$)"/>
    <m/>
    <x v="8"/>
  </r>
  <r>
    <x v="23"/>
    <s v="IBRD loans and IDA credits (DOD, current US$)"/>
    <m/>
    <x v="8"/>
  </r>
  <r>
    <x v="24"/>
    <s v="IBRD loans and IDA credits (DOD, current US$)"/>
    <m/>
    <x v="8"/>
  </r>
  <r>
    <x v="25"/>
    <s v="IBRD loans and IDA credits (DOD, current US$)"/>
    <m/>
    <x v="8"/>
  </r>
  <r>
    <x v="26"/>
    <s v="IBRD loans and IDA credits (DOD, current US$)"/>
    <m/>
    <x v="8"/>
  </r>
  <r>
    <x v="27"/>
    <s v="IBRD loans and IDA credits (DOD, current US$)"/>
    <m/>
    <x v="8"/>
  </r>
  <r>
    <x v="0"/>
    <s v="IBRD loans and IDA credits (DOD, current US$)"/>
    <m/>
    <x v="9"/>
  </r>
  <r>
    <x v="1"/>
    <s v="IBRD loans and IDA credits (DOD, current US$)"/>
    <m/>
    <x v="9"/>
  </r>
  <r>
    <x v="2"/>
    <s v="IBRD loans and IDA credits (DOD, current US$)"/>
    <m/>
    <x v="9"/>
  </r>
  <r>
    <x v="3"/>
    <s v="IBRD loans and IDA credits (DOD, current US$)"/>
    <m/>
    <x v="9"/>
  </r>
  <r>
    <x v="4"/>
    <s v="IBRD loans and IDA credits (DOD, current US$)"/>
    <m/>
    <x v="9"/>
  </r>
  <r>
    <x v="5"/>
    <s v="IBRD loans and IDA credits (DOD, current US$)"/>
    <m/>
    <x v="9"/>
  </r>
  <r>
    <x v="6"/>
    <s v="IBRD loans and IDA credits (DOD, current US$)"/>
    <m/>
    <x v="9"/>
  </r>
  <r>
    <x v="7"/>
    <s v="IBRD loans and IDA credits (DOD, current US$)"/>
    <m/>
    <x v="9"/>
  </r>
  <r>
    <x v="8"/>
    <s v="IBRD loans and IDA credits (DOD, current US$)"/>
    <m/>
    <x v="9"/>
  </r>
  <r>
    <x v="9"/>
    <s v="IBRD loans and IDA credits (DOD, current US$)"/>
    <m/>
    <x v="9"/>
  </r>
  <r>
    <x v="10"/>
    <s v="IBRD loans and IDA credits (DOD, current US$)"/>
    <m/>
    <x v="9"/>
  </r>
  <r>
    <x v="11"/>
    <s v="IBRD loans and IDA credits (DOD, current US$)"/>
    <m/>
    <x v="9"/>
  </r>
  <r>
    <x v="12"/>
    <s v="IBRD loans and IDA credits (DOD, current US$)"/>
    <m/>
    <x v="9"/>
  </r>
  <r>
    <x v="13"/>
    <s v="IBRD loans and IDA credits (DOD, current US$)"/>
    <m/>
    <x v="9"/>
  </r>
  <r>
    <x v="14"/>
    <s v="IBRD loans and IDA credits (DOD, current US$)"/>
    <m/>
    <x v="9"/>
  </r>
  <r>
    <x v="15"/>
    <s v="IBRD loans and IDA credits (DOD, current US$)"/>
    <m/>
    <x v="9"/>
  </r>
  <r>
    <x v="16"/>
    <s v="IBRD loans and IDA credits (DOD, current US$)"/>
    <m/>
    <x v="9"/>
  </r>
  <r>
    <x v="17"/>
    <s v="IBRD loans and IDA credits (DOD, current US$)"/>
    <m/>
    <x v="9"/>
  </r>
  <r>
    <x v="18"/>
    <s v="IBRD loans and IDA credits (DOD, current US$)"/>
    <m/>
    <x v="9"/>
  </r>
  <r>
    <x v="19"/>
    <s v="IBRD loans and IDA credits (DOD, current US$)"/>
    <m/>
    <x v="9"/>
  </r>
  <r>
    <x v="20"/>
    <s v="IBRD loans and IDA credits (DOD, current US$)"/>
    <m/>
    <x v="9"/>
  </r>
  <r>
    <x v="21"/>
    <s v="IBRD loans and IDA credits (DOD, current US$)"/>
    <m/>
    <x v="9"/>
  </r>
  <r>
    <x v="22"/>
    <s v="IBRD loans and IDA credits (DOD, current US$)"/>
    <m/>
    <x v="9"/>
  </r>
  <r>
    <x v="23"/>
    <s v="IBRD loans and IDA credits (DOD, current US$)"/>
    <m/>
    <x v="9"/>
  </r>
  <r>
    <x v="24"/>
    <s v="IBRD loans and IDA credits (DOD, current US$)"/>
    <m/>
    <x v="9"/>
  </r>
  <r>
    <x v="25"/>
    <s v="IBRD loans and IDA credits (DOD, current US$)"/>
    <m/>
    <x v="9"/>
  </r>
  <r>
    <x v="26"/>
    <s v="IBRD loans and IDA credits (DOD, current US$)"/>
    <m/>
    <x v="9"/>
  </r>
  <r>
    <x v="27"/>
    <s v="IBRD loans and IDA credits (DOD, current US$)"/>
    <m/>
    <x v="9"/>
  </r>
  <r>
    <x v="0"/>
    <s v="IBRD loans and IDA credits (DOD, current US$)"/>
    <n v="3674000"/>
    <x v="10"/>
  </r>
  <r>
    <x v="1"/>
    <s v="IBRD loans and IDA credits (DOD, current US$)"/>
    <n v="12313000"/>
    <x v="10"/>
  </r>
  <r>
    <x v="2"/>
    <s v="IBRD loans and IDA credits (DOD, current US$)"/>
    <n v="321000"/>
    <x v="10"/>
  </r>
  <r>
    <x v="3"/>
    <s v="IBRD loans and IDA credits (DOD, current US$)"/>
    <n v="0"/>
    <x v="10"/>
  </r>
  <r>
    <x v="4"/>
    <s v="IBRD loans and IDA credits (DOD, current US$)"/>
    <n v="0"/>
    <x v="10"/>
  </r>
  <r>
    <x v="5"/>
    <s v="IBRD loans and IDA credits (DOD, current US$)"/>
    <n v="70084000"/>
    <x v="10"/>
  </r>
  <r>
    <x v="6"/>
    <s v="IBRD loans and IDA credits (DOD, current US$)"/>
    <n v="20405000"/>
    <x v="10"/>
  </r>
  <r>
    <x v="7"/>
    <s v="IBRD loans and IDA credits (DOD, current US$)"/>
    <n v="350000"/>
    <x v="10"/>
  </r>
  <r>
    <x v="8"/>
    <s v="IBRD loans and IDA credits (DOD, current US$)"/>
    <n v="37239000"/>
    <x v="10"/>
  </r>
  <r>
    <x v="9"/>
    <s v="IBRD loans and IDA credits (DOD, current US$)"/>
    <n v="0"/>
    <x v="10"/>
  </r>
  <r>
    <x v="10"/>
    <s v="IBRD loans and IDA credits (DOD, current US$)"/>
    <n v="7361000"/>
    <x v="10"/>
  </r>
  <r>
    <x v="11"/>
    <s v="IBRD loans and IDA credits (DOD, current US$)"/>
    <n v="11445000"/>
    <x v="10"/>
  </r>
  <r>
    <x v="12"/>
    <s v="IBRD loans and IDA credits (DOD, current US$)"/>
    <n v="16891000"/>
    <x v="10"/>
  </r>
  <r>
    <x v="13"/>
    <s v="IBRD loans and IDA credits (DOD, current US$)"/>
    <n v="5977000"/>
    <x v="10"/>
  </r>
  <r>
    <x v="14"/>
    <s v="IBRD loans and IDA credits (DOD, current US$)"/>
    <n v="0"/>
    <x v="10"/>
  </r>
  <r>
    <x v="15"/>
    <s v="IBRD loans and IDA credits (DOD, current US$)"/>
    <n v="0"/>
    <x v="10"/>
  </r>
  <r>
    <x v="16"/>
    <s v="IBRD loans and IDA credits (DOD, current US$)"/>
    <n v="0"/>
    <x v="10"/>
  </r>
  <r>
    <x v="17"/>
    <s v="IBRD loans and IDA credits (DOD, current US$)"/>
    <n v="93000"/>
    <x v="10"/>
  </r>
  <r>
    <x v="18"/>
    <s v="IBRD loans and IDA credits (DOD, current US$)"/>
    <n v="29567000"/>
    <x v="10"/>
  </r>
  <r>
    <x v="19"/>
    <s v="IBRD loans and IDA credits (DOD, current US$)"/>
    <n v="4248000"/>
    <x v="10"/>
  </r>
  <r>
    <x v="20"/>
    <s v="IBRD loans and IDA credits (DOD, current US$)"/>
    <n v="63000"/>
    <x v="10"/>
  </r>
  <r>
    <x v="21"/>
    <s v="IBRD loans and IDA credits (DOD, current US$)"/>
    <n v="0"/>
    <x v="10"/>
  </r>
  <r>
    <x v="22"/>
    <s v="IBRD loans and IDA credits (DOD, current US$)"/>
    <n v="27194000"/>
    <x v="10"/>
  </r>
  <r>
    <x v="23"/>
    <s v="IBRD loans and IDA credits (DOD, current US$)"/>
    <n v="0"/>
    <x v="10"/>
  </r>
  <r>
    <x v="24"/>
    <s v="IBRD loans and IDA credits (DOD, current US$)"/>
    <n v="38337000"/>
    <x v="10"/>
  </r>
  <r>
    <x v="25"/>
    <s v="IBRD loans and IDA credits (DOD, current US$)"/>
    <n v="18969000"/>
    <x v="10"/>
  </r>
  <r>
    <x v="26"/>
    <s v="IBRD loans and IDA credits (DOD, current US$)"/>
    <n v="61433000"/>
    <x v="10"/>
  </r>
  <r>
    <x v="27"/>
    <s v="IBRD loans and IDA credits (DOD, current US$)"/>
    <n v="40589000"/>
    <x v="10"/>
  </r>
  <r>
    <x v="0"/>
    <s v="IBRD loans and IDA credits (DOD, current US$)"/>
    <n v="3875000"/>
    <x v="11"/>
  </r>
  <r>
    <x v="1"/>
    <s v="IBRD loans and IDA credits (DOD, current US$)"/>
    <n v="18705000"/>
    <x v="11"/>
  </r>
  <r>
    <x v="2"/>
    <s v="IBRD loans and IDA credits (DOD, current US$)"/>
    <n v="1851000"/>
    <x v="11"/>
  </r>
  <r>
    <x v="3"/>
    <s v="IBRD loans and IDA credits (DOD, current US$)"/>
    <n v="0"/>
    <x v="11"/>
  </r>
  <r>
    <x v="4"/>
    <s v="IBRD loans and IDA credits (DOD, current US$)"/>
    <n v="0"/>
    <x v="11"/>
  </r>
  <r>
    <x v="5"/>
    <s v="IBRD loans and IDA credits (DOD, current US$)"/>
    <n v="83485000"/>
    <x v="11"/>
  </r>
  <r>
    <x v="6"/>
    <s v="IBRD loans and IDA credits (DOD, current US$)"/>
    <n v="44564000"/>
    <x v="11"/>
  </r>
  <r>
    <x v="7"/>
    <s v="IBRD loans and IDA credits (DOD, current US$)"/>
    <n v="350000"/>
    <x v="11"/>
  </r>
  <r>
    <x v="8"/>
    <s v="IBRD loans and IDA credits (DOD, current US$)"/>
    <n v="46779000"/>
    <x v="11"/>
  </r>
  <r>
    <x v="9"/>
    <s v="IBRD loans and IDA credits (DOD, current US$)"/>
    <n v="0"/>
    <x v="11"/>
  </r>
  <r>
    <x v="10"/>
    <s v="IBRD loans and IDA credits (DOD, current US$)"/>
    <n v="9167000"/>
    <x v="11"/>
  </r>
  <r>
    <x v="11"/>
    <s v="IBRD loans and IDA credits (DOD, current US$)"/>
    <n v="17029000"/>
    <x v="11"/>
  </r>
  <r>
    <x v="12"/>
    <s v="IBRD loans and IDA credits (DOD, current US$)"/>
    <n v="24192000"/>
    <x v="11"/>
  </r>
  <r>
    <x v="13"/>
    <s v="IBRD loans and IDA credits (DOD, current US$)"/>
    <n v="9547000"/>
    <x v="11"/>
  </r>
  <r>
    <x v="14"/>
    <s v="IBRD loans and IDA credits (DOD, current US$)"/>
    <n v="0"/>
    <x v="11"/>
  </r>
  <r>
    <x v="15"/>
    <s v="IBRD loans and IDA credits (DOD, current US$)"/>
    <n v="0"/>
    <x v="11"/>
  </r>
  <r>
    <x v="16"/>
    <s v="IBRD loans and IDA credits (DOD, current US$)"/>
    <n v="0"/>
    <x v="11"/>
  </r>
  <r>
    <x v="17"/>
    <s v="IBRD loans and IDA credits (DOD, current US$)"/>
    <n v="286000"/>
    <x v="11"/>
  </r>
  <r>
    <x v="18"/>
    <s v="IBRD loans and IDA credits (DOD, current US$)"/>
    <n v="33913000"/>
    <x v="11"/>
  </r>
  <r>
    <x v="19"/>
    <s v="IBRD loans and IDA credits (DOD, current US$)"/>
    <n v="5993000"/>
    <x v="11"/>
  </r>
  <r>
    <x v="20"/>
    <s v="IBRD loans and IDA credits (DOD, current US$)"/>
    <n v="220000"/>
    <x v="11"/>
  </r>
  <r>
    <x v="21"/>
    <s v="IBRD loans and IDA credits (DOD, current US$)"/>
    <n v="0"/>
    <x v="11"/>
  </r>
  <r>
    <x v="22"/>
    <s v="IBRD loans and IDA credits (DOD, current US$)"/>
    <n v="32956000"/>
    <x v="11"/>
  </r>
  <r>
    <x v="23"/>
    <s v="IBRD loans and IDA credits (DOD, current US$)"/>
    <n v="0"/>
    <x v="11"/>
  </r>
  <r>
    <x v="24"/>
    <s v="IBRD loans and IDA credits (DOD, current US$)"/>
    <n v="53570000"/>
    <x v="11"/>
  </r>
  <r>
    <x v="25"/>
    <s v="IBRD loans and IDA credits (DOD, current US$)"/>
    <n v="26601000"/>
    <x v="11"/>
  </r>
  <r>
    <x v="26"/>
    <s v="IBRD loans and IDA credits (DOD, current US$)"/>
    <n v="64692000"/>
    <x v="11"/>
  </r>
  <r>
    <x v="27"/>
    <s v="IBRD loans and IDA credits (DOD, current US$)"/>
    <n v="37046000"/>
    <x v="11"/>
  </r>
  <r>
    <x v="0"/>
    <s v="IBRD loans and IDA credits (DOD, current US$)"/>
    <n v="4197000"/>
    <x v="12"/>
  </r>
  <r>
    <x v="1"/>
    <s v="IBRD loans and IDA credits (DOD, current US$)"/>
    <n v="32185000"/>
    <x v="12"/>
  </r>
  <r>
    <x v="2"/>
    <s v="IBRD loans and IDA credits (DOD, current US$)"/>
    <n v="2645000"/>
    <x v="12"/>
  </r>
  <r>
    <x v="3"/>
    <s v="IBRD loans and IDA credits (DOD, current US$)"/>
    <n v="0"/>
    <x v="12"/>
  </r>
  <r>
    <x v="4"/>
    <s v="IBRD loans and IDA credits (DOD, current US$)"/>
    <n v="0"/>
    <x v="12"/>
  </r>
  <r>
    <x v="5"/>
    <s v="IBRD loans and IDA credits (DOD, current US$)"/>
    <n v="97374000"/>
    <x v="12"/>
  </r>
  <r>
    <x v="6"/>
    <s v="IBRD loans and IDA credits (DOD, current US$)"/>
    <n v="66665000"/>
    <x v="12"/>
  </r>
  <r>
    <x v="7"/>
    <s v="IBRD loans and IDA credits (DOD, current US$)"/>
    <n v="378000"/>
    <x v="12"/>
  </r>
  <r>
    <x v="8"/>
    <s v="IBRD loans and IDA credits (DOD, current US$)"/>
    <n v="76419000"/>
    <x v="12"/>
  </r>
  <r>
    <x v="9"/>
    <s v="IBRD loans and IDA credits (DOD, current US$)"/>
    <n v="0"/>
    <x v="12"/>
  </r>
  <r>
    <x v="10"/>
    <s v="IBRD loans and IDA credits (DOD, current US$)"/>
    <n v="12474000"/>
    <x v="12"/>
  </r>
  <r>
    <x v="11"/>
    <s v="IBRD loans and IDA credits (DOD, current US$)"/>
    <n v="22467000"/>
    <x v="12"/>
  </r>
  <r>
    <x v="12"/>
    <s v="IBRD loans and IDA credits (DOD, current US$)"/>
    <n v="34233000"/>
    <x v="12"/>
  </r>
  <r>
    <x v="13"/>
    <s v="IBRD loans and IDA credits (DOD, current US$)"/>
    <n v="15438000"/>
    <x v="12"/>
  </r>
  <r>
    <x v="14"/>
    <s v="IBRD loans and IDA credits (DOD, current US$)"/>
    <n v="0"/>
    <x v="12"/>
  </r>
  <r>
    <x v="15"/>
    <s v="IBRD loans and IDA credits (DOD, current US$)"/>
    <n v="0"/>
    <x v="12"/>
  </r>
  <r>
    <x v="16"/>
    <s v="IBRD loans and IDA credits (DOD, current US$)"/>
    <n v="0"/>
    <x v="12"/>
  </r>
  <r>
    <x v="17"/>
    <s v="IBRD loans and IDA credits (DOD, current US$)"/>
    <n v="398000"/>
    <x v="12"/>
  </r>
  <r>
    <x v="18"/>
    <s v="IBRD loans and IDA credits (DOD, current US$)"/>
    <n v="35677000"/>
    <x v="12"/>
  </r>
  <r>
    <x v="19"/>
    <s v="IBRD loans and IDA credits (DOD, current US$)"/>
    <n v="9619000"/>
    <x v="12"/>
  </r>
  <r>
    <x v="20"/>
    <s v="IBRD loans and IDA credits (DOD, current US$)"/>
    <n v="1191000"/>
    <x v="12"/>
  </r>
  <r>
    <x v="21"/>
    <s v="IBRD loans and IDA credits (DOD, current US$)"/>
    <n v="0"/>
    <x v="12"/>
  </r>
  <r>
    <x v="22"/>
    <s v="IBRD loans and IDA credits (DOD, current US$)"/>
    <n v="36757000"/>
    <x v="12"/>
  </r>
  <r>
    <x v="23"/>
    <s v="IBRD loans and IDA credits (DOD, current US$)"/>
    <n v="0"/>
    <x v="12"/>
  </r>
  <r>
    <x v="24"/>
    <s v="IBRD loans and IDA credits (DOD, current US$)"/>
    <n v="73172000"/>
    <x v="12"/>
  </r>
  <r>
    <x v="25"/>
    <s v="IBRD loans and IDA credits (DOD, current US$)"/>
    <n v="34597000"/>
    <x v="12"/>
  </r>
  <r>
    <x v="26"/>
    <s v="IBRD loans and IDA credits (DOD, current US$)"/>
    <n v="73925000"/>
    <x v="12"/>
  </r>
  <r>
    <x v="27"/>
    <s v="IBRD loans and IDA credits (DOD, current US$)"/>
    <n v="32514000"/>
    <x v="12"/>
  </r>
  <r>
    <x v="0"/>
    <s v="IBRD loans and IDA credits (DOD, current US$)"/>
    <n v="4299000"/>
    <x v="13"/>
  </r>
  <r>
    <x v="1"/>
    <s v="IBRD loans and IDA credits (DOD, current US$)"/>
    <n v="53236000"/>
    <x v="13"/>
  </r>
  <r>
    <x v="2"/>
    <s v="IBRD loans and IDA credits (DOD, current US$)"/>
    <n v="4492000"/>
    <x v="13"/>
  </r>
  <r>
    <x v="3"/>
    <s v="IBRD loans and IDA credits (DOD, current US$)"/>
    <n v="0"/>
    <x v="13"/>
  </r>
  <r>
    <x v="4"/>
    <s v="IBRD loans and IDA credits (DOD, current US$)"/>
    <n v="0"/>
    <x v="13"/>
  </r>
  <r>
    <x v="5"/>
    <s v="IBRD loans and IDA credits (DOD, current US$)"/>
    <n v="112902000"/>
    <x v="13"/>
  </r>
  <r>
    <x v="6"/>
    <s v="IBRD loans and IDA credits (DOD, current US$)"/>
    <n v="72545000"/>
    <x v="13"/>
  </r>
  <r>
    <x v="7"/>
    <s v="IBRD loans and IDA credits (DOD, current US$)"/>
    <n v="416000"/>
    <x v="13"/>
  </r>
  <r>
    <x v="8"/>
    <s v="IBRD loans and IDA credits (DOD, current US$)"/>
    <n v="113195000"/>
    <x v="13"/>
  </r>
  <r>
    <x v="9"/>
    <s v="IBRD loans and IDA credits (DOD, current US$)"/>
    <n v="0"/>
    <x v="13"/>
  </r>
  <r>
    <x v="10"/>
    <s v="IBRD loans and IDA credits (DOD, current US$)"/>
    <n v="18664000"/>
    <x v="13"/>
  </r>
  <r>
    <x v="11"/>
    <s v="IBRD loans and IDA credits (DOD, current US$)"/>
    <n v="38477000"/>
    <x v="13"/>
  </r>
  <r>
    <x v="12"/>
    <s v="IBRD loans and IDA credits (DOD, current US$)"/>
    <n v="42789000"/>
    <x v="13"/>
  </r>
  <r>
    <x v="13"/>
    <s v="IBRD loans and IDA credits (DOD, current US$)"/>
    <n v="21695000"/>
    <x v="13"/>
  </r>
  <r>
    <x v="14"/>
    <s v="IBRD loans and IDA credits (DOD, current US$)"/>
    <n v="0"/>
    <x v="13"/>
  </r>
  <r>
    <x v="15"/>
    <s v="IBRD loans and IDA credits (DOD, current US$)"/>
    <n v="0"/>
    <x v="13"/>
  </r>
  <r>
    <x v="16"/>
    <s v="IBRD loans and IDA credits (DOD, current US$)"/>
    <n v="6895000"/>
    <x v="13"/>
  </r>
  <r>
    <x v="17"/>
    <s v="IBRD loans and IDA credits (DOD, current US$)"/>
    <n v="2006000"/>
    <x v="13"/>
  </r>
  <r>
    <x v="18"/>
    <s v="IBRD loans and IDA credits (DOD, current US$)"/>
    <n v="39050000"/>
    <x v="13"/>
  </r>
  <r>
    <x v="19"/>
    <s v="IBRD loans and IDA credits (DOD, current US$)"/>
    <n v="14031000"/>
    <x v="13"/>
  </r>
  <r>
    <x v="20"/>
    <s v="IBRD loans and IDA credits (DOD, current US$)"/>
    <n v="3709000"/>
    <x v="13"/>
  </r>
  <r>
    <x v="21"/>
    <s v="IBRD loans and IDA credits (DOD, current US$)"/>
    <n v="0"/>
    <x v="13"/>
  </r>
  <r>
    <x v="22"/>
    <s v="IBRD loans and IDA credits (DOD, current US$)"/>
    <n v="45861000"/>
    <x v="13"/>
  </r>
  <r>
    <x v="23"/>
    <s v="IBRD loans and IDA credits (DOD, current US$)"/>
    <n v="0"/>
    <x v="13"/>
  </r>
  <r>
    <x v="24"/>
    <s v="IBRD loans and IDA credits (DOD, current US$)"/>
    <n v="90501000"/>
    <x v="13"/>
  </r>
  <r>
    <x v="25"/>
    <s v="IBRD loans and IDA credits (DOD, current US$)"/>
    <n v="40237000"/>
    <x v="13"/>
  </r>
  <r>
    <x v="26"/>
    <s v="IBRD loans and IDA credits (DOD, current US$)"/>
    <n v="94149000"/>
    <x v="13"/>
  </r>
  <r>
    <x v="27"/>
    <s v="IBRD loans and IDA credits (DOD, current US$)"/>
    <n v="28264000"/>
    <x v="13"/>
  </r>
  <r>
    <x v="0"/>
    <s v="IBRD loans and IDA credits (DOD, current US$)"/>
    <n v="4521000"/>
    <x v="14"/>
  </r>
  <r>
    <x v="1"/>
    <s v="IBRD loans and IDA credits (DOD, current US$)"/>
    <n v="62803000"/>
    <x v="14"/>
  </r>
  <r>
    <x v="2"/>
    <s v="IBRD loans and IDA credits (DOD, current US$)"/>
    <n v="6939000"/>
    <x v="14"/>
  </r>
  <r>
    <x v="3"/>
    <s v="IBRD loans and IDA credits (DOD, current US$)"/>
    <n v="0"/>
    <x v="14"/>
  </r>
  <r>
    <x v="4"/>
    <s v="IBRD loans and IDA credits (DOD, current US$)"/>
    <n v="0"/>
    <x v="14"/>
  </r>
  <r>
    <x v="5"/>
    <s v="IBRD loans and IDA credits (DOD, current US$)"/>
    <n v="121225000"/>
    <x v="14"/>
  </r>
  <r>
    <x v="6"/>
    <s v="IBRD loans and IDA credits (DOD, current US$)"/>
    <n v="70550000"/>
    <x v="14"/>
  </r>
  <r>
    <x v="7"/>
    <s v="IBRD loans and IDA credits (DOD, current US$)"/>
    <n v="412000"/>
    <x v="14"/>
  </r>
  <r>
    <x v="8"/>
    <s v="IBRD loans and IDA credits (DOD, current US$)"/>
    <n v="136797000"/>
    <x v="14"/>
  </r>
  <r>
    <x v="9"/>
    <s v="IBRD loans and IDA credits (DOD, current US$)"/>
    <n v="0"/>
    <x v="14"/>
  </r>
  <r>
    <x v="10"/>
    <s v="IBRD loans and IDA credits (DOD, current US$)"/>
    <n v="23220000"/>
    <x v="14"/>
  </r>
  <r>
    <x v="11"/>
    <s v="IBRD loans and IDA credits (DOD, current US$)"/>
    <n v="50728000"/>
    <x v="14"/>
  </r>
  <r>
    <x v="12"/>
    <s v="IBRD loans and IDA credits (DOD, current US$)"/>
    <n v="50249000"/>
    <x v="14"/>
  </r>
  <r>
    <x v="13"/>
    <s v="IBRD loans and IDA credits (DOD, current US$)"/>
    <n v="28235000"/>
    <x v="14"/>
  </r>
  <r>
    <x v="14"/>
    <s v="IBRD loans and IDA credits (DOD, current US$)"/>
    <n v="0"/>
    <x v="14"/>
  </r>
  <r>
    <x v="15"/>
    <s v="IBRD loans and IDA credits (DOD, current US$)"/>
    <n v="0"/>
    <x v="14"/>
  </r>
  <r>
    <x v="16"/>
    <s v="IBRD loans and IDA credits (DOD, current US$)"/>
    <n v="8803000"/>
    <x v="14"/>
  </r>
  <r>
    <x v="17"/>
    <s v="IBRD loans and IDA credits (DOD, current US$)"/>
    <n v="3169000"/>
    <x v="14"/>
  </r>
  <r>
    <x v="18"/>
    <s v="IBRD loans and IDA credits (DOD, current US$)"/>
    <n v="48322000"/>
    <x v="14"/>
  </r>
  <r>
    <x v="19"/>
    <s v="IBRD loans and IDA credits (DOD, current US$)"/>
    <n v="15857000"/>
    <x v="14"/>
  </r>
  <r>
    <x v="20"/>
    <s v="IBRD loans and IDA credits (DOD, current US$)"/>
    <n v="8186000"/>
    <x v="14"/>
  </r>
  <r>
    <x v="21"/>
    <s v="IBRD loans and IDA credits (DOD, current US$)"/>
    <n v="0"/>
    <x v="14"/>
  </r>
  <r>
    <x v="22"/>
    <s v="IBRD loans and IDA credits (DOD, current US$)"/>
    <n v="58849000"/>
    <x v="14"/>
  </r>
  <r>
    <x v="23"/>
    <s v="IBRD loans and IDA credits (DOD, current US$)"/>
    <n v="0"/>
    <x v="14"/>
  </r>
  <r>
    <x v="24"/>
    <s v="IBRD loans and IDA credits (DOD, current US$)"/>
    <n v="104227000"/>
    <x v="14"/>
  </r>
  <r>
    <x v="25"/>
    <s v="IBRD loans and IDA credits (DOD, current US$)"/>
    <n v="40892000"/>
    <x v="14"/>
  </r>
  <r>
    <x v="26"/>
    <s v="IBRD loans and IDA credits (DOD, current US$)"/>
    <n v="138305000"/>
    <x v="14"/>
  </r>
  <r>
    <x v="27"/>
    <s v="IBRD loans and IDA credits (DOD, current US$)"/>
    <n v="23863000"/>
    <x v="14"/>
  </r>
  <r>
    <x v="0"/>
    <s v="IBRD loans and IDA credits (DOD, current US$)"/>
    <n v="4420000"/>
    <x v="15"/>
  </r>
  <r>
    <x v="1"/>
    <s v="IBRD loans and IDA credits (DOD, current US$)"/>
    <n v="99636000"/>
    <x v="15"/>
  </r>
  <r>
    <x v="2"/>
    <s v="IBRD loans and IDA credits (DOD, current US$)"/>
    <n v="11397000"/>
    <x v="15"/>
  </r>
  <r>
    <x v="3"/>
    <s v="IBRD loans and IDA credits (DOD, current US$)"/>
    <n v="0"/>
    <x v="15"/>
  </r>
  <r>
    <x v="4"/>
    <s v="IBRD loans and IDA credits (DOD, current US$)"/>
    <n v="0"/>
    <x v="15"/>
  </r>
  <r>
    <x v="5"/>
    <s v="IBRD loans and IDA credits (DOD, current US$)"/>
    <n v="142743000"/>
    <x v="15"/>
  </r>
  <r>
    <x v="6"/>
    <s v="IBRD loans and IDA credits (DOD, current US$)"/>
    <n v="68415000"/>
    <x v="15"/>
  </r>
  <r>
    <x v="7"/>
    <s v="IBRD loans and IDA credits (DOD, current US$)"/>
    <n v="6256000"/>
    <x v="15"/>
  </r>
  <r>
    <x v="8"/>
    <s v="IBRD loans and IDA credits (DOD, current US$)"/>
    <n v="187125000"/>
    <x v="15"/>
  </r>
  <r>
    <x v="9"/>
    <s v="IBRD loans and IDA credits (DOD, current US$)"/>
    <n v="0"/>
    <x v="15"/>
  </r>
  <r>
    <x v="10"/>
    <s v="IBRD loans and IDA credits (DOD, current US$)"/>
    <n v="26917000"/>
    <x v="15"/>
  </r>
  <r>
    <x v="11"/>
    <s v="IBRD loans and IDA credits (DOD, current US$)"/>
    <n v="77847000"/>
    <x v="15"/>
  </r>
  <r>
    <x v="12"/>
    <s v="IBRD loans and IDA credits (DOD, current US$)"/>
    <n v="61693000"/>
    <x v="15"/>
  </r>
  <r>
    <x v="13"/>
    <s v="IBRD loans and IDA credits (DOD, current US$)"/>
    <n v="41000000"/>
    <x v="15"/>
  </r>
  <r>
    <x v="14"/>
    <s v="IBRD loans and IDA credits (DOD, current US$)"/>
    <n v="0"/>
    <x v="15"/>
  </r>
  <r>
    <x v="15"/>
    <s v="IBRD loans and IDA credits (DOD, current US$)"/>
    <n v="0"/>
    <x v="15"/>
  </r>
  <r>
    <x v="16"/>
    <s v="IBRD loans and IDA credits (DOD, current US$)"/>
    <n v="24164000"/>
    <x v="15"/>
  </r>
  <r>
    <x v="17"/>
    <s v="IBRD loans and IDA credits (DOD, current US$)"/>
    <n v="5492000"/>
    <x v="15"/>
  </r>
  <r>
    <x v="18"/>
    <s v="IBRD loans and IDA credits (DOD, current US$)"/>
    <n v="65730000"/>
    <x v="15"/>
  </r>
  <r>
    <x v="19"/>
    <s v="IBRD loans and IDA credits (DOD, current US$)"/>
    <n v="18172000"/>
    <x v="15"/>
  </r>
  <r>
    <x v="20"/>
    <s v="IBRD loans and IDA credits (DOD, current US$)"/>
    <n v="12766000"/>
    <x v="15"/>
  </r>
  <r>
    <x v="21"/>
    <s v="IBRD loans and IDA credits (DOD, current US$)"/>
    <n v="0"/>
    <x v="15"/>
  </r>
  <r>
    <x v="22"/>
    <s v="IBRD loans and IDA credits (DOD, current US$)"/>
    <n v="74820000"/>
    <x v="15"/>
  </r>
  <r>
    <x v="23"/>
    <s v="IBRD loans and IDA credits (DOD, current US$)"/>
    <n v="0"/>
    <x v="15"/>
  </r>
  <r>
    <x v="24"/>
    <s v="IBRD loans and IDA credits (DOD, current US$)"/>
    <n v="161191000"/>
    <x v="15"/>
  </r>
  <r>
    <x v="25"/>
    <s v="IBRD loans and IDA credits (DOD, current US$)"/>
    <n v="43112000"/>
    <x v="15"/>
  </r>
  <r>
    <x v="26"/>
    <s v="IBRD loans and IDA credits (DOD, current US$)"/>
    <n v="183811000"/>
    <x v="15"/>
  </r>
  <r>
    <x v="27"/>
    <s v="IBRD loans and IDA credits (DOD, current US$)"/>
    <n v="19305000"/>
    <x v="15"/>
  </r>
  <r>
    <x v="0"/>
    <s v="IBRD loans and IDA credits (DOD, current US$)"/>
    <n v="5009000"/>
    <x v="16"/>
  </r>
  <r>
    <x v="1"/>
    <s v="IBRD loans and IDA credits (DOD, current US$)"/>
    <n v="125264000"/>
    <x v="16"/>
  </r>
  <r>
    <x v="2"/>
    <s v="IBRD loans and IDA credits (DOD, current US$)"/>
    <n v="16035000"/>
    <x v="16"/>
  </r>
  <r>
    <x v="3"/>
    <s v="IBRD loans and IDA credits (DOD, current US$)"/>
    <n v="0"/>
    <x v="16"/>
  </r>
  <r>
    <x v="4"/>
    <s v="IBRD loans and IDA credits (DOD, current US$)"/>
    <n v="0"/>
    <x v="16"/>
  </r>
  <r>
    <x v="5"/>
    <s v="IBRD loans and IDA credits (DOD, current US$)"/>
    <n v="177637000"/>
    <x v="16"/>
  </r>
  <r>
    <x v="6"/>
    <s v="IBRD loans and IDA credits (DOD, current US$)"/>
    <n v="67305000"/>
    <x v="16"/>
  </r>
  <r>
    <x v="7"/>
    <s v="IBRD loans and IDA credits (DOD, current US$)"/>
    <n v="19421000"/>
    <x v="16"/>
  </r>
  <r>
    <x v="8"/>
    <s v="IBRD loans and IDA credits (DOD, current US$)"/>
    <n v="264084000"/>
    <x v="16"/>
  </r>
  <r>
    <x v="9"/>
    <s v="IBRD loans and IDA credits (DOD, current US$)"/>
    <n v="0"/>
    <x v="16"/>
  </r>
  <r>
    <x v="10"/>
    <s v="IBRD loans and IDA credits (DOD, current US$)"/>
    <n v="35216000"/>
    <x v="16"/>
  </r>
  <r>
    <x v="11"/>
    <s v="IBRD loans and IDA credits (DOD, current US$)"/>
    <n v="93579000"/>
    <x v="16"/>
  </r>
  <r>
    <x v="12"/>
    <s v="IBRD loans and IDA credits (DOD, current US$)"/>
    <n v="73691000"/>
    <x v="16"/>
  </r>
  <r>
    <x v="13"/>
    <s v="IBRD loans and IDA credits (DOD, current US$)"/>
    <n v="54432000"/>
    <x v="16"/>
  </r>
  <r>
    <x v="14"/>
    <s v="IBRD loans and IDA credits (DOD, current US$)"/>
    <n v="0"/>
    <x v="16"/>
  </r>
  <r>
    <x v="15"/>
    <s v="IBRD loans and IDA credits (DOD, current US$)"/>
    <n v="0"/>
    <x v="16"/>
  </r>
  <r>
    <x v="16"/>
    <s v="IBRD loans and IDA credits (DOD, current US$)"/>
    <n v="41412000"/>
    <x v="16"/>
  </r>
  <r>
    <x v="17"/>
    <s v="IBRD loans and IDA credits (DOD, current US$)"/>
    <n v="9252000"/>
    <x v="16"/>
  </r>
  <r>
    <x v="18"/>
    <s v="IBRD loans and IDA credits (DOD, current US$)"/>
    <n v="82958000"/>
    <x v="16"/>
  </r>
  <r>
    <x v="19"/>
    <s v="IBRD loans and IDA credits (DOD, current US$)"/>
    <n v="21816000"/>
    <x v="16"/>
  </r>
  <r>
    <x v="20"/>
    <s v="IBRD loans and IDA credits (DOD, current US$)"/>
    <n v="21134000"/>
    <x v="16"/>
  </r>
  <r>
    <x v="21"/>
    <s v="IBRD loans and IDA credits (DOD, current US$)"/>
    <n v="0"/>
    <x v="16"/>
  </r>
  <r>
    <x v="22"/>
    <s v="IBRD loans and IDA credits (DOD, current US$)"/>
    <n v="79648000"/>
    <x v="16"/>
  </r>
  <r>
    <x v="23"/>
    <s v="IBRD loans and IDA credits (DOD, current US$)"/>
    <n v="0"/>
    <x v="16"/>
  </r>
  <r>
    <x v="24"/>
    <s v="IBRD loans and IDA credits (DOD, current US$)"/>
    <n v="199050000"/>
    <x v="16"/>
  </r>
  <r>
    <x v="25"/>
    <s v="IBRD loans and IDA credits (DOD, current US$)"/>
    <n v="45201000"/>
    <x v="16"/>
  </r>
  <r>
    <x v="26"/>
    <s v="IBRD loans and IDA credits (DOD, current US$)"/>
    <n v="253486000"/>
    <x v="16"/>
  </r>
  <r>
    <x v="27"/>
    <s v="IBRD loans and IDA credits (DOD, current US$)"/>
    <n v="15045000"/>
    <x v="16"/>
  </r>
  <r>
    <x v="0"/>
    <s v="IBRD loans and IDA credits (DOD, current US$)"/>
    <n v="7137000"/>
    <x v="17"/>
  </r>
  <r>
    <x v="1"/>
    <s v="IBRD loans and IDA credits (DOD, current US$)"/>
    <n v="160032000"/>
    <x v="17"/>
  </r>
  <r>
    <x v="2"/>
    <s v="IBRD loans and IDA credits (DOD, current US$)"/>
    <n v="23792000"/>
    <x v="17"/>
  </r>
  <r>
    <x v="3"/>
    <s v="IBRD loans and IDA credits (DOD, current US$)"/>
    <n v="0"/>
    <x v="17"/>
  </r>
  <r>
    <x v="4"/>
    <s v="IBRD loans and IDA credits (DOD, current US$)"/>
    <n v="0"/>
    <x v="17"/>
  </r>
  <r>
    <x v="5"/>
    <s v="IBRD loans and IDA credits (DOD, current US$)"/>
    <n v="207737000"/>
    <x v="17"/>
  </r>
  <r>
    <x v="6"/>
    <s v="IBRD loans and IDA credits (DOD, current US$)"/>
    <n v="71165000"/>
    <x v="17"/>
  </r>
  <r>
    <x v="7"/>
    <s v="IBRD loans and IDA credits (DOD, current US$)"/>
    <n v="37340000"/>
    <x v="17"/>
  </r>
  <r>
    <x v="8"/>
    <s v="IBRD loans and IDA credits (DOD, current US$)"/>
    <n v="313743000"/>
    <x v="17"/>
  </r>
  <r>
    <x v="9"/>
    <s v="IBRD loans and IDA credits (DOD, current US$)"/>
    <n v="0"/>
    <x v="17"/>
  </r>
  <r>
    <x v="10"/>
    <s v="IBRD loans and IDA credits (DOD, current US$)"/>
    <n v="44895000"/>
    <x v="17"/>
  </r>
  <r>
    <x v="11"/>
    <s v="IBRD loans and IDA credits (DOD, current US$)"/>
    <n v="102219000"/>
    <x v="17"/>
  </r>
  <r>
    <x v="12"/>
    <s v="IBRD loans and IDA credits (DOD, current US$)"/>
    <n v="86878000"/>
    <x v="17"/>
  </r>
  <r>
    <x v="13"/>
    <s v="IBRD loans and IDA credits (DOD, current US$)"/>
    <n v="67082000"/>
    <x v="17"/>
  </r>
  <r>
    <x v="14"/>
    <s v="IBRD loans and IDA credits (DOD, current US$)"/>
    <n v="0"/>
    <x v="17"/>
  </r>
  <r>
    <x v="15"/>
    <s v="IBRD loans and IDA credits (DOD, current US$)"/>
    <n v="0"/>
    <x v="17"/>
  </r>
  <r>
    <x v="16"/>
    <s v="IBRD loans and IDA credits (DOD, current US$)"/>
    <n v="62667000"/>
    <x v="17"/>
  </r>
  <r>
    <x v="17"/>
    <s v="IBRD loans and IDA credits (DOD, current US$)"/>
    <n v="21483000"/>
    <x v="17"/>
  </r>
  <r>
    <x v="18"/>
    <s v="IBRD loans and IDA credits (DOD, current US$)"/>
    <n v="97495000"/>
    <x v="17"/>
  </r>
  <r>
    <x v="19"/>
    <s v="IBRD loans and IDA credits (DOD, current US$)"/>
    <n v="28000000"/>
    <x v="17"/>
  </r>
  <r>
    <x v="20"/>
    <s v="IBRD loans and IDA credits (DOD, current US$)"/>
    <n v="30475000"/>
    <x v="17"/>
  </r>
  <r>
    <x v="21"/>
    <s v="IBRD loans and IDA credits (DOD, current US$)"/>
    <n v="0"/>
    <x v="17"/>
  </r>
  <r>
    <x v="22"/>
    <s v="IBRD loans and IDA credits (DOD, current US$)"/>
    <n v="89019000"/>
    <x v="17"/>
  </r>
  <r>
    <x v="23"/>
    <s v="IBRD loans and IDA credits (DOD, current US$)"/>
    <n v="0"/>
    <x v="17"/>
  </r>
  <r>
    <x v="24"/>
    <s v="IBRD loans and IDA credits (DOD, current US$)"/>
    <n v="258387000"/>
    <x v="17"/>
  </r>
  <r>
    <x v="25"/>
    <s v="IBRD loans and IDA credits (DOD, current US$)"/>
    <n v="45441000"/>
    <x v="17"/>
  </r>
  <r>
    <x v="26"/>
    <s v="IBRD loans and IDA credits (DOD, current US$)"/>
    <n v="293369000"/>
    <x v="17"/>
  </r>
  <r>
    <x v="27"/>
    <s v="IBRD loans and IDA credits (DOD, current US$)"/>
    <n v="11779000"/>
    <x v="17"/>
  </r>
  <r>
    <x v="0"/>
    <s v="IBRD loans and IDA credits (DOD, current US$)"/>
    <n v="14056000"/>
    <x v="18"/>
  </r>
  <r>
    <x v="1"/>
    <s v="IBRD loans and IDA credits (DOD, current US$)"/>
    <n v="209997000"/>
    <x v="18"/>
  </r>
  <r>
    <x v="2"/>
    <s v="IBRD loans and IDA credits (DOD, current US$)"/>
    <n v="30791000"/>
    <x v="18"/>
  </r>
  <r>
    <x v="3"/>
    <s v="IBRD loans and IDA credits (DOD, current US$)"/>
    <n v="0"/>
    <x v="18"/>
  </r>
  <r>
    <x v="4"/>
    <s v="IBRD loans and IDA credits (DOD, current US$)"/>
    <n v="0"/>
    <x v="18"/>
  </r>
  <r>
    <x v="5"/>
    <s v="IBRD loans and IDA credits (DOD, current US$)"/>
    <n v="236675000"/>
    <x v="18"/>
  </r>
  <r>
    <x v="6"/>
    <s v="IBRD loans and IDA credits (DOD, current US$)"/>
    <n v="75982000"/>
    <x v="18"/>
  </r>
  <r>
    <x v="7"/>
    <s v="IBRD loans and IDA credits (DOD, current US$)"/>
    <n v="45255000"/>
    <x v="18"/>
  </r>
  <r>
    <x v="8"/>
    <s v="IBRD loans and IDA credits (DOD, current US$)"/>
    <n v="368253000"/>
    <x v="18"/>
  </r>
  <r>
    <x v="9"/>
    <s v="IBRD loans and IDA credits (DOD, current US$)"/>
    <n v="0"/>
    <x v="18"/>
  </r>
  <r>
    <x v="10"/>
    <s v="IBRD loans and IDA credits (DOD, current US$)"/>
    <n v="56904000"/>
    <x v="18"/>
  </r>
  <r>
    <x v="11"/>
    <s v="IBRD loans and IDA credits (DOD, current US$)"/>
    <n v="111308000"/>
    <x v="18"/>
  </r>
  <r>
    <x v="12"/>
    <s v="IBRD loans and IDA credits (DOD, current US$)"/>
    <n v="107404000"/>
    <x v="18"/>
  </r>
  <r>
    <x v="13"/>
    <s v="IBRD loans and IDA credits (DOD, current US$)"/>
    <n v="81551000"/>
    <x v="18"/>
  </r>
  <r>
    <x v="14"/>
    <s v="IBRD loans and IDA credits (DOD, current US$)"/>
    <n v="0"/>
    <x v="18"/>
  </r>
  <r>
    <x v="15"/>
    <s v="IBRD loans and IDA credits (DOD, current US$)"/>
    <n v="0"/>
    <x v="18"/>
  </r>
  <r>
    <x v="16"/>
    <s v="IBRD loans and IDA credits (DOD, current US$)"/>
    <n v="85590000"/>
    <x v="18"/>
  </r>
  <r>
    <x v="17"/>
    <s v="IBRD loans and IDA credits (DOD, current US$)"/>
    <n v="32511000"/>
    <x v="18"/>
  </r>
  <r>
    <x v="18"/>
    <s v="IBRD loans and IDA credits (DOD, current US$)"/>
    <n v="103316000"/>
    <x v="18"/>
  </r>
  <r>
    <x v="19"/>
    <s v="IBRD loans and IDA credits (DOD, current US$)"/>
    <n v="36458000"/>
    <x v="18"/>
  </r>
  <r>
    <x v="20"/>
    <s v="IBRD loans and IDA credits (DOD, current US$)"/>
    <n v="36961000"/>
    <x v="18"/>
  </r>
  <r>
    <x v="21"/>
    <s v="IBRD loans and IDA credits (DOD, current US$)"/>
    <n v="0"/>
    <x v="18"/>
  </r>
  <r>
    <x v="22"/>
    <s v="IBRD loans and IDA credits (DOD, current US$)"/>
    <n v="99144000"/>
    <x v="18"/>
  </r>
  <r>
    <x v="23"/>
    <s v="IBRD loans and IDA credits (DOD, current US$)"/>
    <n v="0"/>
    <x v="18"/>
  </r>
  <r>
    <x v="24"/>
    <s v="IBRD loans and IDA credits (DOD, current US$)"/>
    <n v="307836000"/>
    <x v="18"/>
  </r>
  <r>
    <x v="25"/>
    <s v="IBRD loans and IDA credits (DOD, current US$)"/>
    <n v="46615000"/>
    <x v="18"/>
  </r>
  <r>
    <x v="26"/>
    <s v="IBRD loans and IDA credits (DOD, current US$)"/>
    <n v="320382000"/>
    <x v="18"/>
  </r>
  <r>
    <x v="27"/>
    <s v="IBRD loans and IDA credits (DOD, current US$)"/>
    <n v="9049000"/>
    <x v="18"/>
  </r>
  <r>
    <x v="0"/>
    <s v="IBRD loans and IDA credits (DOD, current US$)"/>
    <n v="25397000"/>
    <x v="19"/>
  </r>
  <r>
    <x v="1"/>
    <s v="IBRD loans and IDA credits (DOD, current US$)"/>
    <n v="256713000"/>
    <x v="19"/>
  </r>
  <r>
    <x v="2"/>
    <s v="IBRD loans and IDA credits (DOD, current US$)"/>
    <n v="35771000"/>
    <x v="19"/>
  </r>
  <r>
    <x v="3"/>
    <s v="IBRD loans and IDA credits (DOD, current US$)"/>
    <n v="2463000"/>
    <x v="19"/>
  </r>
  <r>
    <x v="4"/>
    <s v="IBRD loans and IDA credits (DOD, current US$)"/>
    <n v="0"/>
    <x v="19"/>
  </r>
  <r>
    <x v="5"/>
    <s v="IBRD loans and IDA credits (DOD, current US$)"/>
    <n v="280153000"/>
    <x v="19"/>
  </r>
  <r>
    <x v="6"/>
    <s v="IBRD loans and IDA credits (DOD, current US$)"/>
    <n v="80458000"/>
    <x v="19"/>
  </r>
  <r>
    <x v="7"/>
    <s v="IBRD loans and IDA credits (DOD, current US$)"/>
    <n v="53198000"/>
    <x v="19"/>
  </r>
  <r>
    <x v="8"/>
    <s v="IBRD loans and IDA credits (DOD, current US$)"/>
    <n v="422638000"/>
    <x v="19"/>
  </r>
  <r>
    <x v="9"/>
    <s v="IBRD loans and IDA credits (DOD, current US$)"/>
    <n v="0"/>
    <x v="19"/>
  </r>
  <r>
    <x v="10"/>
    <s v="IBRD loans and IDA credits (DOD, current US$)"/>
    <n v="71690000"/>
    <x v="19"/>
  </r>
  <r>
    <x v="11"/>
    <s v="IBRD loans and IDA credits (DOD, current US$)"/>
    <n v="126050000"/>
    <x v="19"/>
  </r>
  <r>
    <x v="12"/>
    <s v="IBRD loans and IDA credits (DOD, current US$)"/>
    <n v="134120000"/>
    <x v="19"/>
  </r>
  <r>
    <x v="13"/>
    <s v="IBRD loans and IDA credits (DOD, current US$)"/>
    <n v="101997000"/>
    <x v="19"/>
  </r>
  <r>
    <x v="14"/>
    <s v="IBRD loans and IDA credits (DOD, current US$)"/>
    <n v="0"/>
    <x v="19"/>
  </r>
  <r>
    <x v="15"/>
    <s v="IBRD loans and IDA credits (DOD, current US$)"/>
    <n v="0"/>
    <x v="19"/>
  </r>
  <r>
    <x v="16"/>
    <s v="IBRD loans and IDA credits (DOD, current US$)"/>
    <n v="123567000"/>
    <x v="19"/>
  </r>
  <r>
    <x v="17"/>
    <s v="IBRD loans and IDA credits (DOD, current US$)"/>
    <n v="51096000"/>
    <x v="19"/>
  </r>
  <r>
    <x v="18"/>
    <s v="IBRD loans and IDA credits (DOD, current US$)"/>
    <n v="107805000"/>
    <x v="19"/>
  </r>
  <r>
    <x v="19"/>
    <s v="IBRD loans and IDA credits (DOD, current US$)"/>
    <n v="48053000"/>
    <x v="19"/>
  </r>
  <r>
    <x v="20"/>
    <s v="IBRD loans and IDA credits (DOD, current US$)"/>
    <n v="47887000"/>
    <x v="19"/>
  </r>
  <r>
    <x v="21"/>
    <s v="IBRD loans and IDA credits (DOD, current US$)"/>
    <n v="0"/>
    <x v="19"/>
  </r>
  <r>
    <x v="22"/>
    <s v="IBRD loans and IDA credits (DOD, current US$)"/>
    <n v="110862000"/>
    <x v="19"/>
  </r>
  <r>
    <x v="23"/>
    <s v="IBRD loans and IDA credits (DOD, current US$)"/>
    <n v="0"/>
    <x v="19"/>
  </r>
  <r>
    <x v="24"/>
    <s v="IBRD loans and IDA credits (DOD, current US$)"/>
    <n v="375983000"/>
    <x v="19"/>
  </r>
  <r>
    <x v="25"/>
    <s v="IBRD loans and IDA credits (DOD, current US$)"/>
    <n v="46990000"/>
    <x v="19"/>
  </r>
  <r>
    <x v="26"/>
    <s v="IBRD loans and IDA credits (DOD, current US$)"/>
    <n v="336119000"/>
    <x v="19"/>
  </r>
  <r>
    <x v="27"/>
    <s v="IBRD loans and IDA credits (DOD, current US$)"/>
    <n v="6180000"/>
    <x v="19"/>
  </r>
  <r>
    <x v="0"/>
    <s v="IBRD loans and IDA credits (DOD, current US$)"/>
    <n v="37007000"/>
    <x v="20"/>
  </r>
  <r>
    <x v="1"/>
    <s v="IBRD loans and IDA credits (DOD, current US$)"/>
    <n v="297945000"/>
    <x v="20"/>
  </r>
  <r>
    <x v="2"/>
    <s v="IBRD loans and IDA credits (DOD, current US$)"/>
    <n v="36133000"/>
    <x v="20"/>
  </r>
  <r>
    <x v="3"/>
    <s v="IBRD loans and IDA credits (DOD, current US$)"/>
    <n v="4220000"/>
    <x v="20"/>
  </r>
  <r>
    <x v="4"/>
    <s v="IBRD loans and IDA credits (DOD, current US$)"/>
    <n v="0"/>
    <x v="20"/>
  </r>
  <r>
    <x v="5"/>
    <s v="IBRD loans and IDA credits (DOD, current US$)"/>
    <n v="304325000"/>
    <x v="20"/>
  </r>
  <r>
    <x v="6"/>
    <s v="IBRD loans and IDA credits (DOD, current US$)"/>
    <n v="87299000"/>
    <x v="20"/>
  </r>
  <r>
    <x v="7"/>
    <s v="IBRD loans and IDA credits (DOD, current US$)"/>
    <n v="66265000"/>
    <x v="20"/>
  </r>
  <r>
    <x v="8"/>
    <s v="IBRD loans and IDA credits (DOD, current US$)"/>
    <n v="528280000"/>
    <x v="20"/>
  </r>
  <r>
    <x v="9"/>
    <s v="IBRD loans and IDA credits (DOD, current US$)"/>
    <n v="0"/>
    <x v="20"/>
  </r>
  <r>
    <x v="10"/>
    <s v="IBRD loans and IDA credits (DOD, current US$)"/>
    <n v="92215000"/>
    <x v="20"/>
  </r>
  <r>
    <x v="11"/>
    <s v="IBRD loans and IDA credits (DOD, current US$)"/>
    <n v="151693000"/>
    <x v="20"/>
  </r>
  <r>
    <x v="12"/>
    <s v="IBRD loans and IDA credits (DOD, current US$)"/>
    <n v="156036000"/>
    <x v="20"/>
  </r>
  <r>
    <x v="13"/>
    <s v="IBRD loans and IDA credits (DOD, current US$)"/>
    <n v="120800000"/>
    <x v="20"/>
  </r>
  <r>
    <x v="14"/>
    <s v="IBRD loans and IDA credits (DOD, current US$)"/>
    <n v="0"/>
    <x v="20"/>
  </r>
  <r>
    <x v="15"/>
    <s v="IBRD loans and IDA credits (DOD, current US$)"/>
    <n v="0"/>
    <x v="20"/>
  </r>
  <r>
    <x v="16"/>
    <s v="IBRD loans and IDA credits (DOD, current US$)"/>
    <n v="146223000"/>
    <x v="20"/>
  </r>
  <r>
    <x v="17"/>
    <s v="IBRD loans and IDA credits (DOD, current US$)"/>
    <n v="76120000"/>
    <x v="20"/>
  </r>
  <r>
    <x v="18"/>
    <s v="IBRD loans and IDA credits (DOD, current US$)"/>
    <n v="134989000"/>
    <x v="20"/>
  </r>
  <r>
    <x v="19"/>
    <s v="IBRD loans and IDA credits (DOD, current US$)"/>
    <n v="66113000"/>
    <x v="20"/>
  </r>
  <r>
    <x v="20"/>
    <s v="IBRD loans and IDA credits (DOD, current US$)"/>
    <n v="58118000"/>
    <x v="20"/>
  </r>
  <r>
    <x v="21"/>
    <s v="IBRD loans and IDA credits (DOD, current US$)"/>
    <n v="0"/>
    <x v="20"/>
  </r>
  <r>
    <x v="22"/>
    <s v="IBRD loans and IDA credits (DOD, current US$)"/>
    <n v="128635000"/>
    <x v="20"/>
  </r>
  <r>
    <x v="23"/>
    <s v="IBRD loans and IDA credits (DOD, current US$)"/>
    <n v="0"/>
    <x v="20"/>
  </r>
  <r>
    <x v="24"/>
    <s v="IBRD loans and IDA credits (DOD, current US$)"/>
    <n v="439843000"/>
    <x v="20"/>
  </r>
  <r>
    <x v="25"/>
    <s v="IBRD loans and IDA credits (DOD, current US$)"/>
    <n v="47033000"/>
    <x v="20"/>
  </r>
  <r>
    <x v="26"/>
    <s v="IBRD loans and IDA credits (DOD, current US$)"/>
    <n v="347797000"/>
    <x v="20"/>
  </r>
  <r>
    <x v="27"/>
    <s v="IBRD loans and IDA credits (DOD, current US$)"/>
    <n v="3166000"/>
    <x v="20"/>
  </r>
  <r>
    <x v="0"/>
    <s v="IBRD loans and IDA credits (DOD, current US$)"/>
    <n v="47353000"/>
    <x v="21"/>
  </r>
  <r>
    <x v="1"/>
    <s v="IBRD loans and IDA credits (DOD, current US$)"/>
    <n v="339965000"/>
    <x v="21"/>
  </r>
  <r>
    <x v="2"/>
    <s v="IBRD loans and IDA credits (DOD, current US$)"/>
    <n v="36133000"/>
    <x v="21"/>
  </r>
  <r>
    <x v="3"/>
    <s v="IBRD loans and IDA credits (DOD, current US$)"/>
    <n v="5619000"/>
    <x v="21"/>
  </r>
  <r>
    <x v="4"/>
    <s v="IBRD loans and IDA credits (DOD, current US$)"/>
    <n v="0"/>
    <x v="21"/>
  </r>
  <r>
    <x v="5"/>
    <s v="IBRD loans and IDA credits (DOD, current US$)"/>
    <n v="327391000"/>
    <x v="21"/>
  </r>
  <r>
    <x v="6"/>
    <s v="IBRD loans and IDA credits (DOD, current US$)"/>
    <n v="97572000"/>
    <x v="21"/>
  </r>
  <r>
    <x v="7"/>
    <s v="IBRD loans and IDA credits (DOD, current US$)"/>
    <n v="82405000"/>
    <x v="21"/>
  </r>
  <r>
    <x v="8"/>
    <s v="IBRD loans and IDA credits (DOD, current US$)"/>
    <n v="585511000"/>
    <x v="21"/>
  </r>
  <r>
    <x v="9"/>
    <s v="IBRD loans and IDA credits (DOD, current US$)"/>
    <n v="0"/>
    <x v="21"/>
  </r>
  <r>
    <x v="10"/>
    <s v="IBRD loans and IDA credits (DOD, current US$)"/>
    <n v="113300000"/>
    <x v="21"/>
  </r>
  <r>
    <x v="11"/>
    <s v="IBRD loans and IDA credits (DOD, current US$)"/>
    <n v="185272000"/>
    <x v="21"/>
  </r>
  <r>
    <x v="12"/>
    <s v="IBRD loans and IDA credits (DOD, current US$)"/>
    <n v="202873000"/>
    <x v="21"/>
  </r>
  <r>
    <x v="13"/>
    <s v="IBRD loans and IDA credits (DOD, current US$)"/>
    <n v="139830000"/>
    <x v="21"/>
  </r>
  <r>
    <x v="14"/>
    <s v="IBRD loans and IDA credits (DOD, current US$)"/>
    <n v="0"/>
    <x v="21"/>
  </r>
  <r>
    <x v="15"/>
    <s v="IBRD loans and IDA credits (DOD, current US$)"/>
    <n v="0"/>
    <x v="21"/>
  </r>
  <r>
    <x v="16"/>
    <s v="IBRD loans and IDA credits (DOD, current US$)"/>
    <n v="185120000"/>
    <x v="21"/>
  </r>
  <r>
    <x v="17"/>
    <s v="IBRD loans and IDA credits (DOD, current US$)"/>
    <n v="108915000"/>
    <x v="21"/>
  </r>
  <r>
    <x v="18"/>
    <s v="IBRD loans and IDA credits (DOD, current US$)"/>
    <n v="170918000"/>
    <x v="21"/>
  </r>
  <r>
    <x v="19"/>
    <s v="IBRD loans and IDA credits (DOD, current US$)"/>
    <n v="78581000"/>
    <x v="21"/>
  </r>
  <r>
    <x v="20"/>
    <s v="IBRD loans and IDA credits (DOD, current US$)"/>
    <n v="65124000"/>
    <x v="21"/>
  </r>
  <r>
    <x v="21"/>
    <s v="IBRD loans and IDA credits (DOD, current US$)"/>
    <n v="0"/>
    <x v="21"/>
  </r>
  <r>
    <x v="22"/>
    <s v="IBRD loans and IDA credits (DOD, current US$)"/>
    <n v="154537000"/>
    <x v="21"/>
  </r>
  <r>
    <x v="23"/>
    <s v="IBRD loans and IDA credits (DOD, current US$)"/>
    <n v="0"/>
    <x v="21"/>
  </r>
  <r>
    <x v="24"/>
    <s v="IBRD loans and IDA credits (DOD, current US$)"/>
    <n v="528956000"/>
    <x v="21"/>
  </r>
  <r>
    <x v="25"/>
    <s v="IBRD loans and IDA credits (DOD, current US$)"/>
    <n v="61200000"/>
    <x v="21"/>
  </r>
  <r>
    <x v="26"/>
    <s v="IBRD loans and IDA credits (DOD, current US$)"/>
    <n v="350814000"/>
    <x v="21"/>
  </r>
  <r>
    <x v="27"/>
    <s v="IBRD loans and IDA credits (DOD, current US$)"/>
    <n v="56012000"/>
    <x v="21"/>
  </r>
  <r>
    <x v="0"/>
    <s v="IBRD loans and IDA credits (DOD, current US$)"/>
    <n v="65457000"/>
    <x v="22"/>
  </r>
  <r>
    <x v="1"/>
    <s v="IBRD loans and IDA credits (DOD, current US$)"/>
    <n v="386229000"/>
    <x v="22"/>
  </r>
  <r>
    <x v="2"/>
    <s v="IBRD loans and IDA credits (DOD, current US$)"/>
    <n v="36101000"/>
    <x v="22"/>
  </r>
  <r>
    <x v="3"/>
    <s v="IBRD loans and IDA credits (DOD, current US$)"/>
    <n v="7473000"/>
    <x v="22"/>
  </r>
  <r>
    <x v="4"/>
    <s v="IBRD loans and IDA credits (DOD, current US$)"/>
    <n v="0"/>
    <x v="22"/>
  </r>
  <r>
    <x v="5"/>
    <s v="IBRD loans and IDA credits (DOD, current US$)"/>
    <n v="350104000"/>
    <x v="22"/>
  </r>
  <r>
    <x v="6"/>
    <s v="IBRD loans and IDA credits (DOD, current US$)"/>
    <n v="105391000"/>
    <x v="22"/>
  </r>
  <r>
    <x v="7"/>
    <s v="IBRD loans and IDA credits (DOD, current US$)"/>
    <n v="96208000"/>
    <x v="22"/>
  </r>
  <r>
    <x v="8"/>
    <s v="IBRD loans and IDA credits (DOD, current US$)"/>
    <n v="742262000"/>
    <x v="22"/>
  </r>
  <r>
    <x v="9"/>
    <s v="IBRD loans and IDA credits (DOD, current US$)"/>
    <n v="0"/>
    <x v="22"/>
  </r>
  <r>
    <x v="10"/>
    <s v="IBRD loans and IDA credits (DOD, current US$)"/>
    <n v="126852000"/>
    <x v="22"/>
  </r>
  <r>
    <x v="11"/>
    <s v="IBRD loans and IDA credits (DOD, current US$)"/>
    <n v="217974000"/>
    <x v="22"/>
  </r>
  <r>
    <x v="12"/>
    <s v="IBRD loans and IDA credits (DOD, current US$)"/>
    <n v="249001000"/>
    <x v="22"/>
  </r>
  <r>
    <x v="13"/>
    <s v="IBRD loans and IDA credits (DOD, current US$)"/>
    <n v="153823000"/>
    <x v="22"/>
  </r>
  <r>
    <x v="14"/>
    <s v="IBRD loans and IDA credits (DOD, current US$)"/>
    <n v="0"/>
    <x v="22"/>
  </r>
  <r>
    <x v="15"/>
    <s v="IBRD loans and IDA credits (DOD, current US$)"/>
    <n v="0"/>
    <x v="22"/>
  </r>
  <r>
    <x v="16"/>
    <s v="IBRD loans and IDA credits (DOD, current US$)"/>
    <n v="233014000"/>
    <x v="22"/>
  </r>
  <r>
    <x v="17"/>
    <s v="IBRD loans and IDA credits (DOD, current US$)"/>
    <n v="142234000"/>
    <x v="22"/>
  </r>
  <r>
    <x v="18"/>
    <s v="IBRD loans and IDA credits (DOD, current US$)"/>
    <n v="184698000"/>
    <x v="22"/>
  </r>
  <r>
    <x v="19"/>
    <s v="IBRD loans and IDA credits (DOD, current US$)"/>
    <n v="91583000"/>
    <x v="22"/>
  </r>
  <r>
    <x v="20"/>
    <s v="IBRD loans and IDA credits (DOD, current US$)"/>
    <n v="76760000"/>
    <x v="22"/>
  </r>
  <r>
    <x v="21"/>
    <s v="IBRD loans and IDA credits (DOD, current US$)"/>
    <n v="0"/>
    <x v="22"/>
  </r>
  <r>
    <x v="22"/>
    <s v="IBRD loans and IDA credits (DOD, current US$)"/>
    <n v="210664000"/>
    <x v="22"/>
  </r>
  <r>
    <x v="23"/>
    <s v="IBRD loans and IDA credits (DOD, current US$)"/>
    <n v="0"/>
    <x v="22"/>
  </r>
  <r>
    <x v="24"/>
    <s v="IBRD loans and IDA credits (DOD, current US$)"/>
    <n v="625498000"/>
    <x v="22"/>
  </r>
  <r>
    <x v="25"/>
    <s v="IBRD loans and IDA credits (DOD, current US$)"/>
    <n v="91842000"/>
    <x v="22"/>
  </r>
  <r>
    <x v="26"/>
    <s v="IBRD loans and IDA credits (DOD, current US$)"/>
    <n v="359486000"/>
    <x v="22"/>
  </r>
  <r>
    <x v="27"/>
    <s v="IBRD loans and IDA credits (DOD, current US$)"/>
    <n v="68817000"/>
    <x v="22"/>
  </r>
  <r>
    <x v="0"/>
    <s v="IBRD loans and IDA credits (DOD, current US$)"/>
    <n v="92308000"/>
    <x v="23"/>
  </r>
  <r>
    <x v="1"/>
    <s v="IBRD loans and IDA credits (DOD, current US$)"/>
    <n v="433644000"/>
    <x v="23"/>
  </r>
  <r>
    <x v="2"/>
    <s v="IBRD loans and IDA credits (DOD, current US$)"/>
    <n v="36449000"/>
    <x v="23"/>
  </r>
  <r>
    <x v="3"/>
    <s v="IBRD loans and IDA credits (DOD, current US$)"/>
    <n v="9437000"/>
    <x v="23"/>
  </r>
  <r>
    <x v="4"/>
    <s v="IBRD loans and IDA credits (DOD, current US$)"/>
    <n v="523000"/>
    <x v="23"/>
  </r>
  <r>
    <x v="5"/>
    <s v="IBRD loans and IDA credits (DOD, current US$)"/>
    <n v="385975000"/>
    <x v="23"/>
  </r>
  <r>
    <x v="6"/>
    <s v="IBRD loans and IDA credits (DOD, current US$)"/>
    <n v="117134000"/>
    <x v="23"/>
  </r>
  <r>
    <x v="7"/>
    <s v="IBRD loans and IDA credits (DOD, current US$)"/>
    <n v="122201000"/>
    <x v="23"/>
  </r>
  <r>
    <x v="8"/>
    <s v="IBRD loans and IDA credits (DOD, current US$)"/>
    <n v="840297000"/>
    <x v="23"/>
  </r>
  <r>
    <x v="9"/>
    <s v="IBRD loans and IDA credits (DOD, current US$)"/>
    <n v="0"/>
    <x v="23"/>
  </r>
  <r>
    <x v="10"/>
    <s v="IBRD loans and IDA credits (DOD, current US$)"/>
    <n v="141576000"/>
    <x v="23"/>
  </r>
  <r>
    <x v="11"/>
    <s v="IBRD loans and IDA credits (DOD, current US$)"/>
    <n v="252773000"/>
    <x v="23"/>
  </r>
  <r>
    <x v="12"/>
    <s v="IBRD loans and IDA credits (DOD, current US$)"/>
    <n v="277240000"/>
    <x v="23"/>
  </r>
  <r>
    <x v="13"/>
    <s v="IBRD loans and IDA credits (DOD, current US$)"/>
    <n v="171881000"/>
    <x v="23"/>
  </r>
  <r>
    <x v="14"/>
    <s v="IBRD loans and IDA credits (DOD, current US$)"/>
    <n v="0"/>
    <x v="23"/>
  </r>
  <r>
    <x v="15"/>
    <s v="IBRD loans and IDA credits (DOD, current US$)"/>
    <n v="0"/>
    <x v="23"/>
  </r>
  <r>
    <x v="16"/>
    <s v="IBRD loans and IDA credits (DOD, current US$)"/>
    <n v="285339000"/>
    <x v="23"/>
  </r>
  <r>
    <x v="17"/>
    <s v="IBRD loans and IDA credits (DOD, current US$)"/>
    <n v="172055000"/>
    <x v="23"/>
  </r>
  <r>
    <x v="18"/>
    <s v="IBRD loans and IDA credits (DOD, current US$)"/>
    <n v="202979000"/>
    <x v="23"/>
  </r>
  <r>
    <x v="19"/>
    <s v="IBRD loans and IDA credits (DOD, current US$)"/>
    <n v="105207000"/>
    <x v="23"/>
  </r>
  <r>
    <x v="20"/>
    <s v="IBRD loans and IDA credits (DOD, current US$)"/>
    <n v="95000000"/>
    <x v="23"/>
  </r>
  <r>
    <x v="21"/>
    <s v="IBRD loans and IDA credits (DOD, current US$)"/>
    <n v="0"/>
    <x v="23"/>
  </r>
  <r>
    <x v="22"/>
    <s v="IBRD loans and IDA credits (DOD, current US$)"/>
    <n v="280544000"/>
    <x v="23"/>
  </r>
  <r>
    <x v="23"/>
    <s v="IBRD loans and IDA credits (DOD, current US$)"/>
    <n v="0"/>
    <x v="23"/>
  </r>
  <r>
    <x v="24"/>
    <s v="IBRD loans and IDA credits (DOD, current US$)"/>
    <n v="698495000"/>
    <x v="23"/>
  </r>
  <r>
    <x v="25"/>
    <s v="IBRD loans and IDA credits (DOD, current US$)"/>
    <n v="123341000"/>
    <x v="23"/>
  </r>
  <r>
    <x v="26"/>
    <s v="IBRD loans and IDA credits (DOD, current US$)"/>
    <n v="366312000"/>
    <x v="23"/>
  </r>
  <r>
    <x v="27"/>
    <s v="IBRD loans and IDA credits (DOD, current US$)"/>
    <n v="112993000"/>
    <x v="23"/>
  </r>
  <r>
    <x v="0"/>
    <s v="IBRD loans and IDA credits (DOD, current US$)"/>
    <n v="116798000"/>
    <x v="24"/>
  </r>
  <r>
    <x v="1"/>
    <s v="IBRD loans and IDA credits (DOD, current US$)"/>
    <n v="430168000"/>
    <x v="24"/>
  </r>
  <r>
    <x v="2"/>
    <s v="IBRD loans and IDA credits (DOD, current US$)"/>
    <n v="39888000"/>
    <x v="24"/>
  </r>
  <r>
    <x v="3"/>
    <s v="IBRD loans and IDA credits (DOD, current US$)"/>
    <n v="12886000"/>
    <x v="24"/>
  </r>
  <r>
    <x v="4"/>
    <s v="IBRD loans and IDA credits (DOD, current US$)"/>
    <n v="1247000"/>
    <x v="24"/>
  </r>
  <r>
    <x v="5"/>
    <s v="IBRD loans and IDA credits (DOD, current US$)"/>
    <n v="422367000"/>
    <x v="24"/>
  </r>
  <r>
    <x v="6"/>
    <s v="IBRD loans and IDA credits (DOD, current US$)"/>
    <n v="138297000"/>
    <x v="24"/>
  </r>
  <r>
    <x v="7"/>
    <s v="IBRD loans and IDA credits (DOD, current US$)"/>
    <n v="150359000"/>
    <x v="24"/>
  </r>
  <r>
    <x v="8"/>
    <s v="IBRD loans and IDA credits (DOD, current US$)"/>
    <n v="946065000"/>
    <x v="24"/>
  </r>
  <r>
    <x v="9"/>
    <s v="IBRD loans and IDA credits (DOD, current US$)"/>
    <n v="0"/>
    <x v="24"/>
  </r>
  <r>
    <x v="10"/>
    <s v="IBRD loans and IDA credits (DOD, current US$)"/>
    <n v="143702000"/>
    <x v="24"/>
  </r>
  <r>
    <x v="11"/>
    <s v="IBRD loans and IDA credits (DOD, current US$)"/>
    <n v="276463000"/>
    <x v="24"/>
  </r>
  <r>
    <x v="12"/>
    <s v="IBRD loans and IDA credits (DOD, current US$)"/>
    <n v="335812000"/>
    <x v="24"/>
  </r>
  <r>
    <x v="13"/>
    <s v="IBRD loans and IDA credits (DOD, current US$)"/>
    <n v="190893000"/>
    <x v="24"/>
  </r>
  <r>
    <x v="14"/>
    <s v="IBRD loans and IDA credits (DOD, current US$)"/>
    <n v="0"/>
    <x v="24"/>
  </r>
  <r>
    <x v="15"/>
    <s v="IBRD loans and IDA credits (DOD, current US$)"/>
    <n v="0"/>
    <x v="24"/>
  </r>
  <r>
    <x v="16"/>
    <s v="IBRD loans and IDA credits (DOD, current US$)"/>
    <n v="359125000"/>
    <x v="24"/>
  </r>
  <r>
    <x v="17"/>
    <s v="IBRD loans and IDA credits (DOD, current US$)"/>
    <n v="200021000"/>
    <x v="24"/>
  </r>
  <r>
    <x v="18"/>
    <s v="IBRD loans and IDA credits (DOD, current US$)"/>
    <n v="192796000"/>
    <x v="24"/>
  </r>
  <r>
    <x v="19"/>
    <s v="IBRD loans and IDA credits (DOD, current US$)"/>
    <n v="121224000"/>
    <x v="24"/>
  </r>
  <r>
    <x v="20"/>
    <s v="IBRD loans and IDA credits (DOD, current US$)"/>
    <n v="118119000"/>
    <x v="24"/>
  </r>
  <r>
    <x v="21"/>
    <s v="IBRD loans and IDA credits (DOD, current US$)"/>
    <n v="0"/>
    <x v="24"/>
  </r>
  <r>
    <x v="22"/>
    <s v="IBRD loans and IDA credits (DOD, current US$)"/>
    <n v="361794000"/>
    <x v="24"/>
  </r>
  <r>
    <x v="23"/>
    <s v="IBRD loans and IDA credits (DOD, current US$)"/>
    <n v="0"/>
    <x v="24"/>
  </r>
  <r>
    <x v="24"/>
    <s v="IBRD loans and IDA credits (DOD, current US$)"/>
    <n v="724087000"/>
    <x v="24"/>
  </r>
  <r>
    <x v="25"/>
    <s v="IBRD loans and IDA credits (DOD, current US$)"/>
    <n v="212592000"/>
    <x v="24"/>
  </r>
  <r>
    <x v="26"/>
    <s v="IBRD loans and IDA credits (DOD, current US$)"/>
    <n v="323266000"/>
    <x v="24"/>
  </r>
  <r>
    <x v="27"/>
    <s v="IBRD loans and IDA credits (DOD, current US$)"/>
    <n v="150761000"/>
    <x v="24"/>
  </r>
  <r>
    <x v="0"/>
    <s v="IBRD loans and IDA credits (DOD, current US$)"/>
    <n v="139704000"/>
    <x v="25"/>
  </r>
  <r>
    <x v="1"/>
    <s v="IBRD loans and IDA credits (DOD, current US$)"/>
    <n v="513670000"/>
    <x v="25"/>
  </r>
  <r>
    <x v="2"/>
    <s v="IBRD loans and IDA credits (DOD, current US$)"/>
    <n v="39914000"/>
    <x v="25"/>
  </r>
  <r>
    <x v="3"/>
    <s v="IBRD loans and IDA credits (DOD, current US$)"/>
    <n v="19486000"/>
    <x v="25"/>
  </r>
  <r>
    <x v="4"/>
    <s v="IBRD loans and IDA credits (DOD, current US$)"/>
    <n v="6830000"/>
    <x v="25"/>
  </r>
  <r>
    <x v="5"/>
    <s v="IBRD loans and IDA credits (DOD, current US$)"/>
    <n v="485457000"/>
    <x v="25"/>
  </r>
  <r>
    <x v="6"/>
    <s v="IBRD loans and IDA credits (DOD, current US$)"/>
    <n v="171728000"/>
    <x v="25"/>
  </r>
  <r>
    <x v="7"/>
    <s v="IBRD loans and IDA credits (DOD, current US$)"/>
    <n v="173896000"/>
    <x v="25"/>
  </r>
  <r>
    <x v="8"/>
    <s v="IBRD loans and IDA credits (DOD, current US$)"/>
    <n v="1159344000"/>
    <x v="25"/>
  </r>
  <r>
    <x v="9"/>
    <s v="IBRD loans and IDA credits (DOD, current US$)"/>
    <n v="0"/>
    <x v="25"/>
  </r>
  <r>
    <x v="10"/>
    <s v="IBRD loans and IDA credits (DOD, current US$)"/>
    <n v="176356000"/>
    <x v="25"/>
  </r>
  <r>
    <x v="11"/>
    <s v="IBRD loans and IDA credits (DOD, current US$)"/>
    <n v="343384000"/>
    <x v="25"/>
  </r>
  <r>
    <x v="12"/>
    <s v="IBRD loans and IDA credits (DOD, current US$)"/>
    <n v="391323000"/>
    <x v="25"/>
  </r>
  <r>
    <x v="13"/>
    <s v="IBRD loans and IDA credits (DOD, current US$)"/>
    <n v="224441000"/>
    <x v="25"/>
  </r>
  <r>
    <x v="14"/>
    <s v="IBRD loans and IDA credits (DOD, current US$)"/>
    <n v="0"/>
    <x v="25"/>
  </r>
  <r>
    <x v="15"/>
    <s v="IBRD loans and IDA credits (DOD, current US$)"/>
    <n v="5086000"/>
    <x v="25"/>
  </r>
  <r>
    <x v="16"/>
    <s v="IBRD loans and IDA credits (DOD, current US$)"/>
    <n v="411121000"/>
    <x v="25"/>
  </r>
  <r>
    <x v="17"/>
    <s v="IBRD loans and IDA credits (DOD, current US$)"/>
    <n v="236030000"/>
    <x v="25"/>
  </r>
  <r>
    <x v="18"/>
    <s v="IBRD loans and IDA credits (DOD, current US$)"/>
    <n v="222284000"/>
    <x v="25"/>
  </r>
  <r>
    <x v="19"/>
    <s v="IBRD loans and IDA credits (DOD, current US$)"/>
    <n v="146690000"/>
    <x v="25"/>
  </r>
  <r>
    <x v="20"/>
    <s v="IBRD loans and IDA credits (DOD, current US$)"/>
    <n v="151876000"/>
    <x v="25"/>
  </r>
  <r>
    <x v="21"/>
    <s v="IBRD loans and IDA credits (DOD, current US$)"/>
    <n v="0"/>
    <x v="25"/>
  </r>
  <r>
    <x v="22"/>
    <s v="IBRD loans and IDA credits (DOD, current US$)"/>
    <n v="458392000"/>
    <x v="25"/>
  </r>
  <r>
    <x v="23"/>
    <s v="IBRD loans and IDA credits (DOD, current US$)"/>
    <n v="0"/>
    <x v="25"/>
  </r>
  <r>
    <x v="24"/>
    <s v="IBRD loans and IDA credits (DOD, current US$)"/>
    <n v="833955000"/>
    <x v="25"/>
  </r>
  <r>
    <x v="25"/>
    <s v="IBRD loans and IDA credits (DOD, current US$)"/>
    <n v="322267000"/>
    <x v="25"/>
  </r>
  <r>
    <x v="26"/>
    <s v="IBRD loans and IDA credits (DOD, current US$)"/>
    <n v="474788000"/>
    <x v="25"/>
  </r>
  <r>
    <x v="27"/>
    <s v="IBRD loans and IDA credits (DOD, current US$)"/>
    <n v="234830000"/>
    <x v="25"/>
  </r>
  <r>
    <x v="0"/>
    <s v="IBRD loans and IDA credits (DOD, current US$)"/>
    <n v="191033000"/>
    <x v="26"/>
  </r>
  <r>
    <x v="1"/>
    <s v="IBRD loans and IDA credits (DOD, current US$)"/>
    <n v="632558000"/>
    <x v="26"/>
  </r>
  <r>
    <x v="2"/>
    <s v="IBRD loans and IDA credits (DOD, current US$)"/>
    <n v="47984000"/>
    <x v="26"/>
  </r>
  <r>
    <x v="3"/>
    <s v="IBRD loans and IDA credits (DOD, current US$)"/>
    <n v="25633000"/>
    <x v="26"/>
  </r>
  <r>
    <x v="4"/>
    <s v="IBRD loans and IDA credits (DOD, current US$)"/>
    <n v="11426000"/>
    <x v="26"/>
  </r>
  <r>
    <x v="5"/>
    <s v="IBRD loans and IDA credits (DOD, current US$)"/>
    <n v="540083000"/>
    <x v="26"/>
  </r>
  <r>
    <x v="6"/>
    <s v="IBRD loans and IDA credits (DOD, current US$)"/>
    <n v="220680000"/>
    <x v="26"/>
  </r>
  <r>
    <x v="7"/>
    <s v="IBRD loans and IDA credits (DOD, current US$)"/>
    <n v="209307000"/>
    <x v="26"/>
  </r>
  <r>
    <x v="8"/>
    <s v="IBRD loans and IDA credits (DOD, current US$)"/>
    <n v="1382122000"/>
    <x v="26"/>
  </r>
  <r>
    <x v="9"/>
    <s v="IBRD loans and IDA credits (DOD, current US$)"/>
    <n v="0"/>
    <x v="26"/>
  </r>
  <r>
    <x v="10"/>
    <s v="IBRD loans and IDA credits (DOD, current US$)"/>
    <n v="208669000"/>
    <x v="26"/>
  </r>
  <r>
    <x v="11"/>
    <s v="IBRD loans and IDA credits (DOD, current US$)"/>
    <n v="453461000"/>
    <x v="26"/>
  </r>
  <r>
    <x v="12"/>
    <s v="IBRD loans and IDA credits (DOD, current US$)"/>
    <n v="506269000"/>
    <x v="26"/>
  </r>
  <r>
    <x v="13"/>
    <s v="IBRD loans and IDA credits (DOD, current US$)"/>
    <n v="276751000"/>
    <x v="26"/>
  </r>
  <r>
    <x v="14"/>
    <s v="IBRD loans and IDA credits (DOD, current US$)"/>
    <n v="0"/>
    <x v="26"/>
  </r>
  <r>
    <x v="15"/>
    <s v="IBRD loans and IDA credits (DOD, current US$)"/>
    <n v="30063000"/>
    <x v="26"/>
  </r>
  <r>
    <x v="16"/>
    <s v="IBRD loans and IDA credits (DOD, current US$)"/>
    <n v="487532000"/>
    <x v="26"/>
  </r>
  <r>
    <x v="17"/>
    <s v="IBRD loans and IDA credits (DOD, current US$)"/>
    <n v="295427000"/>
    <x v="26"/>
  </r>
  <r>
    <x v="18"/>
    <s v="IBRD loans and IDA credits (DOD, current US$)"/>
    <n v="260019000"/>
    <x v="26"/>
  </r>
  <r>
    <x v="19"/>
    <s v="IBRD loans and IDA credits (DOD, current US$)"/>
    <n v="190870000"/>
    <x v="26"/>
  </r>
  <r>
    <x v="20"/>
    <s v="IBRD loans and IDA credits (DOD, current US$)"/>
    <n v="195103000"/>
    <x v="26"/>
  </r>
  <r>
    <x v="21"/>
    <s v="IBRD loans and IDA credits (DOD, current US$)"/>
    <n v="842000"/>
    <x v="26"/>
  </r>
  <r>
    <x v="22"/>
    <s v="IBRD loans and IDA credits (DOD, current US$)"/>
    <n v="570868000"/>
    <x v="26"/>
  </r>
  <r>
    <x v="23"/>
    <s v="IBRD loans and IDA credits (DOD, current US$)"/>
    <n v="0"/>
    <x v="26"/>
  </r>
  <r>
    <x v="24"/>
    <s v="IBRD loans and IDA credits (DOD, current US$)"/>
    <n v="961317000"/>
    <x v="26"/>
  </r>
  <r>
    <x v="25"/>
    <s v="IBRD loans and IDA credits (DOD, current US$)"/>
    <n v="412954000"/>
    <x v="26"/>
  </r>
  <r>
    <x v="26"/>
    <s v="IBRD loans and IDA credits (DOD, current US$)"/>
    <n v="649959000"/>
    <x v="26"/>
  </r>
  <r>
    <x v="27"/>
    <s v="IBRD loans and IDA credits (DOD, current US$)"/>
    <n v="327186000"/>
    <x v="26"/>
  </r>
  <r>
    <x v="0"/>
    <s v="IBRD loans and IDA credits (DOD, current US$)"/>
    <n v="251839000"/>
    <x v="27"/>
  </r>
  <r>
    <x v="1"/>
    <s v="IBRD loans and IDA credits (DOD, current US$)"/>
    <n v="783713000"/>
    <x v="27"/>
  </r>
  <r>
    <x v="2"/>
    <s v="IBRD loans and IDA credits (DOD, current US$)"/>
    <n v="61319000"/>
    <x v="27"/>
  </r>
  <r>
    <x v="3"/>
    <s v="IBRD loans and IDA credits (DOD, current US$)"/>
    <n v="33115000"/>
    <x v="27"/>
  </r>
  <r>
    <x v="4"/>
    <s v="IBRD loans and IDA credits (DOD, current US$)"/>
    <n v="20748000"/>
    <x v="27"/>
  </r>
  <r>
    <x v="5"/>
    <s v="IBRD loans and IDA credits (DOD, current US$)"/>
    <n v="657817000"/>
    <x v="27"/>
  </r>
  <r>
    <x v="6"/>
    <s v="IBRD loans and IDA credits (DOD, current US$)"/>
    <n v="281978000"/>
    <x v="27"/>
  </r>
  <r>
    <x v="7"/>
    <s v="IBRD loans and IDA credits (DOD, current US$)"/>
    <n v="280047000"/>
    <x v="27"/>
  </r>
  <r>
    <x v="8"/>
    <s v="IBRD loans and IDA credits (DOD, current US$)"/>
    <n v="1681417000"/>
    <x v="27"/>
  </r>
  <r>
    <x v="9"/>
    <s v="IBRD loans and IDA credits (DOD, current US$)"/>
    <n v="0"/>
    <x v="27"/>
  </r>
  <r>
    <x v="10"/>
    <s v="IBRD loans and IDA credits (DOD, current US$)"/>
    <n v="251791000"/>
    <x v="27"/>
  </r>
  <r>
    <x v="11"/>
    <s v="IBRD loans and IDA credits (DOD, current US$)"/>
    <n v="585528000"/>
    <x v="27"/>
  </r>
  <r>
    <x v="12"/>
    <s v="IBRD loans and IDA credits (DOD, current US$)"/>
    <n v="613584000"/>
    <x v="27"/>
  </r>
  <r>
    <x v="13"/>
    <s v="IBRD loans and IDA credits (DOD, current US$)"/>
    <n v="339660000"/>
    <x v="27"/>
  </r>
  <r>
    <x v="14"/>
    <s v="IBRD loans and IDA credits (DOD, current US$)"/>
    <n v="0"/>
    <x v="27"/>
  </r>
  <r>
    <x v="15"/>
    <s v="IBRD loans and IDA credits (DOD, current US$)"/>
    <n v="87193000"/>
    <x v="27"/>
  </r>
  <r>
    <x v="16"/>
    <s v="IBRD loans and IDA credits (DOD, current US$)"/>
    <n v="553048000"/>
    <x v="27"/>
  </r>
  <r>
    <x v="17"/>
    <s v="IBRD loans and IDA credits (DOD, current US$)"/>
    <n v="391848000"/>
    <x v="27"/>
  </r>
  <r>
    <x v="18"/>
    <s v="IBRD loans and IDA credits (DOD, current US$)"/>
    <n v="307924000"/>
    <x v="27"/>
  </r>
  <r>
    <x v="19"/>
    <s v="IBRD loans and IDA credits (DOD, current US$)"/>
    <n v="272823000"/>
    <x v="27"/>
  </r>
  <r>
    <x v="20"/>
    <s v="IBRD loans and IDA credits (DOD, current US$)"/>
    <n v="251176000"/>
    <x v="27"/>
  </r>
  <r>
    <x v="21"/>
    <s v="IBRD loans and IDA credits (DOD, current US$)"/>
    <n v="3147000"/>
    <x v="27"/>
  </r>
  <r>
    <x v="22"/>
    <s v="IBRD loans and IDA credits (DOD, current US$)"/>
    <n v="707403000"/>
    <x v="27"/>
  </r>
  <r>
    <x v="23"/>
    <s v="IBRD loans and IDA credits (DOD, current US$)"/>
    <n v="0"/>
    <x v="27"/>
  </r>
  <r>
    <x v="24"/>
    <s v="IBRD loans and IDA credits (DOD, current US$)"/>
    <n v="1125620000"/>
    <x v="27"/>
  </r>
  <r>
    <x v="25"/>
    <s v="IBRD loans and IDA credits (DOD, current US$)"/>
    <n v="584125000"/>
    <x v="27"/>
  </r>
  <r>
    <x v="26"/>
    <s v="IBRD loans and IDA credits (DOD, current US$)"/>
    <n v="814492000"/>
    <x v="27"/>
  </r>
  <r>
    <x v="27"/>
    <s v="IBRD loans and IDA credits (DOD, current US$)"/>
    <n v="430968000"/>
    <x v="27"/>
  </r>
  <r>
    <x v="0"/>
    <s v="IBRD loans and IDA credits (DOD, current US$)"/>
    <n v="287485000"/>
    <x v="28"/>
  </r>
  <r>
    <x v="1"/>
    <s v="IBRD loans and IDA credits (DOD, current US$)"/>
    <n v="748384000"/>
    <x v="28"/>
  </r>
  <r>
    <x v="2"/>
    <s v="IBRD loans and IDA credits (DOD, current US$)"/>
    <n v="97617000"/>
    <x v="28"/>
  </r>
  <r>
    <x v="3"/>
    <s v="IBRD loans and IDA credits (DOD, current US$)"/>
    <n v="33879000"/>
    <x v="28"/>
  </r>
  <r>
    <x v="4"/>
    <s v="IBRD loans and IDA credits (DOD, current US$)"/>
    <n v="25018000"/>
    <x v="28"/>
  </r>
  <r>
    <x v="5"/>
    <s v="IBRD loans and IDA credits (DOD, current US$)"/>
    <n v="699891000"/>
    <x v="28"/>
  </r>
  <r>
    <x v="6"/>
    <s v="IBRD loans and IDA credits (DOD, current US$)"/>
    <n v="304404000"/>
    <x v="28"/>
  </r>
  <r>
    <x v="7"/>
    <s v="IBRD loans and IDA credits (DOD, current US$)"/>
    <n v="285253000"/>
    <x v="28"/>
  </r>
  <r>
    <x v="8"/>
    <s v="IBRD loans and IDA credits (DOD, current US$)"/>
    <n v="1645746000"/>
    <x v="28"/>
  </r>
  <r>
    <x v="9"/>
    <s v="IBRD loans and IDA credits (DOD, current US$)"/>
    <n v="0"/>
    <x v="28"/>
  </r>
  <r>
    <x v="10"/>
    <s v="IBRD loans and IDA credits (DOD, current US$)"/>
    <n v="236252000"/>
    <x v="28"/>
  </r>
  <r>
    <x v="11"/>
    <s v="IBRD loans and IDA credits (DOD, current US$)"/>
    <n v="636995000"/>
    <x v="28"/>
  </r>
  <r>
    <x v="12"/>
    <s v="IBRD loans and IDA credits (DOD, current US$)"/>
    <n v="654209000"/>
    <x v="28"/>
  </r>
  <r>
    <x v="13"/>
    <s v="IBRD loans and IDA credits (DOD, current US$)"/>
    <n v="389969000"/>
    <x v="28"/>
  </r>
  <r>
    <x v="14"/>
    <s v="IBRD loans and IDA credits (DOD, current US$)"/>
    <n v="0"/>
    <x v="28"/>
  </r>
  <r>
    <x v="15"/>
    <s v="IBRD loans and IDA credits (DOD, current US$)"/>
    <n v="126780000"/>
    <x v="28"/>
  </r>
  <r>
    <x v="16"/>
    <s v="IBRD loans and IDA credits (DOD, current US$)"/>
    <n v="593661000"/>
    <x v="28"/>
  </r>
  <r>
    <x v="17"/>
    <s v="IBRD loans and IDA credits (DOD, current US$)"/>
    <n v="466017000"/>
    <x v="28"/>
  </r>
  <r>
    <x v="18"/>
    <s v="IBRD loans and IDA credits (DOD, current US$)"/>
    <n v="287260000"/>
    <x v="28"/>
  </r>
  <r>
    <x v="19"/>
    <s v="IBRD loans and IDA credits (DOD, current US$)"/>
    <n v="348185000"/>
    <x v="28"/>
  </r>
  <r>
    <x v="20"/>
    <s v="IBRD loans and IDA credits (DOD, current US$)"/>
    <n v="273930000"/>
    <x v="28"/>
  </r>
  <r>
    <x v="21"/>
    <s v="IBRD loans and IDA credits (DOD, current US$)"/>
    <n v="10083000"/>
    <x v="28"/>
  </r>
  <r>
    <x v="22"/>
    <s v="IBRD loans and IDA credits (DOD, current US$)"/>
    <n v="741093000"/>
    <x v="28"/>
  </r>
  <r>
    <x v="23"/>
    <s v="IBRD loans and IDA credits (DOD, current US$)"/>
    <n v="0"/>
    <x v="28"/>
  </r>
  <r>
    <x v="24"/>
    <s v="IBRD loans and IDA credits (DOD, current US$)"/>
    <n v="1193393000"/>
    <x v="28"/>
  </r>
  <r>
    <x v="25"/>
    <s v="IBRD loans and IDA credits (DOD, current US$)"/>
    <n v="628555000"/>
    <x v="28"/>
  </r>
  <r>
    <x v="26"/>
    <s v="IBRD loans and IDA credits (DOD, current US$)"/>
    <n v="761429000"/>
    <x v="28"/>
  </r>
  <r>
    <x v="27"/>
    <s v="IBRD loans and IDA credits (DOD, current US$)"/>
    <n v="407367000"/>
    <x v="28"/>
  </r>
  <r>
    <x v="0"/>
    <s v="IBRD loans and IDA credits (DOD, current US$)"/>
    <n v="328002000"/>
    <x v="29"/>
  </r>
  <r>
    <x v="1"/>
    <s v="IBRD loans and IDA credits (DOD, current US$)"/>
    <n v="811035000"/>
    <x v="29"/>
  </r>
  <r>
    <x v="2"/>
    <s v="IBRD loans and IDA credits (DOD, current US$)"/>
    <n v="129930000"/>
    <x v="29"/>
  </r>
  <r>
    <x v="3"/>
    <s v="IBRD loans and IDA credits (DOD, current US$)"/>
    <n v="34757000"/>
    <x v="29"/>
  </r>
  <r>
    <x v="4"/>
    <s v="IBRD loans and IDA credits (DOD, current US$)"/>
    <n v="26347000"/>
    <x v="29"/>
  </r>
  <r>
    <x v="5"/>
    <s v="IBRD loans and IDA credits (DOD, current US$)"/>
    <n v="749155000"/>
    <x v="29"/>
  </r>
  <r>
    <x v="6"/>
    <s v="IBRD loans and IDA credits (DOD, current US$)"/>
    <n v="354032000"/>
    <x v="29"/>
  </r>
  <r>
    <x v="7"/>
    <s v="IBRD loans and IDA credits (DOD, current US$)"/>
    <n v="293803000"/>
    <x v="29"/>
  </r>
  <r>
    <x v="8"/>
    <s v="IBRD loans and IDA credits (DOD, current US$)"/>
    <n v="1782109000"/>
    <x v="29"/>
  </r>
  <r>
    <x v="9"/>
    <s v="IBRD loans and IDA credits (DOD, current US$)"/>
    <n v="0"/>
    <x v="29"/>
  </r>
  <r>
    <x v="10"/>
    <s v="IBRD loans and IDA credits (DOD, current US$)"/>
    <n v="231420000"/>
    <x v="29"/>
  </r>
  <r>
    <x v="11"/>
    <s v="IBRD loans and IDA credits (DOD, current US$)"/>
    <n v="697209000"/>
    <x v="29"/>
  </r>
  <r>
    <x v="12"/>
    <s v="IBRD loans and IDA credits (DOD, current US$)"/>
    <n v="716626000"/>
    <x v="29"/>
  </r>
  <r>
    <x v="13"/>
    <s v="IBRD loans and IDA credits (DOD, current US$)"/>
    <n v="432098000"/>
    <x v="29"/>
  </r>
  <r>
    <x v="14"/>
    <s v="IBRD loans and IDA credits (DOD, current US$)"/>
    <n v="0"/>
    <x v="29"/>
  </r>
  <r>
    <x v="15"/>
    <s v="IBRD loans and IDA credits (DOD, current US$)"/>
    <n v="175901000"/>
    <x v="29"/>
  </r>
  <r>
    <x v="16"/>
    <s v="IBRD loans and IDA credits (DOD, current US$)"/>
    <n v="652855000"/>
    <x v="29"/>
  </r>
  <r>
    <x v="17"/>
    <s v="IBRD loans and IDA credits (DOD, current US$)"/>
    <n v="571566000"/>
    <x v="29"/>
  </r>
  <r>
    <x v="18"/>
    <s v="IBRD loans and IDA credits (DOD, current US$)"/>
    <n v="280919000"/>
    <x v="29"/>
  </r>
  <r>
    <x v="19"/>
    <s v="IBRD loans and IDA credits (DOD, current US$)"/>
    <n v="382941000"/>
    <x v="29"/>
  </r>
  <r>
    <x v="20"/>
    <s v="IBRD loans and IDA credits (DOD, current US$)"/>
    <n v="302097000"/>
    <x v="29"/>
  </r>
  <r>
    <x v="21"/>
    <s v="IBRD loans and IDA credits (DOD, current US$)"/>
    <n v="16818000"/>
    <x v="29"/>
  </r>
  <r>
    <x v="22"/>
    <s v="IBRD loans and IDA credits (DOD, current US$)"/>
    <n v="784627000"/>
    <x v="29"/>
  </r>
  <r>
    <x v="23"/>
    <s v="IBRD loans and IDA credits (DOD, current US$)"/>
    <n v="0"/>
    <x v="29"/>
  </r>
  <r>
    <x v="24"/>
    <s v="IBRD loans and IDA credits (DOD, current US$)"/>
    <n v="1267133000"/>
    <x v="29"/>
  </r>
  <r>
    <x v="25"/>
    <s v="IBRD loans and IDA credits (DOD, current US$)"/>
    <n v="709562000"/>
    <x v="29"/>
  </r>
  <r>
    <x v="26"/>
    <s v="IBRD loans and IDA credits (DOD, current US$)"/>
    <n v="753802000"/>
    <x v="29"/>
  </r>
  <r>
    <x v="27"/>
    <s v="IBRD loans and IDA credits (DOD, current US$)"/>
    <n v="414829000"/>
    <x v="29"/>
  </r>
  <r>
    <x v="0"/>
    <s v="IBRD loans and IDA credits (DOD, current US$)"/>
    <n v="397964000"/>
    <x v="30"/>
  </r>
  <r>
    <x v="1"/>
    <s v="IBRD loans and IDA credits (DOD, current US$)"/>
    <n v="889397000"/>
    <x v="30"/>
  </r>
  <r>
    <x v="2"/>
    <s v="IBRD loans and IDA credits (DOD, current US$)"/>
    <n v="186390000"/>
    <x v="30"/>
  </r>
  <r>
    <x v="3"/>
    <s v="IBRD loans and IDA credits (DOD, current US$)"/>
    <n v="37511000"/>
    <x v="30"/>
  </r>
  <r>
    <x v="4"/>
    <s v="IBRD loans and IDA credits (DOD, current US$)"/>
    <n v="31116000"/>
    <x v="30"/>
  </r>
  <r>
    <x v="5"/>
    <s v="IBRD loans and IDA credits (DOD, current US$)"/>
    <n v="850931000"/>
    <x v="30"/>
  </r>
  <r>
    <x v="6"/>
    <s v="IBRD loans and IDA credits (DOD, current US$)"/>
    <n v="419432000"/>
    <x v="30"/>
  </r>
  <r>
    <x v="7"/>
    <s v="IBRD loans and IDA credits (DOD, current US$)"/>
    <n v="323581000"/>
    <x v="30"/>
  </r>
  <r>
    <x v="8"/>
    <s v="IBRD loans and IDA credits (DOD, current US$)"/>
    <n v="2056036000"/>
    <x v="30"/>
  </r>
  <r>
    <x v="9"/>
    <s v="IBRD loans and IDA credits (DOD, current US$)"/>
    <n v="0"/>
    <x v="30"/>
  </r>
  <r>
    <x v="10"/>
    <s v="IBRD loans and IDA credits (DOD, current US$)"/>
    <n v="248174000"/>
    <x v="30"/>
  </r>
  <r>
    <x v="11"/>
    <s v="IBRD loans and IDA credits (DOD, current US$)"/>
    <n v="796602000"/>
    <x v="30"/>
  </r>
  <r>
    <x v="12"/>
    <s v="IBRD loans and IDA credits (DOD, current US$)"/>
    <n v="854263000"/>
    <x v="30"/>
  </r>
  <r>
    <x v="13"/>
    <s v="IBRD loans and IDA credits (DOD, current US$)"/>
    <n v="497613000"/>
    <x v="30"/>
  </r>
  <r>
    <x v="14"/>
    <s v="IBRD loans and IDA credits (DOD, current US$)"/>
    <n v="0"/>
    <x v="30"/>
  </r>
  <r>
    <x v="15"/>
    <s v="IBRD loans and IDA credits (DOD, current US$)"/>
    <n v="267939000"/>
    <x v="30"/>
  </r>
  <r>
    <x v="16"/>
    <s v="IBRD loans and IDA credits (DOD, current US$)"/>
    <n v="716161000"/>
    <x v="30"/>
  </r>
  <r>
    <x v="17"/>
    <s v="IBRD loans and IDA credits (DOD, current US$)"/>
    <n v="667474000"/>
    <x v="30"/>
  </r>
  <r>
    <x v="18"/>
    <s v="IBRD loans and IDA credits (DOD, current US$)"/>
    <n v="299363000"/>
    <x v="30"/>
  </r>
  <r>
    <x v="19"/>
    <s v="IBRD loans and IDA credits (DOD, current US$)"/>
    <n v="460638000"/>
    <x v="30"/>
  </r>
  <r>
    <x v="20"/>
    <s v="IBRD loans and IDA credits (DOD, current US$)"/>
    <n v="339899000"/>
    <x v="30"/>
  </r>
  <r>
    <x v="21"/>
    <s v="IBRD loans and IDA credits (DOD, current US$)"/>
    <n v="23872000"/>
    <x v="30"/>
  </r>
  <r>
    <x v="22"/>
    <s v="IBRD loans and IDA credits (DOD, current US$)"/>
    <n v="946328000"/>
    <x v="30"/>
  </r>
  <r>
    <x v="23"/>
    <s v="IBRD loans and IDA credits (DOD, current US$)"/>
    <n v="0"/>
    <x v="30"/>
  </r>
  <r>
    <x v="24"/>
    <s v="IBRD loans and IDA credits (DOD, current US$)"/>
    <n v="1492842000"/>
    <x v="30"/>
  </r>
  <r>
    <x v="25"/>
    <s v="IBRD loans and IDA credits (DOD, current US$)"/>
    <n v="969247000"/>
    <x v="30"/>
  </r>
  <r>
    <x v="26"/>
    <s v="IBRD loans and IDA credits (DOD, current US$)"/>
    <n v="812715000"/>
    <x v="30"/>
  </r>
  <r>
    <x v="27"/>
    <s v="IBRD loans and IDA credits (DOD, current US$)"/>
    <n v="448694000"/>
    <x v="30"/>
  </r>
  <r>
    <x v="0"/>
    <s v="IBRD loans and IDA credits (DOD, current US$)"/>
    <n v="439692000"/>
    <x v="31"/>
  </r>
  <r>
    <x v="1"/>
    <s v="IBRD loans and IDA credits (DOD, current US$)"/>
    <n v="958032000"/>
    <x v="31"/>
  </r>
  <r>
    <x v="2"/>
    <s v="IBRD loans and IDA credits (DOD, current US$)"/>
    <n v="234939000"/>
    <x v="31"/>
  </r>
  <r>
    <x v="3"/>
    <s v="IBRD loans and IDA credits (DOD, current US$)"/>
    <n v="38977000"/>
    <x v="31"/>
  </r>
  <r>
    <x v="4"/>
    <s v="IBRD loans and IDA credits (DOD, current US$)"/>
    <n v="34291000"/>
    <x v="31"/>
  </r>
  <r>
    <x v="5"/>
    <s v="IBRD loans and IDA credits (DOD, current US$)"/>
    <n v="902524000"/>
    <x v="31"/>
  </r>
  <r>
    <x v="6"/>
    <s v="IBRD loans and IDA credits (DOD, current US$)"/>
    <n v="493737000"/>
    <x v="31"/>
  </r>
  <r>
    <x v="7"/>
    <s v="IBRD loans and IDA credits (DOD, current US$)"/>
    <n v="329812000"/>
    <x v="31"/>
  </r>
  <r>
    <x v="8"/>
    <s v="IBRD loans and IDA credits (DOD, current US$)"/>
    <n v="2153454000"/>
    <x v="31"/>
  </r>
  <r>
    <x v="9"/>
    <s v="IBRD loans and IDA credits (DOD, current US$)"/>
    <n v="0"/>
    <x v="31"/>
  </r>
  <r>
    <x v="10"/>
    <s v="IBRD loans and IDA credits (DOD, current US$)"/>
    <n v="249774000"/>
    <x v="31"/>
  </r>
  <r>
    <x v="11"/>
    <s v="IBRD loans and IDA credits (DOD, current US$)"/>
    <n v="903864000"/>
    <x v="31"/>
  </r>
  <r>
    <x v="12"/>
    <s v="IBRD loans and IDA credits (DOD, current US$)"/>
    <n v="951642000"/>
    <x v="31"/>
  </r>
  <r>
    <x v="13"/>
    <s v="IBRD loans and IDA credits (DOD, current US$)"/>
    <n v="569274000"/>
    <x v="31"/>
  </r>
  <r>
    <x v="14"/>
    <s v="IBRD loans and IDA credits (DOD, current US$)"/>
    <n v="0"/>
    <x v="31"/>
  </r>
  <r>
    <x v="15"/>
    <s v="IBRD loans and IDA credits (DOD, current US$)"/>
    <n v="327998000"/>
    <x v="31"/>
  </r>
  <r>
    <x v="16"/>
    <s v="IBRD loans and IDA credits (DOD, current US$)"/>
    <n v="748641000"/>
    <x v="31"/>
  </r>
  <r>
    <x v="17"/>
    <s v="IBRD loans and IDA credits (DOD, current US$)"/>
    <n v="718555000"/>
    <x v="31"/>
  </r>
  <r>
    <x v="18"/>
    <s v="IBRD loans and IDA credits (DOD, current US$)"/>
    <n v="236927000"/>
    <x v="31"/>
  </r>
  <r>
    <x v="19"/>
    <s v="IBRD loans and IDA credits (DOD, current US$)"/>
    <n v="479206000"/>
    <x v="31"/>
  </r>
  <r>
    <x v="20"/>
    <s v="IBRD loans and IDA credits (DOD, current US$)"/>
    <n v="390137000"/>
    <x v="31"/>
  </r>
  <r>
    <x v="21"/>
    <s v="IBRD loans and IDA credits (DOD, current US$)"/>
    <n v="29409000"/>
    <x v="31"/>
  </r>
  <r>
    <x v="22"/>
    <s v="IBRD loans and IDA credits (DOD, current US$)"/>
    <n v="1133383000"/>
    <x v="31"/>
  </r>
  <r>
    <x v="23"/>
    <s v="IBRD loans and IDA credits (DOD, current US$)"/>
    <n v="0"/>
    <x v="31"/>
  </r>
  <r>
    <x v="24"/>
    <s v="IBRD loans and IDA credits (DOD, current US$)"/>
    <n v="1641319000"/>
    <x v="31"/>
  </r>
  <r>
    <x v="25"/>
    <s v="IBRD loans and IDA credits (DOD, current US$)"/>
    <n v="1109167000"/>
    <x v="31"/>
  </r>
  <r>
    <x v="26"/>
    <s v="IBRD loans and IDA credits (DOD, current US$)"/>
    <n v="866228000"/>
    <x v="31"/>
  </r>
  <r>
    <x v="27"/>
    <s v="IBRD loans and IDA credits (DOD, current US$)"/>
    <n v="477389000"/>
    <x v="31"/>
  </r>
  <r>
    <x v="0"/>
    <s v="IBRD loans and IDA credits (DOD, current US$)"/>
    <n v="472858000"/>
    <x v="32"/>
  </r>
  <r>
    <x v="1"/>
    <s v="IBRD loans and IDA credits (DOD, current US$)"/>
    <n v="954997000"/>
    <x v="32"/>
  </r>
  <r>
    <x v="2"/>
    <s v="IBRD loans and IDA credits (DOD, current US$)"/>
    <n v="259151000"/>
    <x v="32"/>
  </r>
  <r>
    <x v="3"/>
    <s v="IBRD loans and IDA credits (DOD, current US$)"/>
    <n v="40077000"/>
    <x v="32"/>
  </r>
  <r>
    <x v="4"/>
    <s v="IBRD loans and IDA credits (DOD, current US$)"/>
    <n v="36047000"/>
    <x v="32"/>
  </r>
  <r>
    <x v="5"/>
    <s v="IBRD loans and IDA credits (DOD, current US$)"/>
    <n v="976039000"/>
    <x v="32"/>
  </r>
  <r>
    <x v="6"/>
    <s v="IBRD loans and IDA credits (DOD, current US$)"/>
    <n v="547771000"/>
    <x v="32"/>
  </r>
  <r>
    <x v="7"/>
    <s v="IBRD loans and IDA credits (DOD, current US$)"/>
    <n v="343517000"/>
    <x v="32"/>
  </r>
  <r>
    <x v="8"/>
    <s v="IBRD loans and IDA credits (DOD, current US$)"/>
    <n v="2066801000"/>
    <x v="32"/>
  </r>
  <r>
    <x v="9"/>
    <s v="IBRD loans and IDA credits (DOD, current US$)"/>
    <n v="0"/>
    <x v="32"/>
  </r>
  <r>
    <x v="10"/>
    <s v="IBRD loans and IDA credits (DOD, current US$)"/>
    <n v="241711000"/>
    <x v="32"/>
  </r>
  <r>
    <x v="11"/>
    <s v="IBRD loans and IDA credits (DOD, current US$)"/>
    <n v="906573000"/>
    <x v="32"/>
  </r>
  <r>
    <x v="12"/>
    <s v="IBRD loans and IDA credits (DOD, current US$)"/>
    <n v="993291000"/>
    <x v="32"/>
  </r>
  <r>
    <x v="13"/>
    <s v="IBRD loans and IDA credits (DOD, current US$)"/>
    <n v="611063000"/>
    <x v="32"/>
  </r>
  <r>
    <x v="14"/>
    <s v="IBRD loans and IDA credits (DOD, current US$)"/>
    <n v="0"/>
    <x v="32"/>
  </r>
  <r>
    <x v="15"/>
    <s v="IBRD loans and IDA credits (DOD, current US$)"/>
    <n v="417388000"/>
    <x v="32"/>
  </r>
  <r>
    <x v="16"/>
    <s v="IBRD loans and IDA credits (DOD, current US$)"/>
    <n v="764996000"/>
    <x v="32"/>
  </r>
  <r>
    <x v="17"/>
    <s v="IBRD loans and IDA credits (DOD, current US$)"/>
    <n v="764881000"/>
    <x v="32"/>
  </r>
  <r>
    <x v="18"/>
    <s v="IBRD loans and IDA credits (DOD, current US$)"/>
    <n v="285832000"/>
    <x v="32"/>
  </r>
  <r>
    <x v="19"/>
    <s v="IBRD loans and IDA credits (DOD, current US$)"/>
    <n v="483200000"/>
    <x v="32"/>
  </r>
  <r>
    <x v="20"/>
    <s v="IBRD loans and IDA credits (DOD, current US$)"/>
    <n v="408155000"/>
    <x v="32"/>
  </r>
  <r>
    <x v="21"/>
    <s v="IBRD loans and IDA credits (DOD, current US$)"/>
    <n v="33583000"/>
    <x v="32"/>
  </r>
  <r>
    <x v="22"/>
    <s v="IBRD loans and IDA credits (DOD, current US$)"/>
    <n v="1160442000"/>
    <x v="32"/>
  </r>
  <r>
    <x v="23"/>
    <s v="IBRD loans and IDA credits (DOD, current US$)"/>
    <n v="0"/>
    <x v="32"/>
  </r>
  <r>
    <x v="24"/>
    <s v="IBRD loans and IDA credits (DOD, current US$)"/>
    <n v="1789138000"/>
    <x v="32"/>
  </r>
  <r>
    <x v="25"/>
    <s v="IBRD loans and IDA credits (DOD, current US$)"/>
    <n v="1209186000"/>
    <x v="32"/>
  </r>
  <r>
    <x v="26"/>
    <s v="IBRD loans and IDA credits (DOD, current US$)"/>
    <n v="932078000"/>
    <x v="32"/>
  </r>
  <r>
    <x v="27"/>
    <s v="IBRD loans and IDA credits (DOD, current US$)"/>
    <n v="579075000"/>
    <x v="32"/>
  </r>
  <r>
    <x v="0"/>
    <s v="IBRD loans and IDA credits (DOD, current US$)"/>
    <n v="508720000"/>
    <x v="33"/>
  </r>
  <r>
    <x v="1"/>
    <s v="IBRD loans and IDA credits (DOD, current US$)"/>
    <n v="933520000"/>
    <x v="33"/>
  </r>
  <r>
    <x v="2"/>
    <s v="IBRD loans and IDA credits (DOD, current US$)"/>
    <n v="283980000"/>
    <x v="33"/>
  </r>
  <r>
    <x v="3"/>
    <s v="IBRD loans and IDA credits (DOD, current US$)"/>
    <n v="44788000"/>
    <x v="33"/>
  </r>
  <r>
    <x v="4"/>
    <s v="IBRD loans and IDA credits (DOD, current US$)"/>
    <n v="39609000"/>
    <x v="33"/>
  </r>
  <r>
    <x v="5"/>
    <s v="IBRD loans and IDA credits (DOD, current US$)"/>
    <n v="1193708000"/>
    <x v="33"/>
  </r>
  <r>
    <x v="6"/>
    <s v="IBRD loans and IDA credits (DOD, current US$)"/>
    <n v="680808000"/>
    <x v="33"/>
  </r>
  <r>
    <x v="7"/>
    <s v="IBRD loans and IDA credits (DOD, current US$)"/>
    <n v="337325000"/>
    <x v="33"/>
  </r>
  <r>
    <x v="8"/>
    <s v="IBRD loans and IDA credits (DOD, current US$)"/>
    <n v="2197331000"/>
    <x v="33"/>
  </r>
  <r>
    <x v="9"/>
    <s v="IBRD loans and IDA credits (DOD, current US$)"/>
    <n v="0"/>
    <x v="33"/>
  </r>
  <r>
    <x v="10"/>
    <s v="IBRD loans and IDA credits (DOD, current US$)"/>
    <n v="244592000"/>
    <x v="33"/>
  </r>
  <r>
    <x v="11"/>
    <s v="IBRD loans and IDA credits (DOD, current US$)"/>
    <n v="948343000"/>
    <x v="33"/>
  </r>
  <r>
    <x v="12"/>
    <s v="IBRD loans and IDA credits (DOD, current US$)"/>
    <n v="1129436000"/>
    <x v="33"/>
  </r>
  <r>
    <x v="13"/>
    <s v="IBRD loans and IDA credits (DOD, current US$)"/>
    <n v="655665000"/>
    <x v="33"/>
  </r>
  <r>
    <x v="14"/>
    <s v="IBRD loans and IDA credits (DOD, current US$)"/>
    <n v="28112000"/>
    <x v="33"/>
  </r>
  <r>
    <x v="15"/>
    <s v="IBRD loans and IDA credits (DOD, current US$)"/>
    <n v="511801000"/>
    <x v="33"/>
  </r>
  <r>
    <x v="16"/>
    <s v="IBRD loans and IDA credits (DOD, current US$)"/>
    <n v="321475000"/>
    <x v="33"/>
  </r>
  <r>
    <x v="17"/>
    <s v="IBRD loans and IDA credits (DOD, current US$)"/>
    <n v="832048000"/>
    <x v="33"/>
  </r>
  <r>
    <x v="18"/>
    <s v="IBRD loans and IDA credits (DOD, current US$)"/>
    <n v="282797000"/>
    <x v="33"/>
  </r>
  <r>
    <x v="19"/>
    <s v="IBRD loans and IDA credits (DOD, current US$)"/>
    <n v="503495000"/>
    <x v="33"/>
  </r>
  <r>
    <x v="20"/>
    <s v="IBRD loans and IDA credits (DOD, current US$)"/>
    <n v="445631000"/>
    <x v="33"/>
  </r>
  <r>
    <x v="21"/>
    <s v="IBRD loans and IDA credits (DOD, current US$)"/>
    <n v="38313000"/>
    <x v="33"/>
  </r>
  <r>
    <x v="22"/>
    <s v="IBRD loans and IDA credits (DOD, current US$)"/>
    <n v="1280011000"/>
    <x v="33"/>
  </r>
  <r>
    <x v="23"/>
    <s v="IBRD loans and IDA credits (DOD, current US$)"/>
    <n v="0"/>
    <x v="33"/>
  </r>
  <r>
    <x v="24"/>
    <s v="IBRD loans and IDA credits (DOD, current US$)"/>
    <n v="1898460000"/>
    <x v="33"/>
  </r>
  <r>
    <x v="25"/>
    <s v="IBRD loans and IDA credits (DOD, current US$)"/>
    <n v="1342224000"/>
    <x v="33"/>
  </r>
  <r>
    <x v="26"/>
    <s v="IBRD loans and IDA credits (DOD, current US$)"/>
    <n v="1057474000"/>
    <x v="33"/>
  </r>
  <r>
    <x v="27"/>
    <s v="IBRD loans and IDA credits (DOD, current US$)"/>
    <n v="727831000"/>
    <x v="33"/>
  </r>
  <r>
    <x v="0"/>
    <s v="IBRD loans and IDA credits (DOD, current US$)"/>
    <n v="555596000"/>
    <x v="34"/>
  </r>
  <r>
    <x v="1"/>
    <s v="IBRD loans and IDA credits (DOD, current US$)"/>
    <n v="1100375000"/>
    <x v="34"/>
  </r>
  <r>
    <x v="2"/>
    <s v="IBRD loans and IDA credits (DOD, current US$)"/>
    <n v="331951000"/>
    <x v="34"/>
  </r>
  <r>
    <x v="3"/>
    <s v="IBRD loans and IDA credits (DOD, current US$)"/>
    <n v="53857000"/>
    <x v="34"/>
  </r>
  <r>
    <x v="4"/>
    <s v="IBRD loans and IDA credits (DOD, current US$)"/>
    <n v="42766000"/>
    <x v="34"/>
  </r>
  <r>
    <x v="5"/>
    <s v="IBRD loans and IDA credits (DOD, current US$)"/>
    <n v="1376270000"/>
    <x v="34"/>
  </r>
  <r>
    <x v="6"/>
    <s v="IBRD loans and IDA credits (DOD, current US$)"/>
    <n v="773128000"/>
    <x v="34"/>
  </r>
  <r>
    <x v="7"/>
    <s v="IBRD loans and IDA credits (DOD, current US$)"/>
    <n v="346153000"/>
    <x v="34"/>
  </r>
  <r>
    <x v="8"/>
    <s v="IBRD loans and IDA credits (DOD, current US$)"/>
    <n v="2290075000"/>
    <x v="34"/>
  </r>
  <r>
    <x v="9"/>
    <s v="IBRD loans and IDA credits (DOD, current US$)"/>
    <n v="0"/>
    <x v="34"/>
  </r>
  <r>
    <x v="10"/>
    <s v="IBRD loans and IDA credits (DOD, current US$)"/>
    <n v="257666000"/>
    <x v="34"/>
  </r>
  <r>
    <x v="11"/>
    <s v="IBRD loans and IDA credits (DOD, current US$)"/>
    <n v="1035458000"/>
    <x v="34"/>
  </r>
  <r>
    <x v="12"/>
    <s v="IBRD loans and IDA credits (DOD, current US$)"/>
    <n v="1224827000"/>
    <x v="34"/>
  </r>
  <r>
    <x v="13"/>
    <s v="IBRD loans and IDA credits (DOD, current US$)"/>
    <n v="769591000"/>
    <x v="34"/>
  </r>
  <r>
    <x v="14"/>
    <s v="IBRD loans and IDA credits (DOD, current US$)"/>
    <n v="98796000"/>
    <x v="34"/>
  </r>
  <r>
    <x v="15"/>
    <s v="IBRD loans and IDA credits (DOD, current US$)"/>
    <n v="714316000"/>
    <x v="34"/>
  </r>
  <r>
    <x v="16"/>
    <s v="IBRD loans and IDA credits (DOD, current US$)"/>
    <n v="817495000"/>
    <x v="34"/>
  </r>
  <r>
    <x v="17"/>
    <s v="IBRD loans and IDA credits (DOD, current US$)"/>
    <n v="931462000"/>
    <x v="34"/>
  </r>
  <r>
    <x v="18"/>
    <s v="IBRD loans and IDA credits (DOD, current US$)"/>
    <n v="329816000"/>
    <x v="34"/>
  </r>
  <r>
    <x v="19"/>
    <s v="IBRD loans and IDA credits (DOD, current US$)"/>
    <n v="565349000"/>
    <x v="34"/>
  </r>
  <r>
    <x v="20"/>
    <s v="IBRD loans and IDA credits (DOD, current US$)"/>
    <n v="474188000"/>
    <x v="34"/>
  </r>
  <r>
    <x v="21"/>
    <s v="IBRD loans and IDA credits (DOD, current US$)"/>
    <n v="46858000"/>
    <x v="34"/>
  </r>
  <r>
    <x v="22"/>
    <s v="IBRD loans and IDA credits (DOD, current US$)"/>
    <n v="1392843000"/>
    <x v="34"/>
  </r>
  <r>
    <x v="23"/>
    <s v="IBRD loans and IDA credits (DOD, current US$)"/>
    <n v="0"/>
    <x v="34"/>
  </r>
  <r>
    <x v="24"/>
    <s v="IBRD loans and IDA credits (DOD, current US$)"/>
    <n v="2112303000"/>
    <x v="34"/>
  </r>
  <r>
    <x v="25"/>
    <s v="IBRD loans and IDA credits (DOD, current US$)"/>
    <n v="1614854000"/>
    <x v="34"/>
  </r>
  <r>
    <x v="26"/>
    <s v="IBRD loans and IDA credits (DOD, current US$)"/>
    <n v="1243586000"/>
    <x v="34"/>
  </r>
  <r>
    <x v="27"/>
    <s v="IBRD loans and IDA credits (DOD, current US$)"/>
    <n v="869427000"/>
    <x v="34"/>
  </r>
  <r>
    <x v="0"/>
    <s v="IBRD loans and IDA credits (DOD, current US$)"/>
    <n v="591412000"/>
    <x v="35"/>
  </r>
  <r>
    <x v="1"/>
    <s v="IBRD loans and IDA credits (DOD, current US$)"/>
    <n v="1081821000"/>
    <x v="35"/>
  </r>
  <r>
    <x v="2"/>
    <s v="IBRD loans and IDA credits (DOD, current US$)"/>
    <n v="378832000"/>
    <x v="35"/>
  </r>
  <r>
    <x v="3"/>
    <s v="IBRD loans and IDA credits (DOD, current US$)"/>
    <n v="64053000"/>
    <x v="35"/>
  </r>
  <r>
    <x v="4"/>
    <s v="IBRD loans and IDA credits (DOD, current US$)"/>
    <n v="46242000"/>
    <x v="35"/>
  </r>
  <r>
    <x v="5"/>
    <s v="IBRD loans and IDA credits (DOD, current US$)"/>
    <n v="1469574000"/>
    <x v="35"/>
  </r>
  <r>
    <x v="6"/>
    <s v="IBRD loans and IDA credits (DOD, current US$)"/>
    <n v="847047000"/>
    <x v="35"/>
  </r>
  <r>
    <x v="7"/>
    <s v="IBRD loans and IDA credits (DOD, current US$)"/>
    <n v="389384000"/>
    <x v="35"/>
  </r>
  <r>
    <x v="8"/>
    <s v="IBRD loans and IDA credits (DOD, current US$)"/>
    <n v="2411887000"/>
    <x v="35"/>
  </r>
  <r>
    <x v="9"/>
    <s v="IBRD loans and IDA credits (DOD, current US$)"/>
    <n v="0"/>
    <x v="35"/>
  </r>
  <r>
    <x v="10"/>
    <s v="IBRD loans and IDA credits (DOD, current US$)"/>
    <n v="269012000"/>
    <x v="35"/>
  </r>
  <r>
    <x v="11"/>
    <s v="IBRD loans and IDA credits (DOD, current US$)"/>
    <n v="1121416000"/>
    <x v="35"/>
  </r>
  <r>
    <x v="12"/>
    <s v="IBRD loans and IDA credits (DOD, current US$)"/>
    <n v="1306303000"/>
    <x v="35"/>
  </r>
  <r>
    <x v="13"/>
    <s v="IBRD loans and IDA credits (DOD, current US$)"/>
    <n v="862998000"/>
    <x v="35"/>
  </r>
  <r>
    <x v="14"/>
    <s v="IBRD loans and IDA credits (DOD, current US$)"/>
    <n v="152402000"/>
    <x v="35"/>
  </r>
  <r>
    <x v="15"/>
    <s v="IBRD loans and IDA credits (DOD, current US$)"/>
    <n v="889657000"/>
    <x v="35"/>
  </r>
  <r>
    <x v="16"/>
    <s v="IBRD loans and IDA credits (DOD, current US$)"/>
    <n v="776631000"/>
    <x v="35"/>
  </r>
  <r>
    <x v="17"/>
    <s v="IBRD loans and IDA credits (DOD, current US$)"/>
    <n v="1022680000"/>
    <x v="35"/>
  </r>
  <r>
    <x v="18"/>
    <s v="IBRD loans and IDA credits (DOD, current US$)"/>
    <n v="341292000"/>
    <x v="35"/>
  </r>
  <r>
    <x v="19"/>
    <s v="IBRD loans and IDA credits (DOD, current US$)"/>
    <n v="597925000"/>
    <x v="35"/>
  </r>
  <r>
    <x v="20"/>
    <s v="IBRD loans and IDA credits (DOD, current US$)"/>
    <n v="512045000"/>
    <x v="35"/>
  </r>
  <r>
    <x v="21"/>
    <s v="IBRD loans and IDA credits (DOD, current US$)"/>
    <n v="53551000"/>
    <x v="35"/>
  </r>
  <r>
    <x v="22"/>
    <s v="IBRD loans and IDA credits (DOD, current US$)"/>
    <n v="1511878000"/>
    <x v="35"/>
  </r>
  <r>
    <x v="23"/>
    <s v="IBRD loans and IDA credits (DOD, current US$)"/>
    <n v="0"/>
    <x v="35"/>
  </r>
  <r>
    <x v="24"/>
    <s v="IBRD loans and IDA credits (DOD, current US$)"/>
    <n v="2269016000"/>
    <x v="35"/>
  </r>
  <r>
    <x v="25"/>
    <s v="IBRD loans and IDA credits (DOD, current US$)"/>
    <n v="1792284000"/>
    <x v="35"/>
  </r>
  <r>
    <x v="26"/>
    <s v="IBRD loans and IDA credits (DOD, current US$)"/>
    <n v="1433537000"/>
    <x v="35"/>
  </r>
  <r>
    <x v="27"/>
    <s v="IBRD loans and IDA credits (DOD, current US$)"/>
    <n v="895506000"/>
    <x v="35"/>
  </r>
  <r>
    <x v="0"/>
    <s v="IBRD loans and IDA credits (DOD, current US$)"/>
    <n v="587717000"/>
    <x v="36"/>
  </r>
  <r>
    <x v="1"/>
    <s v="IBRD loans and IDA credits (DOD, current US$)"/>
    <n v="1032742000"/>
    <x v="36"/>
  </r>
  <r>
    <x v="2"/>
    <s v="IBRD loans and IDA credits (DOD, current US$)"/>
    <n v="432861000"/>
    <x v="36"/>
  </r>
  <r>
    <x v="3"/>
    <s v="IBRD loans and IDA credits (DOD, current US$)"/>
    <n v="68151000"/>
    <x v="36"/>
  </r>
  <r>
    <x v="4"/>
    <s v="IBRD loans and IDA credits (DOD, current US$)"/>
    <n v="45686000"/>
    <x v="36"/>
  </r>
  <r>
    <x v="5"/>
    <s v="IBRD loans and IDA credits (DOD, current US$)"/>
    <n v="1554660000"/>
    <x v="36"/>
  </r>
  <r>
    <x v="6"/>
    <s v="IBRD loans and IDA credits (DOD, current US$)"/>
    <n v="862608000"/>
    <x v="36"/>
  </r>
  <r>
    <x v="7"/>
    <s v="IBRD loans and IDA credits (DOD, current US$)"/>
    <n v="441526000"/>
    <x v="36"/>
  </r>
  <r>
    <x v="8"/>
    <s v="IBRD loans and IDA credits (DOD, current US$)"/>
    <n v="2374843000"/>
    <x v="36"/>
  </r>
  <r>
    <x v="9"/>
    <s v="IBRD loans and IDA credits (DOD, current US$)"/>
    <n v="0"/>
    <x v="36"/>
  </r>
  <r>
    <x v="10"/>
    <s v="IBRD loans and IDA credits (DOD, current US$)"/>
    <n v="252319000"/>
    <x v="36"/>
  </r>
  <r>
    <x v="11"/>
    <s v="IBRD loans and IDA credits (DOD, current US$)"/>
    <n v="1153381000"/>
    <x v="36"/>
  </r>
  <r>
    <x v="12"/>
    <s v="IBRD loans and IDA credits (DOD, current US$)"/>
    <n v="1387986000"/>
    <x v="36"/>
  </r>
  <r>
    <x v="13"/>
    <s v="IBRD loans and IDA credits (DOD, current US$)"/>
    <n v="915199000"/>
    <x v="36"/>
  </r>
  <r>
    <x v="14"/>
    <s v="IBRD loans and IDA credits (DOD, current US$)"/>
    <n v="141642000"/>
    <x v="36"/>
  </r>
  <r>
    <x v="15"/>
    <s v="IBRD loans and IDA credits (DOD, current US$)"/>
    <n v="1076433000"/>
    <x v="36"/>
  </r>
  <r>
    <x v="16"/>
    <s v="IBRD loans and IDA credits (DOD, current US$)"/>
    <n v="742138000"/>
    <x v="36"/>
  </r>
  <r>
    <x v="17"/>
    <s v="IBRD loans and IDA credits (DOD, current US$)"/>
    <n v="1048712000"/>
    <x v="36"/>
  </r>
  <r>
    <x v="18"/>
    <s v="IBRD loans and IDA credits (DOD, current US$)"/>
    <n v="379259000"/>
    <x v="36"/>
  </r>
  <r>
    <x v="19"/>
    <s v="IBRD loans and IDA credits (DOD, current US$)"/>
    <n v="609227000"/>
    <x v="36"/>
  </r>
  <r>
    <x v="20"/>
    <s v="IBRD loans and IDA credits (DOD, current US$)"/>
    <n v="535656000"/>
    <x v="36"/>
  </r>
  <r>
    <x v="21"/>
    <s v="IBRD loans and IDA credits (DOD, current US$)"/>
    <n v="59476000"/>
    <x v="36"/>
  </r>
  <r>
    <x v="22"/>
    <s v="IBRD loans and IDA credits (DOD, current US$)"/>
    <n v="1555688000"/>
    <x v="36"/>
  </r>
  <r>
    <x v="23"/>
    <s v="IBRD loans and IDA credits (DOD, current US$)"/>
    <n v="30212000"/>
    <x v="36"/>
  </r>
  <r>
    <x v="24"/>
    <s v="IBRD loans and IDA credits (DOD, current US$)"/>
    <n v="2297881000"/>
    <x v="36"/>
  </r>
  <r>
    <x v="25"/>
    <s v="IBRD loans and IDA credits (DOD, current US$)"/>
    <n v="1848546000"/>
    <x v="36"/>
  </r>
  <r>
    <x v="26"/>
    <s v="IBRD loans and IDA credits (DOD, current US$)"/>
    <n v="1509905000"/>
    <x v="36"/>
  </r>
  <r>
    <x v="27"/>
    <s v="IBRD loans and IDA credits (DOD, current US$)"/>
    <n v="847833000"/>
    <x v="36"/>
  </r>
  <r>
    <x v="0"/>
    <s v="IBRD loans and IDA credits (DOD, current US$)"/>
    <n v="566498000"/>
    <x v="37"/>
  </r>
  <r>
    <x v="1"/>
    <s v="IBRD loans and IDA credits (DOD, current US$)"/>
    <n v="1019435000"/>
    <x v="37"/>
  </r>
  <r>
    <x v="2"/>
    <s v="IBRD loans and IDA credits (DOD, current US$)"/>
    <n v="457193000"/>
    <x v="37"/>
  </r>
  <r>
    <x v="3"/>
    <s v="IBRD loans and IDA credits (DOD, current US$)"/>
    <n v="69551000"/>
    <x v="37"/>
  </r>
  <r>
    <x v="4"/>
    <s v="IBRD loans and IDA credits (DOD, current US$)"/>
    <n v="46059000"/>
    <x v="37"/>
  </r>
  <r>
    <x v="5"/>
    <s v="IBRD loans and IDA credits (DOD, current US$)"/>
    <n v="1531768000"/>
    <x v="37"/>
  </r>
  <r>
    <x v="6"/>
    <s v="IBRD loans and IDA credits (DOD, current US$)"/>
    <n v="921622000"/>
    <x v="37"/>
  </r>
  <r>
    <x v="7"/>
    <s v="IBRD loans and IDA credits (DOD, current US$)"/>
    <n v="458056000"/>
    <x v="37"/>
  </r>
  <r>
    <x v="8"/>
    <s v="IBRD loans and IDA credits (DOD, current US$)"/>
    <n v="2245323000"/>
    <x v="37"/>
  </r>
  <r>
    <x v="9"/>
    <s v="IBRD loans and IDA credits (DOD, current US$)"/>
    <n v="0"/>
    <x v="37"/>
  </r>
  <r>
    <x v="10"/>
    <s v="IBRD loans and IDA credits (DOD, current US$)"/>
    <n v="238046000"/>
    <x v="37"/>
  </r>
  <r>
    <x v="11"/>
    <s v="IBRD loans and IDA credits (DOD, current US$)"/>
    <n v="1214278000"/>
    <x v="37"/>
  </r>
  <r>
    <x v="12"/>
    <s v="IBRD loans and IDA credits (DOD, current US$)"/>
    <n v="1409085000"/>
    <x v="37"/>
  </r>
  <r>
    <x v="13"/>
    <s v="IBRD loans and IDA credits (DOD, current US$)"/>
    <n v="938801000"/>
    <x v="37"/>
  </r>
  <r>
    <x v="14"/>
    <s v="IBRD loans and IDA credits (DOD, current US$)"/>
    <n v="169889000"/>
    <x v="37"/>
  </r>
  <r>
    <x v="15"/>
    <s v="IBRD loans and IDA credits (DOD, current US$)"/>
    <n v="1159878000"/>
    <x v="37"/>
  </r>
  <r>
    <x v="16"/>
    <s v="IBRD loans and IDA credits (DOD, current US$)"/>
    <n v="723819000"/>
    <x v="37"/>
  </r>
  <r>
    <x v="17"/>
    <s v="IBRD loans and IDA credits (DOD, current US$)"/>
    <n v="1046906000"/>
    <x v="37"/>
  </r>
  <r>
    <x v="18"/>
    <s v="IBRD loans and IDA credits (DOD, current US$)"/>
    <n v="391770000"/>
    <x v="37"/>
  </r>
  <r>
    <x v="19"/>
    <s v="IBRD loans and IDA credits (DOD, current US$)"/>
    <n v="624655000"/>
    <x v="37"/>
  </r>
  <r>
    <x v="20"/>
    <s v="IBRD loans and IDA credits (DOD, current US$)"/>
    <n v="557896000"/>
    <x v="37"/>
  </r>
  <r>
    <x v="21"/>
    <s v="IBRD loans and IDA credits (DOD, current US$)"/>
    <n v="57426000"/>
    <x v="37"/>
  </r>
  <r>
    <x v="22"/>
    <s v="IBRD loans and IDA credits (DOD, current US$)"/>
    <n v="1544260000"/>
    <x v="37"/>
  </r>
  <r>
    <x v="23"/>
    <s v="IBRD loans and IDA credits (DOD, current US$)"/>
    <n v="50102000"/>
    <x v="37"/>
  </r>
  <r>
    <x v="24"/>
    <s v="IBRD loans and IDA credits (DOD, current US$)"/>
    <n v="2339474000"/>
    <x v="37"/>
  </r>
  <r>
    <x v="25"/>
    <s v="IBRD loans and IDA credits (DOD, current US$)"/>
    <n v="1954204000"/>
    <x v="37"/>
  </r>
  <r>
    <x v="26"/>
    <s v="IBRD loans and IDA credits (DOD, current US$)"/>
    <n v="1555005000"/>
    <x v="37"/>
  </r>
  <r>
    <x v="27"/>
    <s v="IBRD loans and IDA credits (DOD, current US$)"/>
    <n v="871843000"/>
    <x v="37"/>
  </r>
  <r>
    <x v="0"/>
    <s v="IBRD loans and IDA credits (DOD, current US$)"/>
    <n v="603432000"/>
    <x v="38"/>
  </r>
  <r>
    <x v="1"/>
    <s v="IBRD loans and IDA credits (DOD, current US$)"/>
    <n v="1050424000"/>
    <x v="38"/>
  </r>
  <r>
    <x v="2"/>
    <s v="IBRD loans and IDA credits (DOD, current US$)"/>
    <n v="487708000"/>
    <x v="38"/>
  </r>
  <r>
    <x v="3"/>
    <s v="IBRD loans and IDA credits (DOD, current US$)"/>
    <n v="74763000"/>
    <x v="38"/>
  </r>
  <r>
    <x v="4"/>
    <s v="IBRD loans and IDA credits (DOD, current US$)"/>
    <n v="49465000"/>
    <x v="38"/>
  </r>
  <r>
    <x v="5"/>
    <s v="IBRD loans and IDA credits (DOD, current US$)"/>
    <n v="1631967000"/>
    <x v="38"/>
  </r>
  <r>
    <x v="6"/>
    <s v="IBRD loans and IDA credits (DOD, current US$)"/>
    <n v="1015979000"/>
    <x v="38"/>
  </r>
  <r>
    <x v="7"/>
    <s v="IBRD loans and IDA credits (DOD, current US$)"/>
    <n v="492919000"/>
    <x v="38"/>
  </r>
  <r>
    <x v="8"/>
    <s v="IBRD loans and IDA credits (DOD, current US$)"/>
    <n v="2364431000"/>
    <x v="38"/>
  </r>
  <r>
    <x v="9"/>
    <s v="IBRD loans and IDA credits (DOD, current US$)"/>
    <n v="0"/>
    <x v="38"/>
  </r>
  <r>
    <x v="10"/>
    <s v="IBRD loans and IDA credits (DOD, current US$)"/>
    <n v="247786000"/>
    <x v="38"/>
  </r>
  <r>
    <x v="11"/>
    <s v="IBRD loans and IDA credits (DOD, current US$)"/>
    <n v="1318291000"/>
    <x v="38"/>
  </r>
  <r>
    <x v="12"/>
    <s v="IBRD loans and IDA credits (DOD, current US$)"/>
    <n v="1567666000"/>
    <x v="38"/>
  </r>
  <r>
    <x v="13"/>
    <s v="IBRD loans and IDA credits (DOD, current US$)"/>
    <n v="1008729000"/>
    <x v="38"/>
  </r>
  <r>
    <x v="14"/>
    <s v="IBRD loans and IDA credits (DOD, current US$)"/>
    <n v="206891000"/>
    <x v="38"/>
  </r>
  <r>
    <x v="15"/>
    <s v="IBRD loans and IDA credits (DOD, current US$)"/>
    <n v="1335248000"/>
    <x v="38"/>
  </r>
  <r>
    <x v="16"/>
    <s v="IBRD loans and IDA credits (DOD, current US$)"/>
    <n v="726764000"/>
    <x v="38"/>
  </r>
  <r>
    <x v="17"/>
    <s v="IBRD loans and IDA credits (DOD, current US$)"/>
    <n v="1131036000"/>
    <x v="38"/>
  </r>
  <r>
    <x v="18"/>
    <s v="IBRD loans and IDA credits (DOD, current US$)"/>
    <n v="502510000"/>
    <x v="38"/>
  </r>
  <r>
    <x v="19"/>
    <s v="IBRD loans and IDA credits (DOD, current US$)"/>
    <n v="687454000"/>
    <x v="38"/>
  </r>
  <r>
    <x v="20"/>
    <s v="IBRD loans and IDA credits (DOD, current US$)"/>
    <n v="639090000"/>
    <x v="38"/>
  </r>
  <r>
    <x v="21"/>
    <s v="IBRD loans and IDA credits (DOD, current US$)"/>
    <n v="61317000"/>
    <x v="38"/>
  </r>
  <r>
    <x v="22"/>
    <s v="IBRD loans and IDA credits (DOD, current US$)"/>
    <n v="1674330000"/>
    <x v="38"/>
  </r>
  <r>
    <x v="23"/>
    <s v="IBRD loans and IDA credits (DOD, current US$)"/>
    <n v="91824000"/>
    <x v="38"/>
  </r>
  <r>
    <x v="24"/>
    <s v="IBRD loans and IDA credits (DOD, current US$)"/>
    <n v="2484902000"/>
    <x v="38"/>
  </r>
  <r>
    <x v="25"/>
    <s v="IBRD loans and IDA credits (DOD, current US$)"/>
    <n v="1947211000"/>
    <x v="38"/>
  </r>
  <r>
    <x v="26"/>
    <s v="IBRD loans and IDA credits (DOD, current US$)"/>
    <n v="1628288000"/>
    <x v="38"/>
  </r>
  <r>
    <x v="27"/>
    <s v="IBRD loans and IDA credits (DOD, current US$)"/>
    <n v="940720000"/>
    <x v="38"/>
  </r>
  <r>
    <x v="0"/>
    <s v="IBRD loans and IDA credits (DOD, current US$)"/>
    <n v="599105000"/>
    <x v="39"/>
  </r>
  <r>
    <x v="1"/>
    <s v="IBRD loans and IDA credits (DOD, current US$)"/>
    <n v="1025461000"/>
    <x v="39"/>
  </r>
  <r>
    <x v="2"/>
    <s v="IBRD loans and IDA credits (DOD, current US$)"/>
    <n v="526610000"/>
    <x v="39"/>
  </r>
  <r>
    <x v="3"/>
    <s v="IBRD loans and IDA credits (DOD, current US$)"/>
    <n v="72718000"/>
    <x v="39"/>
  </r>
  <r>
    <x v="4"/>
    <s v="IBRD loans and IDA credits (DOD, current US$)"/>
    <n v="49017000"/>
    <x v="39"/>
  </r>
  <r>
    <x v="5"/>
    <s v="IBRD loans and IDA credits (DOD, current US$)"/>
    <n v="1739398000"/>
    <x v="39"/>
  </r>
  <r>
    <x v="6"/>
    <s v="IBRD loans and IDA credits (DOD, current US$)"/>
    <n v="1013674000"/>
    <x v="39"/>
  </r>
  <r>
    <x v="7"/>
    <s v="IBRD loans and IDA credits (DOD, current US$)"/>
    <n v="503634000"/>
    <x v="39"/>
  </r>
  <r>
    <x v="8"/>
    <s v="IBRD loans and IDA credits (DOD, current US$)"/>
    <n v="2310621000"/>
    <x v="39"/>
  </r>
  <r>
    <x v="9"/>
    <s v="IBRD loans and IDA credits (DOD, current US$)"/>
    <n v="0"/>
    <x v="39"/>
  </r>
  <r>
    <x v="10"/>
    <s v="IBRD loans and IDA credits (DOD, current US$)"/>
    <n v="228452000"/>
    <x v="39"/>
  </r>
  <r>
    <x v="11"/>
    <s v="IBRD loans and IDA credits (DOD, current US$)"/>
    <n v="1360592000"/>
    <x v="39"/>
  </r>
  <r>
    <x v="12"/>
    <s v="IBRD loans and IDA credits (DOD, current US$)"/>
    <n v="1602986000"/>
    <x v="39"/>
  </r>
  <r>
    <x v="13"/>
    <s v="IBRD loans and IDA credits (DOD, current US$)"/>
    <n v="1035086000"/>
    <x v="39"/>
  </r>
  <r>
    <x v="14"/>
    <s v="IBRD loans and IDA credits (DOD, current US$)"/>
    <n v="275769000"/>
    <x v="39"/>
  </r>
  <r>
    <x v="15"/>
    <s v="IBRD loans and IDA credits (DOD, current US$)"/>
    <n v="702144000"/>
    <x v="39"/>
  </r>
  <r>
    <x v="16"/>
    <s v="IBRD loans and IDA credits (DOD, current US$)"/>
    <n v="722537000"/>
    <x v="39"/>
  </r>
  <r>
    <x v="17"/>
    <s v="IBRD loans and IDA credits (DOD, current US$)"/>
    <n v="1146849000"/>
    <x v="39"/>
  </r>
  <r>
    <x v="18"/>
    <s v="IBRD loans and IDA credits (DOD, current US$)"/>
    <n v="607091000"/>
    <x v="39"/>
  </r>
  <r>
    <x v="19"/>
    <s v="IBRD loans and IDA credits (DOD, current US$)"/>
    <n v="693574000"/>
    <x v="39"/>
  </r>
  <r>
    <x v="20"/>
    <s v="IBRD loans and IDA credits (DOD, current US$)"/>
    <n v="691455000"/>
    <x v="39"/>
  </r>
  <r>
    <x v="21"/>
    <s v="IBRD loans and IDA credits (DOD, current US$)"/>
    <n v="60680000"/>
    <x v="39"/>
  </r>
  <r>
    <x v="22"/>
    <s v="IBRD loans and IDA credits (DOD, current US$)"/>
    <n v="1671183000"/>
    <x v="39"/>
  </r>
  <r>
    <x v="23"/>
    <s v="IBRD loans and IDA credits (DOD, current US$)"/>
    <n v="126049000"/>
    <x v="39"/>
  </r>
  <r>
    <x v="24"/>
    <s v="IBRD loans and IDA credits (DOD, current US$)"/>
    <n v="2609849000"/>
    <x v="39"/>
  </r>
  <r>
    <x v="25"/>
    <s v="IBRD loans and IDA credits (DOD, current US$)"/>
    <n v="2042723000"/>
    <x v="39"/>
  </r>
  <r>
    <x v="26"/>
    <s v="IBRD loans and IDA credits (DOD, current US$)"/>
    <n v="1736361000"/>
    <x v="39"/>
  </r>
  <r>
    <x v="27"/>
    <s v="IBRD loans and IDA credits (DOD, current US$)"/>
    <n v="925341000"/>
    <x v="39"/>
  </r>
  <r>
    <x v="0"/>
    <s v="IBRD loans and IDA credits (DOD, current US$)"/>
    <n v="600469000"/>
    <x v="40"/>
  </r>
  <r>
    <x v="1"/>
    <s v="IBRD loans and IDA credits (DOD, current US$)"/>
    <n v="986712000"/>
    <x v="40"/>
  </r>
  <r>
    <x v="2"/>
    <s v="IBRD loans and IDA credits (DOD, current US$)"/>
    <n v="515389000"/>
    <x v="40"/>
  </r>
  <r>
    <x v="3"/>
    <s v="IBRD loans and IDA credits (DOD, current US$)"/>
    <n v="70841000"/>
    <x v="40"/>
  </r>
  <r>
    <x v="4"/>
    <s v="IBRD loans and IDA credits (DOD, current US$)"/>
    <n v="49901000"/>
    <x v="40"/>
  </r>
  <r>
    <x v="5"/>
    <s v="IBRD loans and IDA credits (DOD, current US$)"/>
    <n v="1779264000"/>
    <x v="40"/>
  </r>
  <r>
    <x v="6"/>
    <s v="IBRD loans and IDA credits (DOD, current US$)"/>
    <n v="981869000"/>
    <x v="40"/>
  </r>
  <r>
    <x v="7"/>
    <s v="IBRD loans and IDA credits (DOD, current US$)"/>
    <n v="480060000"/>
    <x v="40"/>
  </r>
  <r>
    <x v="8"/>
    <s v="IBRD loans and IDA credits (DOD, current US$)"/>
    <n v="2309409000"/>
    <x v="40"/>
  </r>
  <r>
    <x v="9"/>
    <s v="IBRD loans and IDA credits (DOD, current US$)"/>
    <n v="0"/>
    <x v="40"/>
  </r>
  <r>
    <x v="10"/>
    <s v="IBRD loans and IDA credits (DOD, current US$)"/>
    <n v="229929000"/>
    <x v="40"/>
  </r>
  <r>
    <x v="11"/>
    <s v="IBRD loans and IDA credits (DOD, current US$)"/>
    <n v="1377614000"/>
    <x v="40"/>
  </r>
  <r>
    <x v="12"/>
    <s v="IBRD loans and IDA credits (DOD, current US$)"/>
    <n v="1600709000"/>
    <x v="40"/>
  </r>
  <r>
    <x v="13"/>
    <s v="IBRD loans and IDA credits (DOD, current US$)"/>
    <n v="956887000"/>
    <x v="40"/>
  </r>
  <r>
    <x v="14"/>
    <s v="IBRD loans and IDA credits (DOD, current US$)"/>
    <n v="294477000"/>
    <x v="40"/>
  </r>
  <r>
    <x v="15"/>
    <s v="IBRD loans and IDA credits (DOD, current US$)"/>
    <n v="760297000"/>
    <x v="40"/>
  </r>
  <r>
    <x v="16"/>
    <s v="IBRD loans and IDA credits (DOD, current US$)"/>
    <n v="683846000"/>
    <x v="40"/>
  </r>
  <r>
    <x v="17"/>
    <s v="IBRD loans and IDA credits (DOD, current US$)"/>
    <n v="1132348000"/>
    <x v="40"/>
  </r>
  <r>
    <x v="18"/>
    <s v="IBRD loans and IDA credits (DOD, current US$)"/>
    <n v="659018000"/>
    <x v="40"/>
  </r>
  <r>
    <x v="19"/>
    <s v="IBRD loans and IDA credits (DOD, current US$)"/>
    <n v="723201000"/>
    <x v="40"/>
  </r>
  <r>
    <x v="20"/>
    <s v="IBRD loans and IDA credits (DOD, current US$)"/>
    <n v="691917000"/>
    <x v="40"/>
  </r>
  <r>
    <x v="21"/>
    <s v="IBRD loans and IDA credits (DOD, current US$)"/>
    <n v="58898000"/>
    <x v="40"/>
  </r>
  <r>
    <x v="22"/>
    <s v="IBRD loans and IDA credits (DOD, current US$)"/>
    <n v="1623568000"/>
    <x v="40"/>
  </r>
  <r>
    <x v="23"/>
    <s v="IBRD loans and IDA credits (DOD, current US$)"/>
    <n v="142620000"/>
    <x v="40"/>
  </r>
  <r>
    <x v="24"/>
    <s v="IBRD loans and IDA credits (DOD, current US$)"/>
    <n v="2603996000"/>
    <x v="40"/>
  </r>
  <r>
    <x v="25"/>
    <s v="IBRD loans and IDA credits (DOD, current US$)"/>
    <n v="2114716000"/>
    <x v="40"/>
  </r>
  <r>
    <x v="26"/>
    <s v="IBRD loans and IDA credits (DOD, current US$)"/>
    <n v="1848122000"/>
    <x v="40"/>
  </r>
  <r>
    <x v="27"/>
    <s v="IBRD loans and IDA credits (DOD, current US$)"/>
    <n v="853164000"/>
    <x v="40"/>
  </r>
  <r>
    <x v="0"/>
    <s v="IBRD loans and IDA credits (DOD, current US$)"/>
    <n v="582342000"/>
    <x v="41"/>
  </r>
  <r>
    <x v="1"/>
    <s v="IBRD loans and IDA credits (DOD, current US$)"/>
    <n v="936223000"/>
    <x v="41"/>
  </r>
  <r>
    <x v="2"/>
    <s v="IBRD loans and IDA credits (DOD, current US$)"/>
    <n v="524689000"/>
    <x v="41"/>
  </r>
  <r>
    <x v="3"/>
    <s v="IBRD loans and IDA credits (DOD, current US$)"/>
    <n v="79008000"/>
    <x v="41"/>
  </r>
  <r>
    <x v="4"/>
    <s v="IBRD loans and IDA credits (DOD, current US$)"/>
    <n v="56123000"/>
    <x v="41"/>
  </r>
  <r>
    <x v="5"/>
    <s v="IBRD loans and IDA credits (DOD, current US$)"/>
    <n v="2150493000"/>
    <x v="41"/>
  </r>
  <r>
    <x v="6"/>
    <s v="IBRD loans and IDA credits (DOD, current US$)"/>
    <n v="1003117000"/>
    <x v="41"/>
  </r>
  <r>
    <x v="7"/>
    <s v="IBRD loans and IDA credits (DOD, current US$)"/>
    <n v="466777000"/>
    <x v="41"/>
  </r>
  <r>
    <x v="8"/>
    <s v="IBRD loans and IDA credits (DOD, current US$)"/>
    <n v="2286842000"/>
    <x v="41"/>
  </r>
  <r>
    <x v="9"/>
    <s v="IBRD loans and IDA credits (DOD, current US$)"/>
    <n v="0"/>
    <x v="41"/>
  </r>
  <r>
    <x v="10"/>
    <s v="IBRD loans and IDA credits (DOD, current US$)"/>
    <n v="221068000"/>
    <x v="41"/>
  </r>
  <r>
    <x v="11"/>
    <s v="IBRD loans and IDA credits (DOD, current US$)"/>
    <n v="1408525000"/>
    <x v="41"/>
  </r>
  <r>
    <x v="12"/>
    <s v="IBRD loans and IDA credits (DOD, current US$)"/>
    <n v="1627342000"/>
    <x v="41"/>
  </r>
  <r>
    <x v="13"/>
    <s v="IBRD loans and IDA credits (DOD, current US$)"/>
    <n v="980748000"/>
    <x v="41"/>
  </r>
  <r>
    <x v="14"/>
    <s v="IBRD loans and IDA credits (DOD, current US$)"/>
    <n v="293801000"/>
    <x v="41"/>
  </r>
  <r>
    <x v="15"/>
    <s v="IBRD loans and IDA credits (DOD, current US$)"/>
    <n v="777287000"/>
    <x v="41"/>
  </r>
  <r>
    <x v="16"/>
    <s v="IBRD loans and IDA credits (DOD, current US$)"/>
    <n v="692842000"/>
    <x v="41"/>
  </r>
  <r>
    <x v="17"/>
    <s v="IBRD loans and IDA credits (DOD, current US$)"/>
    <n v="1122067000"/>
    <x v="41"/>
  </r>
  <r>
    <x v="18"/>
    <s v="IBRD loans and IDA credits (DOD, current US$)"/>
    <n v="690608000"/>
    <x v="41"/>
  </r>
  <r>
    <x v="19"/>
    <s v="IBRD loans and IDA credits (DOD, current US$)"/>
    <n v="753357000"/>
    <x v="41"/>
  </r>
  <r>
    <x v="20"/>
    <s v="IBRD loans and IDA credits (DOD, current US$)"/>
    <n v="712719000"/>
    <x v="41"/>
  </r>
  <r>
    <x v="21"/>
    <s v="IBRD loans and IDA credits (DOD, current US$)"/>
    <n v="60961000"/>
    <x v="41"/>
  </r>
  <r>
    <x v="22"/>
    <s v="IBRD loans and IDA credits (DOD, current US$)"/>
    <n v="1578159000"/>
    <x v="41"/>
  </r>
  <r>
    <x v="23"/>
    <s v="IBRD loans and IDA credits (DOD, current US$)"/>
    <n v="171646000"/>
    <x v="41"/>
  </r>
  <r>
    <x v="24"/>
    <s v="IBRD loans and IDA credits (DOD, current US$)"/>
    <n v="2595852000"/>
    <x v="41"/>
  </r>
  <r>
    <x v="25"/>
    <s v="IBRD loans and IDA credits (DOD, current US$)"/>
    <n v="2309621000"/>
    <x v="41"/>
  </r>
  <r>
    <x v="26"/>
    <s v="IBRD loans and IDA credits (DOD, current US$)"/>
    <n v="1885659000"/>
    <x v="41"/>
  </r>
  <r>
    <x v="27"/>
    <s v="IBRD loans and IDA credits (DOD, current US$)"/>
    <n v="809835000"/>
    <x v="41"/>
  </r>
  <r>
    <x v="0"/>
    <s v="IBRD loans and IDA credits (DOD, current US$)"/>
    <n v="647713000"/>
    <x v="42"/>
  </r>
  <r>
    <x v="1"/>
    <s v="IBRD loans and IDA credits (DOD, current US$)"/>
    <n v="988517000"/>
    <x v="42"/>
  </r>
  <r>
    <x v="2"/>
    <s v="IBRD loans and IDA credits (DOD, current US$)"/>
    <n v="632295000"/>
    <x v="42"/>
  </r>
  <r>
    <x v="3"/>
    <s v="IBRD loans and IDA credits (DOD, current US$)"/>
    <n v="96078000"/>
    <x v="42"/>
  </r>
  <r>
    <x v="4"/>
    <s v="IBRD loans and IDA credits (DOD, current US$)"/>
    <n v="78479000"/>
    <x v="42"/>
  </r>
  <r>
    <x v="5"/>
    <s v="IBRD loans and IDA credits (DOD, current US$)"/>
    <n v="2755978000"/>
    <x v="42"/>
  </r>
  <r>
    <x v="6"/>
    <s v="IBRD loans and IDA credits (DOD, current US$)"/>
    <n v="1096012000"/>
    <x v="42"/>
  </r>
  <r>
    <x v="7"/>
    <s v="IBRD loans and IDA credits (DOD, current US$)"/>
    <n v="501182000"/>
    <x v="42"/>
  </r>
  <r>
    <x v="8"/>
    <s v="IBRD loans and IDA credits (DOD, current US$)"/>
    <n v="2459856000"/>
    <x v="42"/>
  </r>
  <r>
    <x v="9"/>
    <s v="IBRD loans and IDA credits (DOD, current US$)"/>
    <n v="0"/>
    <x v="42"/>
  </r>
  <r>
    <x v="10"/>
    <s v="IBRD loans and IDA credits (DOD, current US$)"/>
    <n v="239647000"/>
    <x v="42"/>
  </r>
  <r>
    <x v="11"/>
    <s v="IBRD loans and IDA credits (DOD, current US$)"/>
    <n v="1652156000"/>
    <x v="42"/>
  </r>
  <r>
    <x v="12"/>
    <s v="IBRD loans and IDA credits (DOD, current US$)"/>
    <n v="1772622000"/>
    <x v="42"/>
  </r>
  <r>
    <x v="13"/>
    <s v="IBRD loans and IDA credits (DOD, current US$)"/>
    <n v="1133709000"/>
    <x v="42"/>
  </r>
  <r>
    <x v="14"/>
    <s v="IBRD loans and IDA credits (DOD, current US$)"/>
    <n v="330864000"/>
    <x v="42"/>
  </r>
  <r>
    <x v="15"/>
    <s v="IBRD loans and IDA credits (DOD, current US$)"/>
    <n v="985329000"/>
    <x v="42"/>
  </r>
  <r>
    <x v="16"/>
    <s v="IBRD loans and IDA credits (DOD, current US$)"/>
    <n v="729019000"/>
    <x v="42"/>
  </r>
  <r>
    <x v="17"/>
    <s v="IBRD loans and IDA credits (DOD, current US$)"/>
    <n v="1209560000"/>
    <x v="42"/>
  </r>
  <r>
    <x v="18"/>
    <s v="IBRD loans and IDA credits (DOD, current US$)"/>
    <n v="811002000"/>
    <x v="42"/>
  </r>
  <r>
    <x v="19"/>
    <s v="IBRD loans and IDA credits (DOD, current US$)"/>
    <n v="867301000"/>
    <x v="42"/>
  </r>
  <r>
    <x v="20"/>
    <s v="IBRD loans and IDA credits (DOD, current US$)"/>
    <n v="825638000"/>
    <x v="42"/>
  </r>
  <r>
    <x v="21"/>
    <s v="IBRD loans and IDA credits (DOD, current US$)"/>
    <n v="65589000"/>
    <x v="42"/>
  </r>
  <r>
    <x v="22"/>
    <s v="IBRD loans and IDA credits (DOD, current US$)"/>
    <n v="1738467000"/>
    <x v="42"/>
  </r>
  <r>
    <x v="23"/>
    <s v="IBRD loans and IDA credits (DOD, current US$)"/>
    <n v="194982000"/>
    <x v="42"/>
  </r>
  <r>
    <x v="24"/>
    <s v="IBRD loans and IDA credits (DOD, current US$)"/>
    <n v="2874035000"/>
    <x v="42"/>
  </r>
  <r>
    <x v="25"/>
    <s v="IBRD loans and IDA credits (DOD, current US$)"/>
    <n v="2575760000"/>
    <x v="42"/>
  </r>
  <r>
    <x v="26"/>
    <s v="IBRD loans and IDA credits (DOD, current US$)"/>
    <n v="2154946000"/>
    <x v="42"/>
  </r>
  <r>
    <x v="27"/>
    <s v="IBRD loans and IDA credits (DOD, current US$)"/>
    <n v="870802000"/>
    <x v="42"/>
  </r>
  <r>
    <x v="0"/>
    <s v="IBRD loans and IDA credits (DOD, current US$)"/>
    <n v="731741000"/>
    <x v="43"/>
  </r>
  <r>
    <x v="1"/>
    <s v="IBRD loans and IDA credits (DOD, current US$)"/>
    <n v="1089550000"/>
    <x v="43"/>
  </r>
  <r>
    <x v="2"/>
    <s v="IBRD loans and IDA credits (DOD, current US$)"/>
    <n v="803480000"/>
    <x v="43"/>
  </r>
  <r>
    <x v="3"/>
    <s v="IBRD loans and IDA credits (DOD, current US$)"/>
    <n v="112373000"/>
    <x v="43"/>
  </r>
  <r>
    <x v="4"/>
    <s v="IBRD loans and IDA credits (DOD, current US$)"/>
    <n v="112140000"/>
    <x v="43"/>
  </r>
  <r>
    <x v="5"/>
    <s v="IBRD loans and IDA credits (DOD, current US$)"/>
    <n v="3179154000"/>
    <x v="43"/>
  </r>
  <r>
    <x v="6"/>
    <s v="IBRD loans and IDA credits (DOD, current US$)"/>
    <n v="1212237000"/>
    <x v="43"/>
  </r>
  <r>
    <x v="7"/>
    <s v="IBRD loans and IDA credits (DOD, current US$)"/>
    <n v="517647000"/>
    <x v="43"/>
  </r>
  <r>
    <x v="8"/>
    <s v="IBRD loans and IDA credits (DOD, current US$)"/>
    <n v="2741964000"/>
    <x v="43"/>
  </r>
  <r>
    <x v="9"/>
    <s v="IBRD loans and IDA credits (DOD, current US$)"/>
    <n v="0"/>
    <x v="43"/>
  </r>
  <r>
    <x v="10"/>
    <s v="IBRD loans and IDA credits (DOD, current US$)"/>
    <n v="260197000"/>
    <x v="43"/>
  </r>
  <r>
    <x v="11"/>
    <s v="IBRD loans and IDA credits (DOD, current US$)"/>
    <n v="1975078000"/>
    <x v="43"/>
  </r>
  <r>
    <x v="12"/>
    <s v="IBRD loans and IDA credits (DOD, current US$)"/>
    <n v="1958851000"/>
    <x v="43"/>
  </r>
  <r>
    <x v="13"/>
    <s v="IBRD loans and IDA credits (DOD, current US$)"/>
    <n v="1321761000"/>
    <x v="43"/>
  </r>
  <r>
    <x v="14"/>
    <s v="IBRD loans and IDA credits (DOD, current US$)"/>
    <n v="364747000"/>
    <x v="43"/>
  </r>
  <r>
    <x v="15"/>
    <s v="IBRD loans and IDA credits (DOD, current US$)"/>
    <n v="1231640000"/>
    <x v="43"/>
  </r>
  <r>
    <x v="16"/>
    <s v="IBRD loans and IDA credits (DOD, current US$)"/>
    <n v="762472000"/>
    <x v="43"/>
  </r>
  <r>
    <x v="17"/>
    <s v="IBRD loans and IDA credits (DOD, current US$)"/>
    <n v="1387939000"/>
    <x v="43"/>
  </r>
  <r>
    <x v="18"/>
    <s v="IBRD loans and IDA credits (DOD, current US$)"/>
    <n v="997635000"/>
    <x v="43"/>
  </r>
  <r>
    <x v="19"/>
    <s v="IBRD loans and IDA credits (DOD, current US$)"/>
    <n v="1007409000"/>
    <x v="43"/>
  </r>
  <r>
    <x v="20"/>
    <s v="IBRD loans and IDA credits (DOD, current US$)"/>
    <n v="909241000"/>
    <x v="43"/>
  </r>
  <r>
    <x v="21"/>
    <s v="IBRD loans and IDA credits (DOD, current US$)"/>
    <n v="71429000"/>
    <x v="43"/>
  </r>
  <r>
    <x v="22"/>
    <s v="IBRD loans and IDA credits (DOD, current US$)"/>
    <n v="2054258000"/>
    <x v="43"/>
  </r>
  <r>
    <x v="23"/>
    <s v="IBRD loans and IDA credits (DOD, current US$)"/>
    <n v="227543000"/>
    <x v="43"/>
  </r>
  <r>
    <x v="24"/>
    <s v="IBRD loans and IDA credits (DOD, current US$)"/>
    <n v="3476682000"/>
    <x v="43"/>
  </r>
  <r>
    <x v="25"/>
    <s v="IBRD loans and IDA credits (DOD, current US$)"/>
    <n v="3060832000"/>
    <x v="43"/>
  </r>
  <r>
    <x v="26"/>
    <s v="IBRD loans and IDA credits (DOD, current US$)"/>
    <n v="2408573000"/>
    <x v="43"/>
  </r>
  <r>
    <x v="27"/>
    <s v="IBRD loans and IDA credits (DOD, current US$)"/>
    <n v="946450000"/>
    <x v="43"/>
  </r>
  <r>
    <x v="0"/>
    <s v="IBRD loans and IDA credits (DOD, current US$)"/>
    <n v="792785000"/>
    <x v="44"/>
  </r>
  <r>
    <x v="1"/>
    <s v="IBRD loans and IDA credits (DOD, current US$)"/>
    <n v="1199980000"/>
    <x v="44"/>
  </r>
  <r>
    <x v="2"/>
    <s v="IBRD loans and IDA credits (DOD, current US$)"/>
    <n v="910435000"/>
    <x v="44"/>
  </r>
  <r>
    <x v="3"/>
    <s v="IBRD loans and IDA credits (DOD, current US$)"/>
    <n v="118720000"/>
    <x v="44"/>
  </r>
  <r>
    <x v="4"/>
    <s v="IBRD loans and IDA credits (DOD, current US$)"/>
    <n v="126386000"/>
    <x v="44"/>
  </r>
  <r>
    <x v="5"/>
    <s v="IBRD loans and IDA credits (DOD, current US$)"/>
    <n v="3488363000"/>
    <x v="44"/>
  </r>
  <r>
    <x v="6"/>
    <s v="IBRD loans and IDA credits (DOD, current US$)"/>
    <n v="1287046000"/>
    <x v="44"/>
  </r>
  <r>
    <x v="7"/>
    <s v="IBRD loans and IDA credits (DOD, current US$)"/>
    <n v="504382000"/>
    <x v="44"/>
  </r>
  <r>
    <x v="8"/>
    <s v="IBRD loans and IDA credits (DOD, current US$)"/>
    <n v="2882726000"/>
    <x v="44"/>
  </r>
  <r>
    <x v="9"/>
    <s v="IBRD loans and IDA credits (DOD, current US$)"/>
    <n v="0"/>
    <x v="44"/>
  </r>
  <r>
    <x v="10"/>
    <s v="IBRD loans and IDA credits (DOD, current US$)"/>
    <n v="272462000"/>
    <x v="44"/>
  </r>
  <r>
    <x v="11"/>
    <s v="IBRD loans and IDA credits (DOD, current US$)"/>
    <n v="2268870000"/>
    <x v="44"/>
  </r>
  <r>
    <x v="12"/>
    <s v="IBRD loans and IDA credits (DOD, current US$)"/>
    <n v="2075557000"/>
    <x v="44"/>
  </r>
  <r>
    <x v="13"/>
    <s v="IBRD loans and IDA credits (DOD, current US$)"/>
    <n v="1440710000"/>
    <x v="44"/>
  </r>
  <r>
    <x v="14"/>
    <s v="IBRD loans and IDA credits (DOD, current US$)"/>
    <n v="385763000"/>
    <x v="44"/>
  </r>
  <r>
    <x v="15"/>
    <s v="IBRD loans and IDA credits (DOD, current US$)"/>
    <n v="1475223000"/>
    <x v="44"/>
  </r>
  <r>
    <x v="16"/>
    <s v="IBRD loans and IDA credits (DOD, current US$)"/>
    <n v="774238000"/>
    <x v="44"/>
  </r>
  <r>
    <x v="17"/>
    <s v="IBRD loans and IDA credits (DOD, current US$)"/>
    <n v="1490945000"/>
    <x v="44"/>
  </r>
  <r>
    <x v="18"/>
    <s v="IBRD loans and IDA credits (DOD, current US$)"/>
    <n v="1166845000"/>
    <x v="44"/>
  </r>
  <r>
    <x v="19"/>
    <s v="IBRD loans and IDA credits (DOD, current US$)"/>
    <n v="1106072000"/>
    <x v="44"/>
  </r>
  <r>
    <x v="20"/>
    <s v="IBRD loans and IDA credits (DOD, current US$)"/>
    <n v="1019855000"/>
    <x v="44"/>
  </r>
  <r>
    <x v="21"/>
    <s v="IBRD loans and IDA credits (DOD, current US$)"/>
    <n v="76884000"/>
    <x v="44"/>
  </r>
  <r>
    <x v="22"/>
    <s v="IBRD loans and IDA credits (DOD, current US$)"/>
    <n v="2168301000"/>
    <x v="44"/>
  </r>
  <r>
    <x v="23"/>
    <s v="IBRD loans and IDA credits (DOD, current US$)"/>
    <n v="295673000"/>
    <x v="44"/>
  </r>
  <r>
    <x v="24"/>
    <s v="IBRD loans and IDA credits (DOD, current US$)"/>
    <n v="3915514000"/>
    <x v="44"/>
  </r>
  <r>
    <x v="25"/>
    <s v="IBRD loans and IDA credits (DOD, current US$)"/>
    <n v="3302693000"/>
    <x v="44"/>
  </r>
  <r>
    <x v="26"/>
    <s v="IBRD loans and IDA credits (DOD, current US$)"/>
    <n v="2637410000"/>
    <x v="44"/>
  </r>
  <r>
    <x v="27"/>
    <s v="IBRD loans and IDA credits (DOD, current US$)"/>
    <n v="982879000"/>
    <x v="44"/>
  </r>
  <r>
    <x v="0"/>
    <s v="IBRD loans and IDA credits (DOD, current US$)"/>
    <n v="750805000"/>
    <x v="45"/>
  </r>
  <r>
    <x v="1"/>
    <s v="IBRD loans and IDA credits (DOD, current US$)"/>
    <n v="1115359000"/>
    <x v="45"/>
  </r>
  <r>
    <x v="2"/>
    <s v="IBRD loans and IDA credits (DOD, current US$)"/>
    <n v="898960000"/>
    <x v="45"/>
  </r>
  <r>
    <x v="3"/>
    <s v="IBRD loans and IDA credits (DOD, current US$)"/>
    <n v="111076000"/>
    <x v="45"/>
  </r>
  <r>
    <x v="4"/>
    <s v="IBRD loans and IDA credits (DOD, current US$)"/>
    <n v="120303000"/>
    <x v="45"/>
  </r>
  <r>
    <x v="5"/>
    <s v="IBRD loans and IDA credits (DOD, current US$)"/>
    <n v="3358909000"/>
    <x v="45"/>
  </r>
  <r>
    <x v="6"/>
    <s v="IBRD loans and IDA credits (DOD, current US$)"/>
    <n v="1204761000"/>
    <x v="45"/>
  </r>
  <r>
    <x v="7"/>
    <s v="IBRD loans and IDA credits (DOD, current US$)"/>
    <n v="505484000"/>
    <x v="45"/>
  </r>
  <r>
    <x v="8"/>
    <s v="IBRD loans and IDA credits (DOD, current US$)"/>
    <n v="2663224000"/>
    <x v="45"/>
  </r>
  <r>
    <x v="9"/>
    <s v="IBRD loans and IDA credits (DOD, current US$)"/>
    <n v="0"/>
    <x v="45"/>
  </r>
  <r>
    <x v="10"/>
    <s v="IBRD loans and IDA credits (DOD, current US$)"/>
    <n v="251496000"/>
    <x v="45"/>
  </r>
  <r>
    <x v="11"/>
    <s v="IBRD loans and IDA credits (DOD, current US$)"/>
    <n v="2297933000"/>
    <x v="45"/>
  </r>
  <r>
    <x v="12"/>
    <s v="IBRD loans and IDA credits (DOD, current US$)"/>
    <n v="1940401000"/>
    <x v="45"/>
  </r>
  <r>
    <x v="13"/>
    <s v="IBRD loans and IDA credits (DOD, current US$)"/>
    <n v="1423842000"/>
    <x v="45"/>
  </r>
  <r>
    <x v="14"/>
    <s v="IBRD loans and IDA credits (DOD, current US$)"/>
    <n v="370582000"/>
    <x v="45"/>
  </r>
  <r>
    <x v="15"/>
    <s v="IBRD loans and IDA credits (DOD, current US$)"/>
    <n v="1574781000"/>
    <x v="45"/>
  </r>
  <r>
    <x v="16"/>
    <s v="IBRD loans and IDA credits (DOD, current US$)"/>
    <n v="752210000"/>
    <x v="45"/>
  </r>
  <r>
    <x v="17"/>
    <s v="IBRD loans and IDA credits (DOD, current US$)"/>
    <n v="1395638000"/>
    <x v="45"/>
  </r>
  <r>
    <x v="18"/>
    <s v="IBRD loans and IDA credits (DOD, current US$)"/>
    <n v="1135673000"/>
    <x v="45"/>
  </r>
  <r>
    <x v="19"/>
    <s v="IBRD loans and IDA credits (DOD, current US$)"/>
    <n v="1080122000"/>
    <x v="45"/>
  </r>
  <r>
    <x v="20"/>
    <s v="IBRD loans and IDA credits (DOD, current US$)"/>
    <n v="980303000"/>
    <x v="45"/>
  </r>
  <r>
    <x v="21"/>
    <s v="IBRD loans and IDA credits (DOD, current US$)"/>
    <n v="72355000"/>
    <x v="45"/>
  </r>
  <r>
    <x v="22"/>
    <s v="IBRD loans and IDA credits (DOD, current US$)"/>
    <n v="2094999000"/>
    <x v="45"/>
  </r>
  <r>
    <x v="23"/>
    <s v="IBRD loans and IDA credits (DOD, current US$)"/>
    <n v="307705000"/>
    <x v="45"/>
  </r>
  <r>
    <x v="24"/>
    <s v="IBRD loans and IDA credits (DOD, current US$)"/>
    <n v="3860941000"/>
    <x v="45"/>
  </r>
  <r>
    <x v="25"/>
    <s v="IBRD loans and IDA credits (DOD, current US$)"/>
    <n v="3141494000"/>
    <x v="45"/>
  </r>
  <r>
    <x v="26"/>
    <s v="IBRD loans and IDA credits (DOD, current US$)"/>
    <n v="2488266000"/>
    <x v="45"/>
  </r>
  <r>
    <x v="27"/>
    <s v="IBRD loans and IDA credits (DOD, current US$)"/>
    <n v="915253000"/>
    <x v="45"/>
  </r>
  <r>
    <x v="0"/>
    <s v="IBRD loans and IDA credits (DOD, current US$)"/>
    <n v="796977000"/>
    <x v="46"/>
  </r>
  <r>
    <x v="1"/>
    <s v="IBRD loans and IDA credits (DOD, current US$)"/>
    <n v="216276000"/>
    <x v="46"/>
  </r>
  <r>
    <x v="2"/>
    <s v="IBRD loans and IDA credits (DOD, current US$)"/>
    <n v="955598000"/>
    <x v="46"/>
  </r>
  <r>
    <x v="3"/>
    <s v="IBRD loans and IDA credits (DOD, current US$)"/>
    <n v="117087000"/>
    <x v="46"/>
  </r>
  <r>
    <x v="4"/>
    <s v="IBRD loans and IDA credits (DOD, current US$)"/>
    <n v="133347000"/>
    <x v="46"/>
  </r>
  <r>
    <x v="5"/>
    <s v="IBRD loans and IDA credits (DOD, current US$)"/>
    <n v="552614000"/>
    <x v="46"/>
  </r>
  <r>
    <x v="6"/>
    <s v="IBRD loans and IDA credits (DOD, current US$)"/>
    <n v="1259015000"/>
    <x v="46"/>
  </r>
  <r>
    <x v="7"/>
    <s v="IBRD loans and IDA credits (DOD, current US$)"/>
    <n v="511457000"/>
    <x v="46"/>
  </r>
  <r>
    <x v="8"/>
    <s v="IBRD loans and IDA credits (DOD, current US$)"/>
    <n v="2764089000"/>
    <x v="46"/>
  </r>
  <r>
    <x v="9"/>
    <s v="IBRD loans and IDA credits (DOD, current US$)"/>
    <n v="0"/>
    <x v="46"/>
  </r>
  <r>
    <x v="10"/>
    <s v="IBRD loans and IDA credits (DOD, current US$)"/>
    <n v="255535000"/>
    <x v="46"/>
  </r>
  <r>
    <x v="11"/>
    <s v="IBRD loans and IDA credits (DOD, current US$)"/>
    <n v="636053000"/>
    <x v="46"/>
  </r>
  <r>
    <x v="12"/>
    <s v="IBRD loans and IDA credits (DOD, current US$)"/>
    <n v="156890000"/>
    <x v="46"/>
  </r>
  <r>
    <x v="13"/>
    <s v="IBRD loans and IDA credits (DOD, current US$)"/>
    <n v="297359000"/>
    <x v="46"/>
  </r>
  <r>
    <x v="14"/>
    <s v="IBRD loans and IDA credits (DOD, current US$)"/>
    <n v="393389000"/>
    <x v="46"/>
  </r>
  <r>
    <x v="15"/>
    <s v="IBRD loans and IDA credits (DOD, current US$)"/>
    <n v="655468000"/>
    <x v="46"/>
  </r>
  <r>
    <x v="16"/>
    <s v="IBRD loans and IDA credits (DOD, current US$)"/>
    <n v="775878000"/>
    <x v="46"/>
  </r>
  <r>
    <x v="17"/>
    <s v="IBRD loans and IDA credits (DOD, current US$)"/>
    <n v="1467969000"/>
    <x v="46"/>
  </r>
  <r>
    <x v="18"/>
    <s v="IBRD loans and IDA credits (DOD, current US$)"/>
    <n v="255656000"/>
    <x v="46"/>
  </r>
  <r>
    <x v="19"/>
    <s v="IBRD loans and IDA credits (DOD, current US$)"/>
    <n v="188900000"/>
    <x v="46"/>
  </r>
  <r>
    <x v="20"/>
    <s v="IBRD loans and IDA credits (DOD, current US$)"/>
    <n v="168510000"/>
    <x v="46"/>
  </r>
  <r>
    <x v="21"/>
    <s v="IBRD loans and IDA credits (DOD, current US$)"/>
    <n v="76421000"/>
    <x v="46"/>
  </r>
  <r>
    <x v="22"/>
    <s v="IBRD loans and IDA credits (DOD, current US$)"/>
    <n v="2244549000"/>
    <x v="46"/>
  </r>
  <r>
    <x v="23"/>
    <s v="IBRD loans and IDA credits (DOD, current US$)"/>
    <n v="339036000"/>
    <x v="46"/>
  </r>
  <r>
    <x v="24"/>
    <s v="IBRD loans and IDA credits (DOD, current US$)"/>
    <n v="1055760000"/>
    <x v="46"/>
  </r>
  <r>
    <x v="25"/>
    <s v="IBRD loans and IDA credits (DOD, current US$)"/>
    <n v="436242000"/>
    <x v="46"/>
  </r>
  <r>
    <x v="26"/>
    <s v="IBRD loans and IDA credits (DOD, current US$)"/>
    <n v="259933000"/>
    <x v="46"/>
  </r>
  <r>
    <x v="27"/>
    <s v="IBRD loans and IDA credits (DOD, current US$)"/>
    <n v="946215000"/>
    <x v="46"/>
  </r>
  <r>
    <x v="0"/>
    <s v="IBRD loans and IDA credits (DOD, current US$)"/>
    <n v="830118000"/>
    <x v="47"/>
  </r>
  <r>
    <x v="1"/>
    <s v="IBRD loans and IDA credits (DOD, current US$)"/>
    <n v="238537000"/>
    <x v="47"/>
  </r>
  <r>
    <x v="2"/>
    <s v="IBRD loans and IDA credits (DOD, current US$)"/>
    <n v="993807000"/>
    <x v="47"/>
  </r>
  <r>
    <x v="3"/>
    <s v="IBRD loans and IDA credits (DOD, current US$)"/>
    <n v="124350000"/>
    <x v="47"/>
  </r>
  <r>
    <x v="4"/>
    <s v="IBRD loans and IDA credits (DOD, current US$)"/>
    <n v="147161000"/>
    <x v="47"/>
  </r>
  <r>
    <x v="5"/>
    <s v="IBRD loans and IDA credits (DOD, current US$)"/>
    <n v="710571000"/>
    <x v="47"/>
  </r>
  <r>
    <x v="6"/>
    <s v="IBRD loans and IDA credits (DOD, current US$)"/>
    <n v="1305197000"/>
    <x v="47"/>
  </r>
  <r>
    <x v="7"/>
    <s v="IBRD loans and IDA credits (DOD, current US$)"/>
    <n v="518369000"/>
    <x v="47"/>
  </r>
  <r>
    <x v="8"/>
    <s v="IBRD loans and IDA credits (DOD, current US$)"/>
    <n v="2968119000"/>
    <x v="47"/>
  </r>
  <r>
    <x v="9"/>
    <s v="IBRD loans and IDA credits (DOD, current US$)"/>
    <n v="0"/>
    <x v="47"/>
  </r>
  <r>
    <x v="10"/>
    <s v="IBRD loans and IDA credits (DOD, current US$)"/>
    <n v="76618000"/>
    <x v="47"/>
  </r>
  <r>
    <x v="11"/>
    <s v="IBRD loans and IDA credits (DOD, current US$)"/>
    <n v="864936000"/>
    <x v="47"/>
  </r>
  <r>
    <x v="12"/>
    <s v="IBRD loans and IDA credits (DOD, current US$)"/>
    <n v="177551000"/>
    <x v="47"/>
  </r>
  <r>
    <x v="13"/>
    <s v="IBRD loans and IDA credits (DOD, current US$)"/>
    <n v="451682000"/>
    <x v="47"/>
  </r>
  <r>
    <x v="14"/>
    <s v="IBRD loans and IDA credits (DOD, current US$)"/>
    <n v="432385000"/>
    <x v="47"/>
  </r>
  <r>
    <x v="15"/>
    <s v="IBRD loans and IDA credits (DOD, current US$)"/>
    <n v="902072000"/>
    <x v="47"/>
  </r>
  <r>
    <x v="16"/>
    <s v="IBRD loans and IDA credits (DOD, current US$)"/>
    <n v="792824000"/>
    <x v="47"/>
  </r>
  <r>
    <x v="17"/>
    <s v="IBRD loans and IDA credits (DOD, current US$)"/>
    <n v="1524062000"/>
    <x v="47"/>
  </r>
  <r>
    <x v="18"/>
    <s v="IBRD loans and IDA credits (DOD, current US$)"/>
    <n v="321434000"/>
    <x v="47"/>
  </r>
  <r>
    <x v="19"/>
    <s v="IBRD loans and IDA credits (DOD, current US$)"/>
    <n v="234874000"/>
    <x v="47"/>
  </r>
  <r>
    <x v="20"/>
    <s v="IBRD loans and IDA credits (DOD, current US$)"/>
    <n v="203838000"/>
    <x v="47"/>
  </r>
  <r>
    <x v="21"/>
    <s v="IBRD loans and IDA credits (DOD, current US$)"/>
    <n v="10721000"/>
    <x v="47"/>
  </r>
  <r>
    <x v="22"/>
    <s v="IBRD loans and IDA credits (DOD, current US$)"/>
    <n v="2356761000"/>
    <x v="47"/>
  </r>
  <r>
    <x v="23"/>
    <s v="IBRD loans and IDA credits (DOD, current US$)"/>
    <n v="360495000"/>
    <x v="47"/>
  </r>
  <r>
    <x v="24"/>
    <s v="IBRD loans and IDA credits (DOD, current US$)"/>
    <n v="1585295000"/>
    <x v="47"/>
  </r>
  <r>
    <x v="25"/>
    <s v="IBRD loans and IDA credits (DOD, current US$)"/>
    <n v="840099000"/>
    <x v="47"/>
  </r>
  <r>
    <x v="26"/>
    <s v="IBRD loans and IDA credits (DOD, current US$)"/>
    <n v="323237000"/>
    <x v="47"/>
  </r>
  <r>
    <x v="27"/>
    <s v="IBRD loans and IDA credits (DOD, current US$)"/>
    <n v="976679000"/>
    <x v="47"/>
  </r>
  <r>
    <x v="0"/>
    <s v="IBRD loans and IDA credits (DOD, current US$)"/>
    <n v="818524000"/>
    <x v="48"/>
  </r>
  <r>
    <x v="1"/>
    <s v="IBRD loans and IDA credits (DOD, current US$)"/>
    <n v="259892000"/>
    <x v="48"/>
  </r>
  <r>
    <x v="2"/>
    <s v="IBRD loans and IDA credits (DOD, current US$)"/>
    <n v="904807000"/>
    <x v="48"/>
  </r>
  <r>
    <x v="3"/>
    <s v="IBRD loans and IDA credits (DOD, current US$)"/>
    <n v="122332000"/>
    <x v="48"/>
  </r>
  <r>
    <x v="4"/>
    <s v="IBRD loans and IDA credits (DOD, current US$)"/>
    <n v="151600000"/>
    <x v="48"/>
  </r>
  <r>
    <x v="5"/>
    <s v="IBRD loans and IDA credits (DOD, current US$)"/>
    <n v="859135000"/>
    <x v="48"/>
  </r>
  <r>
    <x v="6"/>
    <s v="IBRD loans and IDA credits (DOD, current US$)"/>
    <n v="1288171000"/>
    <x v="48"/>
  </r>
  <r>
    <x v="7"/>
    <s v="IBRD loans and IDA credits (DOD, current US$)"/>
    <n v="507237000"/>
    <x v="48"/>
  </r>
  <r>
    <x v="8"/>
    <s v="IBRD loans and IDA credits (DOD, current US$)"/>
    <n v="3050475000"/>
    <x v="48"/>
  </r>
  <r>
    <x v="9"/>
    <s v="IBRD loans and IDA credits (DOD, current US$)"/>
    <n v="0"/>
    <x v="48"/>
  </r>
  <r>
    <x v="10"/>
    <s v="IBRD loans and IDA credits (DOD, current US$)"/>
    <n v="72013000"/>
    <x v="48"/>
  </r>
  <r>
    <x v="11"/>
    <s v="IBRD loans and IDA credits (DOD, current US$)"/>
    <n v="1066132000"/>
    <x v="48"/>
  </r>
  <r>
    <x v="12"/>
    <s v="IBRD loans and IDA credits (DOD, current US$)"/>
    <n v="187724000"/>
    <x v="48"/>
  </r>
  <r>
    <x v="13"/>
    <s v="IBRD loans and IDA credits (DOD, current US$)"/>
    <n v="533952000"/>
    <x v="48"/>
  </r>
  <r>
    <x v="14"/>
    <s v="IBRD loans and IDA credits (DOD, current US$)"/>
    <n v="440050000"/>
    <x v="48"/>
  </r>
  <r>
    <x v="15"/>
    <s v="IBRD loans and IDA credits (DOD, current US$)"/>
    <n v="1149468000"/>
    <x v="48"/>
  </r>
  <r>
    <x v="16"/>
    <s v="IBRD loans and IDA credits (DOD, current US$)"/>
    <n v="770330000"/>
    <x v="48"/>
  </r>
  <r>
    <x v="17"/>
    <s v="IBRD loans and IDA credits (DOD, current US$)"/>
    <n v="1506561000"/>
    <x v="48"/>
  </r>
  <r>
    <x v="18"/>
    <s v="IBRD loans and IDA credits (DOD, current US$)"/>
    <n v="347456000"/>
    <x v="48"/>
  </r>
  <r>
    <x v="19"/>
    <s v="IBRD loans and IDA credits (DOD, current US$)"/>
    <n v="248098000"/>
    <x v="48"/>
  </r>
  <r>
    <x v="20"/>
    <s v="IBRD loans and IDA credits (DOD, current US$)"/>
    <n v="241748000"/>
    <x v="48"/>
  </r>
  <r>
    <x v="21"/>
    <s v="IBRD loans and IDA credits (DOD, current US$)"/>
    <n v="13264000"/>
    <x v="48"/>
  </r>
  <r>
    <x v="22"/>
    <s v="IBRD loans and IDA credits (DOD, current US$)"/>
    <n v="2380921000"/>
    <x v="48"/>
  </r>
  <r>
    <x v="23"/>
    <s v="IBRD loans and IDA credits (DOD, current US$)"/>
    <n v="365247000"/>
    <x v="48"/>
  </r>
  <r>
    <x v="24"/>
    <s v="IBRD loans and IDA credits (DOD, current US$)"/>
    <n v="1971488000"/>
    <x v="48"/>
  </r>
  <r>
    <x v="25"/>
    <s v="IBRD loans and IDA credits (DOD, current US$)"/>
    <n v="1004189000"/>
    <x v="48"/>
  </r>
  <r>
    <x v="26"/>
    <s v="IBRD loans and IDA credits (DOD, current US$)"/>
    <n v="371177000"/>
    <x v="48"/>
  </r>
  <r>
    <x v="27"/>
    <s v="IBRD loans and IDA credits (DOD, current US$)"/>
    <n v="982592000"/>
    <x v="48"/>
  </r>
  <r>
    <x v="0"/>
    <s v="IBRD loans and IDA credits (DOD, current US$)"/>
    <n v="147247000"/>
    <x v="49"/>
  </r>
  <r>
    <x v="1"/>
    <s v="IBRD loans and IDA credits (DOD, current US$)"/>
    <n v="302832000"/>
    <x v="49"/>
  </r>
  <r>
    <x v="2"/>
    <s v="IBRD loans and IDA credits (DOD, current US$)"/>
    <n v="896286000"/>
    <x v="49"/>
  </r>
  <r>
    <x v="3"/>
    <s v="IBRD loans and IDA credits (DOD, current US$)"/>
    <n v="120371000"/>
    <x v="49"/>
  </r>
  <r>
    <x v="4"/>
    <s v="IBRD loans and IDA credits (DOD, current US$)"/>
    <n v="158376000"/>
    <x v="49"/>
  </r>
  <r>
    <x v="5"/>
    <s v="IBRD loans and IDA credits (DOD, current US$)"/>
    <n v="1421652000"/>
    <x v="49"/>
  </r>
  <r>
    <x v="6"/>
    <s v="IBRD loans and IDA credits (DOD, current US$)"/>
    <n v="1269404000"/>
    <x v="49"/>
  </r>
  <r>
    <x v="7"/>
    <s v="IBRD loans and IDA credits (DOD, current US$)"/>
    <n v="38500000"/>
    <x v="49"/>
  </r>
  <r>
    <x v="8"/>
    <s v="IBRD loans and IDA credits (DOD, current US$)"/>
    <n v="3156096000"/>
    <x v="49"/>
  </r>
  <r>
    <x v="9"/>
    <s v="IBRD loans and IDA credits (DOD, current US$)"/>
    <n v="358529000"/>
    <x v="49"/>
  </r>
  <r>
    <x v="10"/>
    <s v="IBRD loans and IDA credits (DOD, current US$)"/>
    <n v="68993000"/>
    <x v="49"/>
  </r>
  <r>
    <x v="11"/>
    <s v="IBRD loans and IDA credits (DOD, current US$)"/>
    <n v="1104906000"/>
    <x v="49"/>
  </r>
  <r>
    <x v="12"/>
    <s v="IBRD loans and IDA credits (DOD, current US$)"/>
    <n v="212764000"/>
    <x v="49"/>
  </r>
  <r>
    <x v="13"/>
    <s v="IBRD loans and IDA credits (DOD, current US$)"/>
    <n v="698443000"/>
    <x v="49"/>
  </r>
  <r>
    <x v="14"/>
    <s v="IBRD loans and IDA credits (DOD, current US$)"/>
    <n v="442566000"/>
    <x v="49"/>
  </r>
  <r>
    <x v="15"/>
    <s v="IBRD loans and IDA credits (DOD, current US$)"/>
    <n v="1355819000"/>
    <x v="49"/>
  </r>
  <r>
    <x v="16"/>
    <s v="IBRD loans and IDA credits (DOD, current US$)"/>
    <n v="777441000"/>
    <x v="49"/>
  </r>
  <r>
    <x v="17"/>
    <s v="IBRD loans and IDA credits (DOD, current US$)"/>
    <n v="1482628000"/>
    <x v="49"/>
  </r>
  <r>
    <x v="18"/>
    <s v="IBRD loans and IDA credits (DOD, current US$)"/>
    <n v="417996000"/>
    <x v="49"/>
  </r>
  <r>
    <x v="19"/>
    <s v="IBRD loans and IDA credits (DOD, current US$)"/>
    <n v="265733000"/>
    <x v="49"/>
  </r>
  <r>
    <x v="20"/>
    <s v="IBRD loans and IDA credits (DOD, current US$)"/>
    <n v="254227000"/>
    <x v="49"/>
  </r>
  <r>
    <x v="21"/>
    <s v="IBRD loans and IDA credits (DOD, current US$)"/>
    <n v="14405000"/>
    <x v="49"/>
  </r>
  <r>
    <x v="22"/>
    <s v="IBRD loans and IDA credits (DOD, current US$)"/>
    <n v="2486760000"/>
    <x v="49"/>
  </r>
  <r>
    <x v="23"/>
    <s v="IBRD loans and IDA credits (DOD, current US$)"/>
    <n v="372831000"/>
    <x v="49"/>
  </r>
  <r>
    <x v="24"/>
    <s v="IBRD loans and IDA credits (DOD, current US$)"/>
    <n v="2598493000"/>
    <x v="49"/>
  </r>
  <r>
    <x v="25"/>
    <s v="IBRD loans and IDA credits (DOD, current US$)"/>
    <n v="1378799000"/>
    <x v="49"/>
  </r>
  <r>
    <x v="26"/>
    <s v="IBRD loans and IDA credits (DOD, current US$)"/>
    <n v="406921000"/>
    <x v="49"/>
  </r>
  <r>
    <x v="27"/>
    <s v="IBRD loans and IDA credits (DOD, current US$)"/>
    <n v="985375000"/>
    <x v="49"/>
  </r>
  <r>
    <x v="0"/>
    <s v="IBRD loans and IDA credits (DOD, current US$)"/>
    <n v="162687000"/>
    <x v="50"/>
  </r>
  <r>
    <x v="1"/>
    <s v="IBRD loans and IDA credits (DOD, current US$)"/>
    <n v="374021000"/>
    <x v="50"/>
  </r>
  <r>
    <x v="2"/>
    <s v="IBRD loans and IDA credits (DOD, current US$)"/>
    <n v="864708000"/>
    <x v="50"/>
  </r>
  <r>
    <x v="3"/>
    <s v="IBRD loans and IDA credits (DOD, current US$)"/>
    <n v="115505000"/>
    <x v="50"/>
  </r>
  <r>
    <x v="4"/>
    <s v="IBRD loans and IDA credits (DOD, current US$)"/>
    <n v="154716000"/>
    <x v="50"/>
  </r>
  <r>
    <x v="5"/>
    <s v="IBRD loans and IDA credits (DOD, current US$)"/>
    <n v="1803676000"/>
    <x v="50"/>
  </r>
  <r>
    <x v="6"/>
    <s v="IBRD loans and IDA credits (DOD, current US$)"/>
    <n v="1247633000"/>
    <x v="50"/>
  </r>
  <r>
    <x v="7"/>
    <s v="IBRD loans and IDA credits (DOD, current US$)"/>
    <n v="0"/>
    <x v="50"/>
  </r>
  <r>
    <x v="8"/>
    <s v="IBRD loans and IDA credits (DOD, current US$)"/>
    <n v="3237614000"/>
    <x v="50"/>
  </r>
  <r>
    <x v="9"/>
    <s v="IBRD loans and IDA credits (DOD, current US$)"/>
    <n v="318968000"/>
    <x v="50"/>
  </r>
  <r>
    <x v="10"/>
    <s v="IBRD loans and IDA credits (DOD, current US$)"/>
    <n v="0"/>
    <x v="50"/>
  </r>
  <r>
    <x v="11"/>
    <s v="IBRD loans and IDA credits (DOD, current US$)"/>
    <n v="1161066000"/>
    <x v="50"/>
  </r>
  <r>
    <x v="12"/>
    <s v="IBRD loans and IDA credits (DOD, current US$)"/>
    <n v="242588000"/>
    <x v="50"/>
  </r>
  <r>
    <x v="13"/>
    <s v="IBRD loans and IDA credits (DOD, current US$)"/>
    <n v="839879000"/>
    <x v="50"/>
  </r>
  <r>
    <x v="14"/>
    <s v="IBRD loans and IDA credits (DOD, current US$)"/>
    <n v="479489000"/>
    <x v="50"/>
  </r>
  <r>
    <x v="15"/>
    <s v="IBRD loans and IDA credits (DOD, current US$)"/>
    <n v="1490905000"/>
    <x v="50"/>
  </r>
  <r>
    <x v="16"/>
    <s v="IBRD loans and IDA credits (DOD, current US$)"/>
    <n v="798547000"/>
    <x v="50"/>
  </r>
  <r>
    <x v="17"/>
    <s v="IBRD loans and IDA credits (DOD, current US$)"/>
    <n v="1426265000"/>
    <x v="50"/>
  </r>
  <r>
    <x v="18"/>
    <s v="IBRD loans and IDA credits (DOD, current US$)"/>
    <n v="447212000"/>
    <x v="50"/>
  </r>
  <r>
    <x v="19"/>
    <s v="IBRD loans and IDA credits (DOD, current US$)"/>
    <n v="275240000"/>
    <x v="50"/>
  </r>
  <r>
    <x v="20"/>
    <s v="IBRD loans and IDA credits (DOD, current US$)"/>
    <n v="259400000"/>
    <x v="50"/>
  </r>
  <r>
    <x v="21"/>
    <s v="IBRD loans and IDA credits (DOD, current US$)"/>
    <n v="14218000"/>
    <x v="50"/>
  </r>
  <r>
    <x v="22"/>
    <s v="IBRD loans and IDA credits (DOD, current US$)"/>
    <n v="2530524000"/>
    <x v="50"/>
  </r>
  <r>
    <x v="23"/>
    <s v="IBRD loans and IDA credits (DOD, current US$)"/>
    <n v="377048000"/>
    <x v="50"/>
  </r>
  <r>
    <x v="24"/>
    <s v="IBRD loans and IDA credits (DOD, current US$)"/>
    <n v="3248166000"/>
    <x v="50"/>
  </r>
  <r>
    <x v="25"/>
    <s v="IBRD loans and IDA credits (DOD, current US$)"/>
    <n v="1682408000"/>
    <x v="50"/>
  </r>
  <r>
    <x v="26"/>
    <s v="IBRD loans and IDA credits (DOD, current US$)"/>
    <n v="430103000"/>
    <x v="50"/>
  </r>
  <r>
    <x v="27"/>
    <s v="IBRD loans and IDA credits (DOD, current US$)"/>
    <n v="976035000"/>
    <x v="50"/>
  </r>
  <r>
    <x v="0"/>
    <s v="IBRD loans and IDA credits (DOD, current US$)"/>
    <n v="170187000"/>
    <x v="51"/>
  </r>
  <r>
    <x v="1"/>
    <s v="IBRD loans and IDA credits (DOD, current US$)"/>
    <n v="431007000"/>
    <x v="51"/>
  </r>
  <r>
    <x v="2"/>
    <s v="IBRD loans and IDA credits (DOD, current US$)"/>
    <n v="845304000"/>
    <x v="51"/>
  </r>
  <r>
    <x v="3"/>
    <s v="IBRD loans and IDA credits (DOD, current US$)"/>
    <n v="111995000"/>
    <x v="51"/>
  </r>
  <r>
    <x v="4"/>
    <s v="IBRD loans and IDA credits (DOD, current US$)"/>
    <n v="152616000"/>
    <x v="51"/>
  </r>
  <r>
    <x v="5"/>
    <s v="IBRD loans and IDA credits (DOD, current US$)"/>
    <n v="2207661000"/>
    <x v="51"/>
  </r>
  <r>
    <x v="6"/>
    <s v="IBRD loans and IDA credits (DOD, current US$)"/>
    <n v="1165841000"/>
    <x v="51"/>
  </r>
  <r>
    <x v="7"/>
    <s v="IBRD loans and IDA credits (DOD, current US$)"/>
    <n v="0"/>
    <x v="51"/>
  </r>
  <r>
    <x v="8"/>
    <s v="IBRD loans and IDA credits (DOD, current US$)"/>
    <n v="3388428000"/>
    <x v="51"/>
  </r>
  <r>
    <x v="9"/>
    <s v="IBRD loans and IDA credits (DOD, current US$)"/>
    <n v="299378000"/>
    <x v="51"/>
  </r>
  <r>
    <x v="10"/>
    <s v="IBRD loans and IDA credits (DOD, current US$)"/>
    <n v="13723000"/>
    <x v="51"/>
  </r>
  <r>
    <x v="11"/>
    <s v="IBRD loans and IDA credits (DOD, current US$)"/>
    <n v="1198094000"/>
    <x v="51"/>
  </r>
  <r>
    <x v="12"/>
    <s v="IBRD loans and IDA credits (DOD, current US$)"/>
    <n v="274145000"/>
    <x v="51"/>
  </r>
  <r>
    <x v="13"/>
    <s v="IBRD loans and IDA credits (DOD, current US$)"/>
    <n v="981342000"/>
    <x v="51"/>
  </r>
  <r>
    <x v="14"/>
    <s v="IBRD loans and IDA credits (DOD, current US$)"/>
    <n v="509592000"/>
    <x v="51"/>
  </r>
  <r>
    <x v="15"/>
    <s v="IBRD loans and IDA credits (DOD, current US$)"/>
    <n v="1577138000"/>
    <x v="51"/>
  </r>
  <r>
    <x v="16"/>
    <s v="IBRD loans and IDA credits (DOD, current US$)"/>
    <n v="787120000"/>
    <x v="51"/>
  </r>
  <r>
    <x v="17"/>
    <s v="IBRD loans and IDA credits (DOD, current US$)"/>
    <n v="1426053000"/>
    <x v="51"/>
  </r>
  <r>
    <x v="18"/>
    <s v="IBRD loans and IDA credits (DOD, current US$)"/>
    <n v="473767000"/>
    <x v="51"/>
  </r>
  <r>
    <x v="19"/>
    <s v="IBRD loans and IDA credits (DOD, current US$)"/>
    <n v="354586000"/>
    <x v="51"/>
  </r>
  <r>
    <x v="20"/>
    <s v="IBRD loans and IDA credits (DOD, current US$)"/>
    <n v="391665000"/>
    <x v="51"/>
  </r>
  <r>
    <x v="21"/>
    <s v="IBRD loans and IDA credits (DOD, current US$)"/>
    <n v="14105000"/>
    <x v="51"/>
  </r>
  <r>
    <x v="22"/>
    <s v="IBRD loans and IDA credits (DOD, current US$)"/>
    <n v="2652150000"/>
    <x v="51"/>
  </r>
  <r>
    <x v="23"/>
    <s v="IBRD loans and IDA credits (DOD, current US$)"/>
    <n v="374205000"/>
    <x v="51"/>
  </r>
  <r>
    <x v="24"/>
    <s v="IBRD loans and IDA credits (DOD, current US$)"/>
    <n v="3490279000"/>
    <x v="51"/>
  </r>
  <r>
    <x v="25"/>
    <s v="IBRD loans and IDA credits (DOD, current US$)"/>
    <n v="1843794000"/>
    <x v="51"/>
  </r>
  <r>
    <x v="26"/>
    <s v="IBRD loans and IDA credits (DOD, current US$)"/>
    <n v="492048000"/>
    <x v="51"/>
  </r>
  <r>
    <x v="27"/>
    <s v="IBRD loans and IDA credits (DOD, current US$)"/>
    <n v="974588000"/>
    <x v="51"/>
  </r>
  <r>
    <x v="0"/>
    <s v="IBRD loans and IDA credits (DOD, current US$)"/>
    <n v="174892000"/>
    <x v="52"/>
  </r>
  <r>
    <x v="1"/>
    <s v="IBRD loans and IDA credits (DOD, current US$)"/>
    <n v="511790000"/>
    <x v="52"/>
  </r>
  <r>
    <x v="2"/>
    <s v="IBRD loans and IDA credits (DOD, current US$)"/>
    <n v="829511000"/>
    <x v="52"/>
  </r>
  <r>
    <x v="3"/>
    <s v="IBRD loans and IDA credits (DOD, current US$)"/>
    <n v="90293000"/>
    <x v="52"/>
  </r>
  <r>
    <x v="4"/>
    <s v="IBRD loans and IDA credits (DOD, current US$)"/>
    <n v="150774000"/>
    <x v="52"/>
  </r>
  <r>
    <x v="5"/>
    <s v="IBRD loans and IDA credits (DOD, current US$)"/>
    <n v="2801037000"/>
    <x v="52"/>
  </r>
  <r>
    <x v="6"/>
    <s v="IBRD loans and IDA credits (DOD, current US$)"/>
    <n v="158959000"/>
    <x v="52"/>
  </r>
  <r>
    <x v="7"/>
    <s v="IBRD loans and IDA credits (DOD, current US$)"/>
    <n v="0"/>
    <x v="52"/>
  </r>
  <r>
    <x v="8"/>
    <s v="IBRD loans and IDA credits (DOD, current US$)"/>
    <n v="3585785000"/>
    <x v="52"/>
  </r>
  <r>
    <x v="9"/>
    <s v="IBRD loans and IDA credits (DOD, current US$)"/>
    <n v="294523000"/>
    <x v="52"/>
  </r>
  <r>
    <x v="10"/>
    <s v="IBRD loans and IDA credits (DOD, current US$)"/>
    <n v="36970000"/>
    <x v="52"/>
  </r>
  <r>
    <x v="11"/>
    <s v="IBRD loans and IDA credits (DOD, current US$)"/>
    <n v="1246421000"/>
    <x v="52"/>
  </r>
  <r>
    <x v="12"/>
    <s v="IBRD loans and IDA credits (DOD, current US$)"/>
    <n v="322954000"/>
    <x v="52"/>
  </r>
  <r>
    <x v="13"/>
    <s v="IBRD loans and IDA credits (DOD, current US$)"/>
    <n v="1051099000"/>
    <x v="52"/>
  </r>
  <r>
    <x v="14"/>
    <s v="IBRD loans and IDA credits (DOD, current US$)"/>
    <n v="561430000"/>
    <x v="52"/>
  </r>
  <r>
    <x v="15"/>
    <s v="IBRD loans and IDA credits (DOD, current US$)"/>
    <n v="1808341000"/>
    <x v="52"/>
  </r>
  <r>
    <x v="16"/>
    <s v="IBRD loans and IDA credits (DOD, current US$)"/>
    <n v="854565000"/>
    <x v="52"/>
  </r>
  <r>
    <x v="17"/>
    <s v="IBRD loans and IDA credits (DOD, current US$)"/>
    <n v="1458676000"/>
    <x v="52"/>
  </r>
  <r>
    <x v="18"/>
    <s v="IBRD loans and IDA credits (DOD, current US$)"/>
    <n v="498248000"/>
    <x v="52"/>
  </r>
  <r>
    <x v="19"/>
    <s v="IBRD loans and IDA credits (DOD, current US$)"/>
    <n v="447194000"/>
    <x v="52"/>
  </r>
  <r>
    <x v="20"/>
    <s v="IBRD loans and IDA credits (DOD, current US$)"/>
    <n v="429900000"/>
    <x v="52"/>
  </r>
  <r>
    <x v="21"/>
    <s v="IBRD loans and IDA credits (DOD, current US$)"/>
    <n v="14048000"/>
    <x v="52"/>
  </r>
  <r>
    <x v="22"/>
    <s v="IBRD loans and IDA credits (DOD, current US$)"/>
    <n v="2752293000"/>
    <x v="52"/>
  </r>
  <r>
    <x v="23"/>
    <s v="IBRD loans and IDA credits (DOD, current US$)"/>
    <n v="371701000"/>
    <x v="52"/>
  </r>
  <r>
    <x v="24"/>
    <s v="IBRD loans and IDA credits (DOD, current US$)"/>
    <n v="4030440000"/>
    <x v="52"/>
  </r>
  <r>
    <x v="25"/>
    <s v="IBRD loans and IDA credits (DOD, current US$)"/>
    <n v="2033340000"/>
    <x v="52"/>
  </r>
  <r>
    <x v="26"/>
    <s v="IBRD loans and IDA credits (DOD, current US$)"/>
    <n v="565101000"/>
    <x v="52"/>
  </r>
  <r>
    <x v="27"/>
    <s v="IBRD loans and IDA credits (DOD, current US$)"/>
    <n v="974802000"/>
    <x v="52"/>
  </r>
  <r>
    <x v="0"/>
    <s v="IBRD loans and IDA credits (DOD, current US$)"/>
    <n v="173444000"/>
    <x v="53"/>
  </r>
  <r>
    <x v="1"/>
    <s v="IBRD loans and IDA credits (DOD, current US$)"/>
    <n v="667209000"/>
    <x v="53"/>
  </r>
  <r>
    <x v="2"/>
    <s v="IBRD loans and IDA credits (DOD, current US$)"/>
    <n v="810156000"/>
    <x v="53"/>
  </r>
  <r>
    <x v="3"/>
    <s v="IBRD loans and IDA credits (DOD, current US$)"/>
    <n v="15534000"/>
    <x v="53"/>
  </r>
  <r>
    <x v="4"/>
    <s v="IBRD loans and IDA credits (DOD, current US$)"/>
    <n v="147638000"/>
    <x v="53"/>
  </r>
  <r>
    <x v="5"/>
    <s v="IBRD loans and IDA credits (DOD, current US$)"/>
    <n v="3658035000"/>
    <x v="53"/>
  </r>
  <r>
    <x v="6"/>
    <s v="IBRD loans and IDA credits (DOD, current US$)"/>
    <n v="168047000"/>
    <x v="53"/>
  </r>
  <r>
    <x v="7"/>
    <s v="IBRD loans and IDA credits (DOD, current US$)"/>
    <n v="0"/>
    <x v="53"/>
  </r>
  <r>
    <x v="8"/>
    <s v="IBRD loans and IDA credits (DOD, current US$)"/>
    <n v="3982522000"/>
    <x v="53"/>
  </r>
  <r>
    <x v="9"/>
    <s v="IBRD loans and IDA credits (DOD, current US$)"/>
    <n v="297421000"/>
    <x v="53"/>
  </r>
  <r>
    <x v="10"/>
    <s v="IBRD loans and IDA credits (DOD, current US$)"/>
    <n v="58947000"/>
    <x v="53"/>
  </r>
  <r>
    <x v="11"/>
    <s v="IBRD loans and IDA credits (DOD, current US$)"/>
    <n v="1330339000"/>
    <x v="53"/>
  </r>
  <r>
    <x v="12"/>
    <s v="IBRD loans and IDA credits (DOD, current US$)"/>
    <n v="417525000"/>
    <x v="53"/>
  </r>
  <r>
    <x v="13"/>
    <s v="IBRD loans and IDA credits (DOD, current US$)"/>
    <n v="1202881000"/>
    <x v="53"/>
  </r>
  <r>
    <x v="14"/>
    <s v="IBRD loans and IDA credits (DOD, current US$)"/>
    <n v="568750000"/>
    <x v="53"/>
  </r>
  <r>
    <x v="15"/>
    <s v="IBRD loans and IDA credits (DOD, current US$)"/>
    <n v="2185015000"/>
    <x v="53"/>
  </r>
  <r>
    <x v="16"/>
    <s v="IBRD loans and IDA credits (DOD, current US$)"/>
    <n v="850612000"/>
    <x v="53"/>
  </r>
  <r>
    <x v="17"/>
    <s v="IBRD loans and IDA credits (DOD, current US$)"/>
    <n v="1553423000"/>
    <x v="53"/>
  </r>
  <r>
    <x v="18"/>
    <s v="IBRD loans and IDA credits (DOD, current US$)"/>
    <n v="533413000"/>
    <x v="53"/>
  </r>
  <r>
    <x v="19"/>
    <s v="IBRD loans and IDA credits (DOD, current US$)"/>
    <n v="549653000"/>
    <x v="53"/>
  </r>
  <r>
    <x v="20"/>
    <s v="IBRD loans and IDA credits (DOD, current US$)"/>
    <n v="472556000"/>
    <x v="53"/>
  </r>
  <r>
    <x v="21"/>
    <s v="IBRD loans and IDA credits (DOD, current US$)"/>
    <n v="14004000"/>
    <x v="53"/>
  </r>
  <r>
    <x v="22"/>
    <s v="IBRD loans and IDA credits (DOD, current US$)"/>
    <n v="2884178000"/>
    <x v="53"/>
  </r>
  <r>
    <x v="23"/>
    <s v="IBRD loans and IDA credits (DOD, current US$)"/>
    <n v="365584000"/>
    <x v="53"/>
  </r>
  <r>
    <x v="24"/>
    <s v="IBRD loans and IDA credits (DOD, current US$)"/>
    <n v="4746441000"/>
    <x v="53"/>
  </r>
  <r>
    <x v="25"/>
    <s v="IBRD loans and IDA credits (DOD, current US$)"/>
    <n v="2394237000"/>
    <x v="53"/>
  </r>
  <r>
    <x v="26"/>
    <s v="IBRD loans and IDA credits (DOD, current US$)"/>
    <n v="631928000"/>
    <x v="53"/>
  </r>
  <r>
    <x v="27"/>
    <s v="IBRD loans and IDA credits (DOD, current US$)"/>
    <n v="975446000"/>
    <x v="53"/>
  </r>
  <r>
    <x v="0"/>
    <s v="IBRD loans and IDA credits (DOD, current US$)"/>
    <n v="160731000"/>
    <x v="54"/>
  </r>
  <r>
    <x v="1"/>
    <s v="IBRD loans and IDA credits (DOD, current US$)"/>
    <n v="742910000"/>
    <x v="54"/>
  </r>
  <r>
    <x v="2"/>
    <s v="IBRD loans and IDA credits (DOD, current US$)"/>
    <n v="747070000"/>
    <x v="54"/>
  </r>
  <r>
    <x v="3"/>
    <s v="IBRD loans and IDA credits (DOD, current US$)"/>
    <n v="14448000"/>
    <x v="54"/>
  </r>
  <r>
    <x v="4"/>
    <s v="IBRD loans and IDA credits (DOD, current US$)"/>
    <n v="136579000"/>
    <x v="54"/>
  </r>
  <r>
    <x v="5"/>
    <s v="IBRD loans and IDA credits (DOD, current US$)"/>
    <n v="4258610000"/>
    <x v="54"/>
  </r>
  <r>
    <x v="6"/>
    <s v="IBRD loans and IDA credits (DOD, current US$)"/>
    <n v="196542000"/>
    <x v="54"/>
  </r>
  <r>
    <x v="7"/>
    <s v="IBRD loans and IDA credits (DOD, current US$)"/>
    <n v="0"/>
    <x v="54"/>
  </r>
  <r>
    <x v="8"/>
    <s v="IBRD loans and IDA credits (DOD, current US$)"/>
    <n v="4199127000"/>
    <x v="54"/>
  </r>
  <r>
    <x v="9"/>
    <s v="IBRD loans and IDA credits (DOD, current US$)"/>
    <n v="259082000"/>
    <x v="54"/>
  </r>
  <r>
    <x v="10"/>
    <s v="IBRD loans and IDA credits (DOD, current US$)"/>
    <n v="102315000"/>
    <x v="54"/>
  </r>
  <r>
    <x v="11"/>
    <s v="IBRD loans and IDA credits (DOD, current US$)"/>
    <n v="1365919000"/>
    <x v="54"/>
  </r>
  <r>
    <x v="12"/>
    <s v="IBRD loans and IDA credits (DOD, current US$)"/>
    <n v="501386000"/>
    <x v="54"/>
  </r>
  <r>
    <x v="13"/>
    <s v="IBRD loans and IDA credits (DOD, current US$)"/>
    <n v="1231870000"/>
    <x v="54"/>
  </r>
  <r>
    <x v="14"/>
    <s v="IBRD loans and IDA credits (DOD, current US$)"/>
    <n v="564323000"/>
    <x v="54"/>
  </r>
  <r>
    <x v="15"/>
    <s v="IBRD loans and IDA credits (DOD, current US$)"/>
    <n v="2284912000"/>
    <x v="54"/>
  </r>
  <r>
    <x v="16"/>
    <s v="IBRD loans and IDA credits (DOD, current US$)"/>
    <n v="766514000"/>
    <x v="54"/>
  </r>
  <r>
    <x v="17"/>
    <s v="IBRD loans and IDA credits (DOD, current US$)"/>
    <n v="1517305000"/>
    <x v="54"/>
  </r>
  <r>
    <x v="18"/>
    <s v="IBRD loans and IDA credits (DOD, current US$)"/>
    <n v="523286000"/>
    <x v="54"/>
  </r>
  <r>
    <x v="19"/>
    <s v="IBRD loans and IDA credits (DOD, current US$)"/>
    <n v="575979000"/>
    <x v="54"/>
  </r>
  <r>
    <x v="20"/>
    <s v="IBRD loans and IDA credits (DOD, current US$)"/>
    <n v="605320000"/>
    <x v="54"/>
  </r>
  <r>
    <x v="21"/>
    <s v="IBRD loans and IDA credits (DOD, current US$)"/>
    <n v="13009000"/>
    <x v="54"/>
  </r>
  <r>
    <x v="22"/>
    <s v="IBRD loans and IDA credits (DOD, current US$)"/>
    <n v="2842976000"/>
    <x v="54"/>
  </r>
  <r>
    <x v="23"/>
    <s v="IBRD loans and IDA credits (DOD, current US$)"/>
    <n v="337163000"/>
    <x v="54"/>
  </r>
  <r>
    <x v="24"/>
    <s v="IBRD loans and IDA credits (DOD, current US$)"/>
    <n v="5044574000"/>
    <x v="54"/>
  </r>
  <r>
    <x v="25"/>
    <s v="IBRD loans and IDA credits (DOD, current US$)"/>
    <n v="2406629000"/>
    <x v="54"/>
  </r>
  <r>
    <x v="26"/>
    <s v="IBRD loans and IDA credits (DOD, current US$)"/>
    <n v="666815000"/>
    <x v="54"/>
  </r>
  <r>
    <x v="27"/>
    <s v="IBRD loans and IDA credits (DOD, current US$)"/>
    <n v="940638000"/>
    <x v="54"/>
  </r>
  <r>
    <x v="0"/>
    <s v="IBRD loans and IDA credits (DOD, current US$)"/>
    <n v="150608000"/>
    <x v="55"/>
  </r>
  <r>
    <x v="1"/>
    <s v="IBRD loans and IDA credits (DOD, current US$)"/>
    <n v="798099000"/>
    <x v="55"/>
  </r>
  <r>
    <x v="2"/>
    <s v="IBRD loans and IDA credits (DOD, current US$)"/>
    <n v="187166000"/>
    <x v="55"/>
  </r>
  <r>
    <x v="3"/>
    <s v="IBRD loans and IDA credits (DOD, current US$)"/>
    <n v="13535000"/>
    <x v="55"/>
  </r>
  <r>
    <x v="4"/>
    <s v="IBRD loans and IDA credits (DOD, current US$)"/>
    <n v="129902000"/>
    <x v="55"/>
  </r>
  <r>
    <x v="5"/>
    <s v="IBRD loans and IDA credits (DOD, current US$)"/>
    <n v="4753164000"/>
    <x v="55"/>
  </r>
  <r>
    <x v="6"/>
    <s v="IBRD loans and IDA credits (DOD, current US$)"/>
    <n v="186017000"/>
    <x v="55"/>
  </r>
  <r>
    <x v="7"/>
    <s v="IBRD loans and IDA credits (DOD, current US$)"/>
    <n v="0"/>
    <x v="55"/>
  </r>
  <r>
    <x v="8"/>
    <s v="IBRD loans and IDA credits (DOD, current US$)"/>
    <n v="4381759000"/>
    <x v="55"/>
  </r>
  <r>
    <x v="9"/>
    <s v="IBRD loans and IDA credits (DOD, current US$)"/>
    <n v="228491000"/>
    <x v="55"/>
  </r>
  <r>
    <x v="10"/>
    <s v="IBRD loans and IDA credits (DOD, current US$)"/>
    <n v="164323000"/>
    <x v="55"/>
  </r>
  <r>
    <x v="11"/>
    <s v="IBRD loans and IDA credits (DOD, current US$)"/>
    <n v="1412191000"/>
    <x v="55"/>
  </r>
  <r>
    <x v="12"/>
    <s v="IBRD loans and IDA credits (DOD, current US$)"/>
    <n v="588186000"/>
    <x v="55"/>
  </r>
  <r>
    <x v="13"/>
    <s v="IBRD loans and IDA credits (DOD, current US$)"/>
    <n v="1349331000"/>
    <x v="55"/>
  </r>
  <r>
    <x v="14"/>
    <s v="IBRD loans and IDA credits (DOD, current US$)"/>
    <n v="567716000"/>
    <x v="55"/>
  </r>
  <r>
    <x v="15"/>
    <s v="IBRD loans and IDA credits (DOD, current US$)"/>
    <n v="2460788000"/>
    <x v="55"/>
  </r>
  <r>
    <x v="16"/>
    <s v="IBRD loans and IDA credits (DOD, current US$)"/>
    <n v="833210000"/>
    <x v="55"/>
  </r>
  <r>
    <x v="17"/>
    <s v="IBRD loans and IDA credits (DOD, current US$)"/>
    <n v="1640015000"/>
    <x v="55"/>
  </r>
  <r>
    <x v="18"/>
    <s v="IBRD loans and IDA credits (DOD, current US$)"/>
    <n v="532425000"/>
    <x v="55"/>
  </r>
  <r>
    <x v="19"/>
    <s v="IBRD loans and IDA credits (DOD, current US$)"/>
    <n v="626206000"/>
    <x v="55"/>
  </r>
  <r>
    <x v="20"/>
    <s v="IBRD loans and IDA credits (DOD, current US$)"/>
    <n v="861911000"/>
    <x v="55"/>
  </r>
  <r>
    <x v="21"/>
    <s v="IBRD loans and IDA credits (DOD, current US$)"/>
    <n v="12186000"/>
    <x v="55"/>
  </r>
  <r>
    <x v="22"/>
    <s v="IBRD loans and IDA credits (DOD, current US$)"/>
    <n v="2784426000"/>
    <x v="55"/>
  </r>
  <r>
    <x v="23"/>
    <s v="IBRD loans and IDA credits (DOD, current US$)"/>
    <n v="315822000"/>
    <x v="55"/>
  </r>
  <r>
    <x v="24"/>
    <s v="IBRD loans and IDA credits (DOD, current US$)"/>
    <n v="5399245000"/>
    <x v="55"/>
  </r>
  <r>
    <x v="25"/>
    <s v="IBRD loans and IDA credits (DOD, current US$)"/>
    <n v="2509876000"/>
    <x v="55"/>
  </r>
  <r>
    <x v="26"/>
    <s v="IBRD loans and IDA credits (DOD, current US$)"/>
    <n v="698021000"/>
    <x v="55"/>
  </r>
  <r>
    <x v="27"/>
    <s v="IBRD loans and IDA credits (DOD, current US$)"/>
    <n v="911501000"/>
    <x v="55"/>
  </r>
  <r>
    <x v="0"/>
    <s v="IBRD loans and IDA credits (DOD, current US$)"/>
    <n v="143008000"/>
    <x v="56"/>
  </r>
  <r>
    <x v="1"/>
    <s v="IBRD loans and IDA credits (DOD, current US$)"/>
    <n v="896504000"/>
    <x v="56"/>
  </r>
  <r>
    <x v="2"/>
    <s v="IBRD loans and IDA credits (DOD, current US$)"/>
    <n v="179970000"/>
    <x v="56"/>
  </r>
  <r>
    <x v="3"/>
    <s v="IBRD loans and IDA credits (DOD, current US$)"/>
    <n v="12856000"/>
    <x v="56"/>
  </r>
  <r>
    <x v="4"/>
    <s v="IBRD loans and IDA credits (DOD, current US$)"/>
    <n v="127926000"/>
    <x v="56"/>
  </r>
  <r>
    <x v="5"/>
    <s v="IBRD loans and IDA credits (DOD, current US$)"/>
    <n v="5746393000"/>
    <x v="56"/>
  </r>
  <r>
    <x v="6"/>
    <s v="IBRD loans and IDA credits (DOD, current US$)"/>
    <n v="221594000"/>
    <x v="56"/>
  </r>
  <r>
    <x v="7"/>
    <s v="IBRD loans and IDA credits (DOD, current US$)"/>
    <n v="0"/>
    <x v="56"/>
  </r>
  <r>
    <x v="8"/>
    <s v="IBRD loans and IDA credits (DOD, current US$)"/>
    <n v="4567712000"/>
    <x v="56"/>
  </r>
  <r>
    <x v="9"/>
    <s v="IBRD loans and IDA credits (DOD, current US$)"/>
    <n v="217114000"/>
    <x v="56"/>
  </r>
  <r>
    <x v="10"/>
    <s v="IBRD loans and IDA credits (DOD, current US$)"/>
    <n v="231253000"/>
    <x v="56"/>
  </r>
  <r>
    <x v="11"/>
    <s v="IBRD loans and IDA credits (DOD, current US$)"/>
    <n v="1433353000"/>
    <x v="56"/>
  </r>
  <r>
    <x v="12"/>
    <s v="IBRD loans and IDA credits (DOD, current US$)"/>
    <n v="642213000"/>
    <x v="56"/>
  </r>
  <r>
    <x v="13"/>
    <s v="IBRD loans and IDA credits (DOD, current US$)"/>
    <n v="1364256000"/>
    <x v="56"/>
  </r>
  <r>
    <x v="14"/>
    <s v="IBRD loans and IDA credits (DOD, current US$)"/>
    <n v="634407000"/>
    <x v="56"/>
  </r>
  <r>
    <x v="15"/>
    <s v="IBRD loans and IDA credits (DOD, current US$)"/>
    <n v="2554627000"/>
    <x v="56"/>
  </r>
  <r>
    <x v="16"/>
    <s v="IBRD loans and IDA credits (DOD, current US$)"/>
    <n v="882283000"/>
    <x v="56"/>
  </r>
  <r>
    <x v="17"/>
    <s v="IBRD loans and IDA credits (DOD, current US$)"/>
    <n v="1708228000"/>
    <x v="56"/>
  </r>
  <r>
    <x v="18"/>
    <s v="IBRD loans and IDA credits (DOD, current US$)"/>
    <n v="531337000"/>
    <x v="56"/>
  </r>
  <r>
    <x v="19"/>
    <s v="IBRD loans and IDA credits (DOD, current US$)"/>
    <n v="772581000"/>
    <x v="56"/>
  </r>
  <r>
    <x v="20"/>
    <s v="IBRD loans and IDA credits (DOD, current US$)"/>
    <n v="1048538000"/>
    <x v="56"/>
  </r>
  <r>
    <x v="21"/>
    <s v="IBRD loans and IDA credits (DOD, current US$)"/>
    <n v="11574000"/>
    <x v="56"/>
  </r>
  <r>
    <x v="22"/>
    <s v="IBRD loans and IDA credits (DOD, current US$)"/>
    <n v="2970032000"/>
    <x v="56"/>
  </r>
  <r>
    <x v="23"/>
    <s v="IBRD loans and IDA credits (DOD, current US$)"/>
    <n v="305131000"/>
    <x v="56"/>
  </r>
  <r>
    <x v="24"/>
    <s v="IBRD loans and IDA credits (DOD, current US$)"/>
    <n v="5620831000"/>
    <x v="56"/>
  </r>
  <r>
    <x v="25"/>
    <s v="IBRD loans and IDA credits (DOD, current US$)"/>
    <n v="2575504000"/>
    <x v="56"/>
  </r>
  <r>
    <x v="26"/>
    <s v="IBRD loans and IDA credits (DOD, current US$)"/>
    <n v="760362000"/>
    <x v="56"/>
  </r>
  <r>
    <x v="27"/>
    <s v="IBRD loans and IDA credits (DOD, current US$)"/>
    <n v="885055000"/>
    <x v="56"/>
  </r>
  <r>
    <x v="0"/>
    <s v="IBRD loans and IDA credits (DOD, current US$)"/>
    <m/>
    <x v="57"/>
  </r>
  <r>
    <x v="1"/>
    <s v="IBRD loans and IDA credits (DOD, current US$)"/>
    <m/>
    <x v="57"/>
  </r>
  <r>
    <x v="2"/>
    <s v="IBRD loans and IDA credits (DOD, current US$)"/>
    <m/>
    <x v="57"/>
  </r>
  <r>
    <x v="3"/>
    <s v="IBRD loans and IDA credits (DOD, current US$)"/>
    <m/>
    <x v="57"/>
  </r>
  <r>
    <x v="4"/>
    <s v="IBRD loans and IDA credits (DOD, current US$)"/>
    <m/>
    <x v="57"/>
  </r>
  <r>
    <x v="5"/>
    <s v="IBRD loans and IDA credits (DOD, current US$)"/>
    <m/>
    <x v="57"/>
  </r>
  <r>
    <x v="6"/>
    <s v="IBRD loans and IDA credits (DOD, current US$)"/>
    <m/>
    <x v="57"/>
  </r>
  <r>
    <x v="7"/>
    <s v="IBRD loans and IDA credits (DOD, current US$)"/>
    <m/>
    <x v="57"/>
  </r>
  <r>
    <x v="8"/>
    <s v="IBRD loans and IDA credits (DOD, current US$)"/>
    <m/>
    <x v="57"/>
  </r>
  <r>
    <x v="9"/>
    <s v="IBRD loans and IDA credits (DOD, current US$)"/>
    <m/>
    <x v="57"/>
  </r>
  <r>
    <x v="10"/>
    <s v="IBRD loans and IDA credits (DOD, current US$)"/>
    <m/>
    <x v="57"/>
  </r>
  <r>
    <x v="11"/>
    <s v="IBRD loans and IDA credits (DOD, current US$)"/>
    <m/>
    <x v="57"/>
  </r>
  <r>
    <x v="12"/>
    <s v="IBRD loans and IDA credits (DOD, current US$)"/>
    <m/>
    <x v="57"/>
  </r>
  <r>
    <x v="13"/>
    <s v="IBRD loans and IDA credits (DOD, current US$)"/>
    <m/>
    <x v="57"/>
  </r>
  <r>
    <x v="14"/>
    <s v="IBRD loans and IDA credits (DOD, current US$)"/>
    <m/>
    <x v="57"/>
  </r>
  <r>
    <x v="15"/>
    <s v="IBRD loans and IDA credits (DOD, current US$)"/>
    <m/>
    <x v="57"/>
  </r>
  <r>
    <x v="16"/>
    <s v="IBRD loans and IDA credits (DOD, current US$)"/>
    <m/>
    <x v="57"/>
  </r>
  <r>
    <x v="17"/>
    <s v="IBRD loans and IDA credits (DOD, current US$)"/>
    <m/>
    <x v="57"/>
  </r>
  <r>
    <x v="18"/>
    <s v="IBRD loans and IDA credits (DOD, current US$)"/>
    <m/>
    <x v="57"/>
  </r>
  <r>
    <x v="19"/>
    <s v="IBRD loans and IDA credits (DOD, current US$)"/>
    <m/>
    <x v="57"/>
  </r>
  <r>
    <x v="20"/>
    <s v="IBRD loans and IDA credits (DOD, current US$)"/>
    <m/>
    <x v="57"/>
  </r>
  <r>
    <x v="21"/>
    <s v="IBRD loans and IDA credits (DOD, current US$)"/>
    <m/>
    <x v="57"/>
  </r>
  <r>
    <x v="22"/>
    <s v="IBRD loans and IDA credits (DOD, current US$)"/>
    <m/>
    <x v="57"/>
  </r>
  <r>
    <x v="23"/>
    <s v="IBRD loans and IDA credits (DOD, current US$)"/>
    <m/>
    <x v="57"/>
  </r>
  <r>
    <x v="24"/>
    <s v="IBRD loans and IDA credits (DOD, current US$)"/>
    <m/>
    <x v="57"/>
  </r>
  <r>
    <x v="25"/>
    <s v="IBRD loans and IDA credits (DOD, current US$)"/>
    <m/>
    <x v="57"/>
  </r>
  <r>
    <x v="26"/>
    <s v="IBRD loans and IDA credits (DOD, current US$)"/>
    <m/>
    <x v="57"/>
  </r>
  <r>
    <x v="27"/>
    <s v="IBRD loans and IDA credits (DOD, current US$)"/>
    <m/>
    <x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数据透视表2" cacheId="0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64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</pivotFields>
  <rowFields count="1">
    <field x="3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0"/>
  </colFields>
  <colItems count="1">
    <i>
      <x v="8"/>
    </i>
  </colItems>
  <dataFields count="1">
    <dataField name="Somme:Data" fld="2" baseField="0" baseItem="0"/>
  </dataFields>
  <formats count="24">
    <format dxfId="635">
      <pivotArea type="origin" dataOnly="0" labelOnly="1" outline="0" fieldPosition="0"/>
    </format>
    <format dxfId="634">
      <pivotArea field="0" type="button" dataOnly="0" labelOnly="1" outline="0" axis="axisCol" fieldPosition="0"/>
    </format>
    <format dxfId="633">
      <pivotArea type="topRight" dataOnly="0" labelOnly="1" outline="0" fieldPosition="0"/>
    </format>
    <format dxfId="632">
      <pivotArea field="3" type="button" dataOnly="0" labelOnly="1" outline="0" axis="axisRow" fieldPosition="0"/>
    </format>
    <format dxfId="631">
      <pivotArea dataOnly="0" labelOnly="1" fieldPosition="0">
        <references count="1">
          <reference field="0" count="0"/>
        </references>
      </pivotArea>
    </format>
    <format dxfId="630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29">
      <pivotArea dataOnly="0" labelOnly="1" fieldPosition="0">
        <references count="1">
          <reference field="3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628">
      <pivotArea dataOnly="0" labelOnly="1" fieldPosition="0">
        <references count="1">
          <reference field="0" count="0"/>
        </references>
      </pivotArea>
    </format>
    <format dxfId="627">
      <pivotArea field="0" type="button" dataOnly="0" labelOnly="1" outline="0" axis="axisCol" fieldPosition="0"/>
    </format>
    <format dxfId="626">
      <pivotArea dataOnly="0" labelOnly="1" fieldPosition="0">
        <references count="1">
          <reference field="0" count="0"/>
        </references>
      </pivotArea>
    </format>
    <format dxfId="625">
      <pivotArea type="origin" dataOnly="0" labelOnly="1" outline="0" fieldPosition="0"/>
    </format>
    <format dxfId="624">
      <pivotArea field="3" type="button" dataOnly="0" labelOnly="1" outline="0" axis="axisRow" fieldPosition="0"/>
    </format>
    <format dxfId="623">
      <pivotArea type="origin" dataOnly="0" labelOnly="1" outline="0" fieldPosition="0"/>
    </format>
    <format dxfId="622">
      <pivotArea field="0" type="button" dataOnly="0" labelOnly="1" outline="0" axis="axisCol" fieldPosition="0"/>
    </format>
    <format dxfId="621">
      <pivotArea field="3" type="button" dataOnly="0" labelOnly="1" outline="0" axis="axisRow" fieldPosition="0"/>
    </format>
    <format dxfId="620">
      <pivotArea dataOnly="0" labelOnly="1" fieldPosition="0">
        <references count="1">
          <reference field="0" count="0"/>
        </references>
      </pivotArea>
    </format>
    <format dxfId="619">
      <pivotArea outline="0" collapsedLevelsAreSubtotals="1" fieldPosition="0"/>
    </format>
    <format dxfId="618">
      <pivotArea type="origin" dataOnly="0" labelOnly="1" outline="0" fieldPosition="0"/>
    </format>
    <format dxfId="617">
      <pivotArea field="0" type="button" dataOnly="0" labelOnly="1" outline="0" axis="axisCol" fieldPosition="0"/>
    </format>
    <format dxfId="616">
      <pivotArea field="3" type="button" dataOnly="0" labelOnly="1" outline="0" axis="axisRow" fieldPosition="0"/>
    </format>
    <format dxfId="615">
      <pivotArea dataOnly="0" labelOnly="1" fieldPosition="0">
        <references count="1">
          <reference field="0" count="0"/>
        </references>
      </pivotArea>
    </format>
    <format dxfId="614">
      <pivotArea outline="0" collapsedLevelsAreSubtotals="1" fieldPosition="0"/>
    </format>
    <format dxfId="61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12">
      <pivotArea dataOnly="0" labelOnly="1" fieldPosition="0">
        <references count="1">
          <reference field="3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1" cacheId="1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3" rowHeaderCaption="Year" colHeaderCaption="Country name">
  <location ref="J5:K63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>
      <items count="1223">
        <item x="505"/>
        <item x="606"/>
        <item x="551"/>
        <item x="574"/>
        <item x="822"/>
        <item x="562"/>
        <item x="482"/>
        <item x="291"/>
        <item x="597"/>
        <item x="283"/>
        <item x="608"/>
        <item x="974"/>
        <item x="196"/>
        <item x="839"/>
        <item x="384"/>
        <item x="655"/>
        <item x="585"/>
        <item x="569"/>
        <item x="360"/>
        <item x="528"/>
        <item x="1"/>
        <item x="796"/>
        <item x="56"/>
        <item x="467"/>
        <item x="631"/>
        <item x="465"/>
        <item x="394"/>
        <item x="91"/>
        <item x="599"/>
        <item x="41"/>
        <item x="319"/>
        <item x="566"/>
        <item x="812"/>
        <item x="548"/>
        <item x="611"/>
        <item x="187"/>
        <item x="583"/>
        <item x="636"/>
        <item x="568"/>
        <item x="613"/>
        <item x="275"/>
        <item x="454"/>
        <item x="4"/>
        <item x="340"/>
        <item x="553"/>
        <item x="525"/>
        <item x="539"/>
        <item x="341"/>
        <item x="264"/>
        <item x="697"/>
        <item x="559"/>
        <item x="493"/>
        <item x="380"/>
        <item x="169"/>
        <item x="529"/>
        <item x="1168"/>
        <item x="567"/>
        <item x="499"/>
        <item x="299"/>
        <item x="988"/>
        <item x="97"/>
        <item x="52"/>
        <item x="647"/>
        <item x="866"/>
        <item x="893"/>
        <item x="88"/>
        <item x="1008"/>
        <item x="234"/>
        <item x="132"/>
        <item x="524"/>
        <item x="320"/>
        <item x="593"/>
        <item x="555"/>
        <item x="180"/>
        <item x="771"/>
        <item x="82"/>
        <item x="364"/>
        <item x="140"/>
        <item x="263"/>
        <item x="304"/>
        <item x="12"/>
        <item x="620"/>
        <item x="385"/>
        <item x="500"/>
        <item x="301"/>
        <item x="403"/>
        <item x="412"/>
        <item x="985"/>
        <item x="443"/>
        <item x="1138"/>
        <item x="590"/>
        <item x="522"/>
        <item x="947"/>
        <item x="846"/>
        <item x="221"/>
        <item x="920"/>
        <item x="689"/>
        <item x="722"/>
        <item x="407"/>
        <item x="992"/>
        <item x="554"/>
        <item x="478"/>
        <item x="545"/>
        <item x="238"/>
        <item x="759"/>
        <item x="295"/>
        <item x="362"/>
        <item x="1196"/>
        <item x="374"/>
        <item x="348"/>
        <item x="228"/>
        <item x="280"/>
        <item x="270"/>
        <item x="190"/>
        <item x="537"/>
        <item x="47"/>
        <item x="508"/>
        <item x="28"/>
        <item x="337"/>
        <item x="514"/>
        <item x="433"/>
        <item x="306"/>
        <item x="420"/>
        <item x="231"/>
        <item x="189"/>
        <item x="155"/>
        <item x="308"/>
        <item x="817"/>
        <item x="432"/>
        <item x="318"/>
        <item x="229"/>
        <item x="376"/>
        <item x="460"/>
        <item x="368"/>
        <item x="298"/>
        <item x="232"/>
        <item x="111"/>
        <item x="389"/>
        <item x="356"/>
        <item x="476"/>
        <item x="338"/>
        <item x="77"/>
        <item x="565"/>
        <item x="489"/>
        <item x="416"/>
        <item x="1176"/>
        <item x="32"/>
        <item x="660"/>
        <item x="98"/>
        <item x="383"/>
        <item x="780"/>
        <item x="208"/>
        <item x="272"/>
        <item x="121"/>
        <item x="192"/>
        <item x="752"/>
        <item x="36"/>
        <item x="639"/>
        <item x="513"/>
        <item x="174"/>
        <item x="813"/>
        <item x="68"/>
        <item x="449"/>
        <item x="162"/>
        <item x="980"/>
        <item x="59"/>
        <item x="421"/>
        <item x="331"/>
        <item x="766"/>
        <item x="496"/>
        <item x="423"/>
        <item x="710"/>
        <item x="438"/>
        <item x="193"/>
        <item x="199"/>
        <item x="265"/>
        <item x="35"/>
        <item x="737"/>
        <item x="735"/>
        <item x="396"/>
        <item x="1068"/>
        <item x="734"/>
        <item x="344"/>
        <item x="550"/>
        <item x="201"/>
        <item x="993"/>
        <item x="445"/>
        <item x="794"/>
        <item x="1069"/>
        <item x="712"/>
        <item x="533"/>
        <item x="516"/>
        <item x="1166"/>
        <item x="727"/>
        <item x="519"/>
        <item x="194"/>
        <item x="267"/>
        <item x="107"/>
        <item x="65"/>
        <item x="135"/>
        <item x="182"/>
        <item x="1152"/>
        <item x="581"/>
        <item x="708"/>
        <item x="85"/>
        <item x="479"/>
        <item x="387"/>
        <item x="388"/>
        <item x="105"/>
        <item x="379"/>
        <item x="792"/>
        <item x="418"/>
        <item x="535"/>
        <item x="227"/>
        <item x="441"/>
        <item x="512"/>
        <item x="167"/>
        <item x="598"/>
        <item x="746"/>
        <item x="491"/>
        <item x="542"/>
        <item x="447"/>
        <item x="1148"/>
        <item x="446"/>
        <item x="1031"/>
        <item x="858"/>
        <item x="802"/>
        <item x="100"/>
        <item x="55"/>
        <item x="370"/>
        <item x="635"/>
        <item x="128"/>
        <item x="955"/>
        <item x="181"/>
        <item x="1012"/>
        <item x="573"/>
        <item x="819"/>
        <item x="116"/>
        <item x="558"/>
        <item x="428"/>
        <item x="951"/>
        <item x="303"/>
        <item x="1183"/>
        <item x="248"/>
        <item x="8"/>
        <item x="667"/>
        <item x="143"/>
        <item x="457"/>
        <item x="1194"/>
        <item x="793"/>
        <item x="279"/>
        <item x="563"/>
        <item x="742"/>
        <item x="62"/>
        <item x="326"/>
        <item x="1193"/>
        <item x="896"/>
        <item x="21"/>
        <item x="114"/>
        <item x="244"/>
        <item x="217"/>
        <item x="1120"/>
        <item x="429"/>
        <item x="803"/>
        <item x="92"/>
        <item x="924"/>
        <item x="302"/>
        <item x="954"/>
        <item x="741"/>
        <item x="220"/>
        <item x="867"/>
        <item x="357"/>
        <item x="335"/>
        <item x="623"/>
        <item x="490"/>
        <item x="297"/>
        <item x="509"/>
        <item x="400"/>
        <item x="544"/>
        <item x="1141"/>
        <item x="315"/>
        <item x="589"/>
        <item x="171"/>
        <item x="452"/>
        <item x="397"/>
        <item x="1201"/>
        <item x="439"/>
        <item x="899"/>
        <item x="2"/>
        <item x="552"/>
        <item x="1119"/>
        <item x="586"/>
        <item x="165"/>
        <item x="1145"/>
        <item x="615"/>
        <item x="119"/>
        <item x="818"/>
        <item x="222"/>
        <item x="688"/>
        <item x="166"/>
        <item x="355"/>
        <item x="115"/>
        <item x="19"/>
        <item x="484"/>
        <item x="475"/>
        <item x="147"/>
        <item x="13"/>
        <item x="3"/>
        <item x="213"/>
        <item x="29"/>
        <item x="527"/>
        <item x="785"/>
        <item x="582"/>
        <item x="1173"/>
        <item x="1039"/>
        <item x="226"/>
        <item x="336"/>
        <item x="321"/>
        <item x="790"/>
        <item x="89"/>
        <item x="852"/>
        <item x="609"/>
        <item x="745"/>
        <item x="369"/>
        <item x="253"/>
        <item x="408"/>
        <item x="345"/>
        <item x="440"/>
        <item x="434"/>
        <item x="672"/>
        <item x="281"/>
        <item x="748"/>
        <item x="1165"/>
        <item x="444"/>
        <item x="680"/>
        <item x="797"/>
        <item x="377"/>
        <item x="621"/>
        <item x="448"/>
        <item x="375"/>
        <item x="873"/>
        <item x="346"/>
        <item x="359"/>
        <item x="139"/>
        <item x="413"/>
        <item x="1067"/>
        <item x="38"/>
        <item x="9"/>
        <item x="23"/>
        <item x="843"/>
        <item x="713"/>
        <item x="978"/>
        <item x="417"/>
        <item x="120"/>
        <item x="261"/>
        <item x="206"/>
        <item x="63"/>
        <item x="868"/>
        <item x="61"/>
        <item x="6"/>
        <item x="372"/>
        <item x="760"/>
        <item x="1113"/>
        <item x="80"/>
        <item x="540"/>
        <item x="575"/>
        <item x="430"/>
        <item x="816"/>
        <item x="747"/>
        <item x="591"/>
        <item x="1137"/>
        <item x="644"/>
        <item x="236"/>
        <item x="691"/>
        <item x="976"/>
        <item x="1005"/>
        <item x="1169"/>
        <item x="832"/>
        <item x="638"/>
        <item x="179"/>
        <item x="251"/>
        <item x="624"/>
        <item x="900"/>
        <item x="1093"/>
        <item x="20"/>
        <item x="34"/>
        <item x="1047"/>
        <item x="393"/>
        <item x="492"/>
        <item x="191"/>
        <item x="1095"/>
        <item x="717"/>
        <item x="789"/>
        <item x="763"/>
        <item x="845"/>
        <item x="254"/>
        <item x="290"/>
        <item x="806"/>
        <item x="995"/>
        <item x="177"/>
        <item x="5"/>
        <item x="1204"/>
        <item x="470"/>
        <item x="1178"/>
        <item x="1197"/>
        <item x="740"/>
        <item x="339"/>
        <item x="536"/>
        <item x="42"/>
        <item x="830"/>
        <item x="72"/>
        <item x="160"/>
        <item x="146"/>
        <item x="1032"/>
        <item x="200"/>
        <item x="628"/>
        <item x="848"/>
        <item x="526"/>
        <item x="849"/>
        <item x="596"/>
        <item x="349"/>
        <item x="956"/>
        <item x="897"/>
        <item x="51"/>
        <item x="170"/>
        <item x="451"/>
        <item x="684"/>
        <item x="456"/>
        <item x="419"/>
        <item x="666"/>
        <item x="716"/>
        <item x="502"/>
        <item x="153"/>
        <item x="677"/>
        <item x="1140"/>
        <item x="1150"/>
        <item x="1117"/>
        <item x="510"/>
        <item x="870"/>
        <item x="401"/>
        <item x="1062"/>
        <item x="709"/>
        <item x="1064"/>
        <item x="634"/>
        <item x="769"/>
        <item x="1164"/>
        <item x="820"/>
        <item x="777"/>
        <item x="235"/>
        <item x="872"/>
        <item x="804"/>
        <item x="1059"/>
        <item x="934"/>
        <item x="570"/>
        <item x="700"/>
        <item x="258"/>
        <item x="1066"/>
        <item x="311"/>
        <item x="16"/>
        <item x="720"/>
        <item x="950"/>
        <item x="148"/>
        <item x="981"/>
        <item x="138"/>
        <item x="798"/>
        <item x="1216"/>
        <item x="1149"/>
        <item x="178"/>
        <item x="506"/>
        <item x="664"/>
        <item x="757"/>
        <item x="1076"/>
        <item x="939"/>
        <item x="577"/>
        <item x="1195"/>
        <item x="462"/>
        <item x="594"/>
        <item x="1041"/>
        <item x="410"/>
        <item x="941"/>
        <item x="285"/>
        <item x="878"/>
        <item x="549"/>
        <item x="923"/>
        <item x="43"/>
        <item x="692"/>
        <item x="129"/>
        <item x="296"/>
        <item x="436"/>
        <item x="84"/>
        <item x="163"/>
        <item x="982"/>
        <item x="1010"/>
        <item x="1121"/>
        <item x="1155"/>
        <item x="246"/>
        <item x="604"/>
        <item x="983"/>
        <item x="927"/>
        <item x="93"/>
        <item x="910"/>
        <item x="1104"/>
        <item x="461"/>
        <item x="937"/>
        <item x="564"/>
        <item x="652"/>
        <item x="1045"/>
        <item x="1003"/>
        <item x="1091"/>
        <item x="965"/>
        <item x="197"/>
        <item x="1221"/>
        <item x="895"/>
        <item x="975"/>
        <item x="626"/>
        <item x="614"/>
        <item x="883"/>
        <item x="154"/>
        <item x="949"/>
        <item x="933"/>
        <item x="498"/>
        <item x="427"/>
        <item x="1086"/>
        <item x="681"/>
        <item x="996"/>
        <item x="46"/>
        <item x="736"/>
        <item x="632"/>
        <item x="1107"/>
        <item x="616"/>
        <item x="690"/>
        <item x="765"/>
        <item x="669"/>
        <item x="487"/>
        <item x="730"/>
        <item x="1116"/>
        <item x="112"/>
        <item x="706"/>
        <item x="1209"/>
        <item x="701"/>
        <item x="350"/>
        <item x="358"/>
        <item x="126"/>
        <item x="31"/>
        <item x="1192"/>
        <item x="795"/>
        <item x="1181"/>
        <item x="494"/>
        <item x="317"/>
        <item x="343"/>
        <item x="767"/>
        <item x="600"/>
        <item x="1002"/>
        <item x="670"/>
        <item x="654"/>
        <item x="997"/>
        <item x="911"/>
        <item x="715"/>
        <item x="683"/>
        <item x="1144"/>
        <item x="27"/>
        <item x="1159"/>
        <item x="860"/>
        <item x="1080"/>
        <item x="214"/>
        <item x="150"/>
        <item x="580"/>
        <item x="316"/>
        <item x="1215"/>
        <item x="695"/>
        <item x="758"/>
        <item x="57"/>
        <item x="158"/>
        <item x="694"/>
        <item x="1088"/>
        <item x="829"/>
        <item x="450"/>
        <item x="50"/>
        <item x="807"/>
        <item x="1219"/>
        <item x="676"/>
        <item x="60"/>
        <item x="595"/>
        <item x="1206"/>
        <item x="480"/>
        <item x="605"/>
        <item x="1056"/>
        <item x="663"/>
        <item x="204"/>
        <item x="1175"/>
        <item x="1220"/>
        <item x="483"/>
        <item x="22"/>
        <item x="1198"/>
        <item x="1147"/>
        <item x="751"/>
        <item x="557"/>
        <item x="373"/>
        <item x="1099"/>
        <item x="1030"/>
        <item x="161"/>
        <item x="30"/>
        <item x="953"/>
        <item x="173"/>
        <item x="347"/>
        <item x="642"/>
        <item x="225"/>
        <item x="1205"/>
        <item x="485"/>
        <item x="1187"/>
        <item x="1177"/>
        <item x="1029"/>
        <item x="504"/>
        <item x="977"/>
        <item x="1089"/>
        <item x="787"/>
        <item x="884"/>
        <item x="711"/>
        <item x="729"/>
        <item x="395"/>
        <item x="728"/>
        <item x="503"/>
        <item x="488"/>
        <item x="1157"/>
        <item x="426"/>
        <item x="637"/>
        <item x="761"/>
        <item x="361"/>
        <item x="287"/>
        <item x="1049"/>
        <item x="242"/>
        <item x="561"/>
        <item x="405"/>
        <item x="274"/>
        <item x="619"/>
        <item x="1019"/>
        <item x="725"/>
        <item x="786"/>
        <item x="1167"/>
        <item x="641"/>
        <item x="130"/>
        <item x="1203"/>
        <item x="1188"/>
        <item x="469"/>
        <item x="1208"/>
        <item x="1180"/>
        <item x="885"/>
        <item x="686"/>
        <item x="902"/>
        <item x="811"/>
        <item x="991"/>
        <item x="1057"/>
        <item x="656"/>
        <item x="11"/>
        <item x="1063"/>
        <item x="422"/>
        <item x="814"/>
        <item x="398"/>
        <item x="1083"/>
        <item x="538"/>
        <item x="877"/>
        <item x="618"/>
        <item x="307"/>
        <item x="75"/>
        <item x="363"/>
        <item x="76"/>
        <item x="511"/>
        <item x="733"/>
        <item x="1191"/>
        <item x="1184"/>
        <item x="1102"/>
        <item x="719"/>
        <item x="917"/>
        <item x="1110"/>
        <item x="906"/>
        <item x="987"/>
        <item x="856"/>
        <item x="481"/>
        <item x="1136"/>
        <item x="704"/>
        <item x="905"/>
        <item x="685"/>
        <item x="205"/>
        <item x="744"/>
        <item x="1156"/>
        <item x="109"/>
        <item x="960"/>
        <item x="1072"/>
        <item x="1128"/>
        <item x="921"/>
        <item x="64"/>
        <item x="151"/>
        <item x="776"/>
        <item x="1124"/>
        <item x="907"/>
        <item x="1037"/>
        <item x="366"/>
        <item x="1103"/>
        <item x="269"/>
        <item x="1018"/>
        <item x="1007"/>
        <item x="353"/>
        <item x="671"/>
        <item x="840"/>
        <item x="731"/>
        <item x="1040"/>
        <item x="1212"/>
        <item x="477"/>
        <item x="1202"/>
        <item x="1213"/>
        <item x="532"/>
        <item x="122"/>
        <item x="922"/>
        <item x="157"/>
        <item x="707"/>
        <item x="74"/>
        <item x="255"/>
        <item x="1185"/>
        <item x="1100"/>
        <item x="381"/>
        <item x="756"/>
        <item x="1132"/>
        <item x="203"/>
        <item x="48"/>
        <item x="145"/>
        <item x="521"/>
        <item x="239"/>
        <item x="406"/>
        <item x="322"/>
        <item x="1160"/>
        <item x="904"/>
        <item x="87"/>
        <item x="453"/>
        <item x="572"/>
        <item x="948"/>
        <item x="675"/>
        <item x="1108"/>
        <item x="938"/>
        <item x="501"/>
        <item x="386"/>
        <item x="682"/>
        <item x="262"/>
        <item x="847"/>
        <item x="1135"/>
        <item x="1079"/>
        <item x="49"/>
        <item x="714"/>
        <item x="791"/>
        <item x="665"/>
        <item x="783"/>
        <item x="1163"/>
        <item x="497"/>
        <item x="1094"/>
        <item x="289"/>
        <item x="243"/>
        <item x="661"/>
        <item x="850"/>
        <item x="1101"/>
        <item x="142"/>
        <item x="876"/>
        <item x="831"/>
        <item x="1207"/>
        <item x="705"/>
        <item x="984"/>
        <item x="237"/>
        <item x="857"/>
        <item x="784"/>
        <item x="650"/>
        <item x="209"/>
        <item x="333"/>
        <item x="186"/>
        <item x="1118"/>
        <item x="17"/>
        <item x="378"/>
        <item x="325"/>
        <item x="998"/>
        <item x="894"/>
        <item x="1084"/>
        <item x="1014"/>
        <item x="851"/>
        <item x="327"/>
        <item x="861"/>
        <item x="425"/>
        <item x="630"/>
        <item x="431"/>
        <item x="1035"/>
        <item x="95"/>
        <item x="1109"/>
        <item x="543"/>
        <item x="541"/>
        <item x="1054"/>
        <item x="971"/>
        <item x="1044"/>
        <item x="300"/>
        <item x="607"/>
        <item x="342"/>
        <item x="1034"/>
        <item x="1026"/>
        <item x="1139"/>
        <item x="674"/>
        <item x="662"/>
        <item x="278"/>
        <item x="164"/>
        <item x="507"/>
        <item x="328"/>
        <item x="1122"/>
        <item x="1085"/>
        <item x="721"/>
        <item x="824"/>
        <item x="1146"/>
        <item x="367"/>
        <item x="1179"/>
        <item x="912"/>
        <item x="118"/>
        <item x="176"/>
        <item x="310"/>
        <item x="699"/>
        <item x="1174"/>
        <item x="1182"/>
        <item x="560"/>
        <item x="1090"/>
        <item x="127"/>
        <item x="1111"/>
        <item x="188"/>
        <item x="874"/>
        <item x="627"/>
        <item x="1061"/>
        <item x="437"/>
        <item x="834"/>
        <item x="969"/>
        <item x="257"/>
        <item x="1151"/>
        <item x="821"/>
        <item x="365"/>
        <item x="1186"/>
        <item x="1127"/>
        <item x="782"/>
        <item x="1161"/>
        <item x="754"/>
        <item x="149"/>
        <item x="770"/>
        <item x="875"/>
        <item x="282"/>
        <item x="579"/>
        <item x="739"/>
        <item x="241"/>
        <item x="223"/>
        <item x="1011"/>
        <item x="773"/>
        <item x="1214"/>
        <item x="964"/>
        <item x="1036"/>
        <item x="230"/>
        <item x="617"/>
        <item x="144"/>
        <item x="402"/>
        <item x="601"/>
        <item x="329"/>
        <item x="750"/>
        <item x="459"/>
        <item x="658"/>
        <item x="247"/>
        <item x="175"/>
        <item x="131"/>
        <item x="931"/>
        <item x="888"/>
        <item x="44"/>
        <item x="994"/>
        <item x="45"/>
        <item x="473"/>
        <item x="458"/>
        <item x="14"/>
        <item x="1046"/>
        <item x="891"/>
        <item x="210"/>
        <item x="651"/>
        <item x="106"/>
        <item x="256"/>
        <item x="989"/>
        <item x="323"/>
        <item x="1025"/>
        <item x="424"/>
        <item x="495"/>
        <item x="534"/>
        <item x="1210"/>
        <item x="334"/>
        <item x="515"/>
        <item x="294"/>
        <item x="610"/>
        <item x="679"/>
        <item x="195"/>
        <item x="215"/>
        <item x="102"/>
        <item x="649"/>
        <item x="901"/>
        <item x="837"/>
        <item x="518"/>
        <item x="1073"/>
        <item x="1024"/>
        <item x="486"/>
        <item x="827"/>
        <item x="273"/>
        <item x="879"/>
        <item x="1131"/>
        <item x="833"/>
        <item x="1153"/>
        <item x="826"/>
        <item x="216"/>
        <item x="141"/>
        <item x="1022"/>
        <item x="1016"/>
        <item x="1133"/>
        <item x="889"/>
        <item x="94"/>
        <item x="411"/>
        <item x="841"/>
        <item x="942"/>
        <item x="588"/>
        <item x="1042"/>
        <item x="999"/>
        <item x="864"/>
        <item x="926"/>
        <item x="110"/>
        <item x="928"/>
        <item x="351"/>
        <item x="1013"/>
        <item x="962"/>
        <item x="123"/>
        <item x="836"/>
        <item x="185"/>
        <item x="468"/>
        <item x="1112"/>
        <item x="1189"/>
        <item x="584"/>
        <item x="268"/>
        <item x="101"/>
        <item x="70"/>
        <item x="409"/>
        <item x="838"/>
        <item x="625"/>
        <item x="687"/>
        <item x="1162"/>
        <item x="1134"/>
        <item x="1190"/>
        <item x="99"/>
        <item x="520"/>
        <item x="1154"/>
        <item x="916"/>
        <item x="86"/>
        <item x="71"/>
        <item x="117"/>
        <item x="865"/>
        <item x="726"/>
        <item x="83"/>
        <item x="1123"/>
        <item x="517"/>
        <item x="646"/>
        <item x="198"/>
        <item x="887"/>
        <item x="1015"/>
        <item x="1217"/>
        <item x="1218"/>
        <item x="778"/>
        <item x="1043"/>
        <item x="958"/>
        <item x="1097"/>
        <item x="957"/>
        <item x="292"/>
        <item x="809"/>
        <item x="207"/>
        <item x="415"/>
        <item x="1070"/>
        <item x="892"/>
        <item x="1106"/>
        <item x="96"/>
        <item x="929"/>
        <item x="125"/>
        <item x="645"/>
        <item x="1071"/>
        <item x="1021"/>
        <item x="463"/>
        <item x="1051"/>
        <item x="853"/>
        <item x="1105"/>
        <item x="10"/>
        <item x="935"/>
        <item x="1125"/>
        <item x="859"/>
        <item x="371"/>
        <item x="602"/>
        <item x="1211"/>
        <item x="1078"/>
        <item x="880"/>
        <item x="332"/>
        <item x="1129"/>
        <item x="53"/>
        <item x="474"/>
        <item x="1171"/>
        <item x="696"/>
        <item x="1081"/>
        <item x="284"/>
        <item x="1130"/>
        <item x="940"/>
        <item x="7"/>
        <item x="959"/>
        <item x="915"/>
        <item x="466"/>
        <item x="79"/>
        <item x="134"/>
        <item x="404"/>
        <item x="260"/>
        <item x="973"/>
        <item x="799"/>
        <item x="961"/>
        <item x="943"/>
        <item x="854"/>
        <item x="723"/>
        <item x="863"/>
        <item x="970"/>
        <item x="919"/>
        <item x="1052"/>
        <item x="103"/>
        <item x="305"/>
        <item x="233"/>
        <item x="124"/>
        <item x="108"/>
        <item x="1126"/>
        <item x="1065"/>
        <item x="546"/>
        <item x="1023"/>
        <item x="1048"/>
        <item x="903"/>
        <item x="732"/>
        <item x="391"/>
        <item x="890"/>
        <item x="968"/>
        <item x="464"/>
        <item x="1038"/>
        <item x="603"/>
        <item x="354"/>
        <item x="1200"/>
        <item x="472"/>
        <item x="755"/>
        <item x="764"/>
        <item x="587"/>
        <item x="986"/>
        <item x="184"/>
        <item x="324"/>
        <item x="946"/>
        <item x="104"/>
        <item x="259"/>
        <item x="1020"/>
        <item x="753"/>
        <item x="1050"/>
        <item x="1009"/>
        <item x="945"/>
        <item x="1098"/>
        <item x="944"/>
        <item x="779"/>
        <item x="788"/>
        <item x="547"/>
        <item x="523"/>
        <item x="1075"/>
        <item x="1060"/>
        <item x="1092"/>
        <item x="972"/>
        <item x="881"/>
        <item x="1170"/>
        <item x="530"/>
        <item x="810"/>
        <item x="578"/>
        <item x="212"/>
        <item x="33"/>
        <item x="800"/>
        <item x="979"/>
        <item x="703"/>
        <item x="1158"/>
        <item x="1058"/>
        <item x="168"/>
        <item x="1114"/>
        <item x="309"/>
        <item x="69"/>
        <item x="219"/>
        <item x="15"/>
        <item x="657"/>
        <item x="914"/>
        <item x="825"/>
        <item x="1077"/>
        <item x="277"/>
        <item x="183"/>
        <item x="1000"/>
        <item x="913"/>
        <item x="612"/>
        <item x="886"/>
        <item x="1053"/>
        <item x="1096"/>
        <item x="40"/>
        <item x="252"/>
        <item x="18"/>
        <item x="930"/>
        <item x="966"/>
        <item x="932"/>
        <item x="1017"/>
        <item x="556"/>
        <item x="414"/>
        <item x="382"/>
        <item x="1142"/>
        <item x="576"/>
        <item x="271"/>
        <item x="823"/>
        <item x="908"/>
        <item x="286"/>
        <item x="39"/>
        <item x="592"/>
        <item x="781"/>
        <item x="1199"/>
        <item x="963"/>
        <item x="1115"/>
        <item x="25"/>
        <item x="1027"/>
        <item x="862"/>
        <item x="659"/>
        <item x="1143"/>
        <item x="288"/>
        <item x="702"/>
        <item x="1172"/>
        <item x="990"/>
        <item x="1087"/>
        <item x="67"/>
        <item x="202"/>
        <item x="918"/>
        <item x="952"/>
        <item x="808"/>
        <item x="898"/>
        <item x="673"/>
        <item x="738"/>
        <item x="724"/>
        <item x="835"/>
        <item x="133"/>
        <item x="54"/>
        <item x="967"/>
        <item x="1033"/>
        <item x="218"/>
        <item x="26"/>
        <item x="775"/>
        <item x="925"/>
        <item x="249"/>
        <item x="633"/>
        <item x="224"/>
        <item x="762"/>
        <item x="24"/>
        <item x="531"/>
        <item x="390"/>
        <item x="871"/>
        <item x="1074"/>
        <item x="698"/>
        <item x="293"/>
        <item x="936"/>
        <item x="1001"/>
        <item x="801"/>
        <item x="113"/>
        <item x="643"/>
        <item x="313"/>
        <item x="58"/>
        <item x="640"/>
        <item x="136"/>
        <item x="330"/>
        <item x="1006"/>
        <item x="1028"/>
        <item x="774"/>
        <item x="653"/>
        <item x="909"/>
        <item x="571"/>
        <item x="805"/>
        <item x="81"/>
        <item x="37"/>
        <item x="276"/>
        <item x="1004"/>
        <item x="855"/>
        <item x="882"/>
        <item x="844"/>
        <item x="66"/>
        <item x="240"/>
        <item x="250"/>
        <item x="749"/>
        <item x="90"/>
        <item x="828"/>
        <item x="678"/>
        <item x="435"/>
        <item x="471"/>
        <item x="211"/>
        <item x="312"/>
        <item x="442"/>
        <item x="815"/>
        <item x="78"/>
        <item x="1082"/>
        <item x="772"/>
        <item x="1055"/>
        <item x="455"/>
        <item x="352"/>
        <item x="159"/>
        <item x="73"/>
        <item x="622"/>
        <item x="172"/>
        <item x="314"/>
        <item x="869"/>
        <item x="245"/>
        <item x="399"/>
        <item x="137"/>
        <item x="718"/>
        <item x="392"/>
        <item x="266"/>
        <item x="156"/>
        <item x="152"/>
        <item x="648"/>
        <item x="768"/>
        <item x="743"/>
        <item x="693"/>
        <item x="842"/>
        <item x="629"/>
        <item x="668"/>
        <item x="0"/>
        <item t="default"/>
      </items>
    </pivotField>
    <pivotField axis="axisRow" showAll="0">
      <items count="59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</pivotFields>
  <rowFields count="1">
    <field x="3"/>
  </rowFields>
  <rowItems count="5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0"/>
  </colFields>
  <colItems count="1">
    <i>
      <x v="8"/>
    </i>
  </colItems>
  <dataFields count="1">
    <dataField name="Somme:Data" fld="2" baseField="3" baseItem="0"/>
  </dataFields>
  <formats count="23">
    <format dxfId="611">
      <pivotArea type="topRight" dataOnly="0" labelOnly="1" outline="0" fieldPosition="0"/>
    </format>
    <format dxfId="610">
      <pivotArea dataOnly="0" labelOnly="1" fieldPosition="0">
        <references count="1">
          <reference field="0" count="0"/>
        </references>
      </pivotArea>
    </format>
    <format dxfId="609">
      <pivotArea dataOnly="0" labelOnly="1" grandCol="1" outline="0" fieldPosition="0"/>
    </format>
    <format dxfId="608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07">
      <pivotArea dataOnly="0" labelOnly="1" fieldPosition="0">
        <references count="1">
          <reference field="3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606">
      <pivotArea dataOnly="0" labelOnly="1" grandRow="1" outline="0" fieldPosition="0"/>
    </format>
    <format dxfId="605">
      <pivotArea dataOnly="0" labelOnly="1" fieldPosition="0">
        <references count="1">
          <reference field="0" count="0"/>
        </references>
      </pivotArea>
    </format>
    <format dxfId="604">
      <pivotArea type="origin" dataOnly="0" labelOnly="1" outline="0" fieldPosition="0"/>
    </format>
    <format dxfId="603">
      <pivotArea field="0" type="button" dataOnly="0" labelOnly="1" outline="0" axis="axisCol" fieldPosition="0"/>
    </format>
    <format dxfId="602">
      <pivotArea field="3" type="button" dataOnly="0" labelOnly="1" outline="0" axis="axisRow" fieldPosition="0"/>
    </format>
    <format dxfId="601">
      <pivotArea dataOnly="0" labelOnly="1" fieldPosition="0">
        <references count="1">
          <reference field="0" count="0"/>
        </references>
      </pivotArea>
    </format>
    <format dxfId="600">
      <pivotArea type="all" dataOnly="0" outline="0" fieldPosition="0"/>
    </format>
    <format dxfId="599">
      <pivotArea outline="0" collapsedLevelsAreSubtotals="1" fieldPosition="0"/>
    </format>
    <format dxfId="598">
      <pivotArea type="origin" dataOnly="0" labelOnly="1" outline="0" fieldPosition="0"/>
    </format>
    <format dxfId="597">
      <pivotArea field="0" type="button" dataOnly="0" labelOnly="1" outline="0" axis="axisCol" fieldPosition="0"/>
    </format>
    <format dxfId="596">
      <pivotArea field="3" type="button" dataOnly="0" labelOnly="1" outline="0" axis="axisRow" fieldPosition="0"/>
    </format>
    <format dxfId="595">
      <pivotArea dataOnly="0" labelOnly="1" fieldPosition="0">
        <references count="1">
          <reference field="3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594">
      <pivotArea dataOnly="0" labelOnly="1" fieldPosition="0">
        <references count="1">
          <reference field="3" count="7">
            <x v="51"/>
            <x v="52"/>
            <x v="53"/>
            <x v="54"/>
            <x v="55"/>
            <x v="56"/>
            <x v="57"/>
          </reference>
        </references>
      </pivotArea>
    </format>
    <format dxfId="593">
      <pivotArea dataOnly="0" labelOnly="1" fieldPosition="0">
        <references count="1">
          <reference field="0" count="0"/>
        </references>
      </pivotArea>
    </format>
    <format dxfId="592">
      <pivotArea field="0" type="button" dataOnly="0" labelOnly="1" outline="0" axis="axisCol" fieldPosition="0"/>
    </format>
    <format dxfId="591">
      <pivotArea field="3" type="button" dataOnly="0" labelOnly="1" outline="0" axis="axisRow" fieldPosition="0"/>
    </format>
    <format dxfId="590">
      <pivotArea dataOnly="0" labelOnly="1" fieldPosition="0">
        <references count="1">
          <reference field="0" count="0"/>
        </references>
      </pivotArea>
    </format>
    <format dxfId="589">
      <pivotArea type="origin" dataOnly="0" labelOnly="1" outline="0" fieldPosition="0"/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2" cacheId="2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53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h="1" x="57"/>
        <item t="default"/>
      </items>
    </pivotField>
  </pivotFields>
  <rowFields count="1">
    <field x="3"/>
  </rowFields>
  <rowItems count="47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</rowItems>
  <colFields count="1">
    <field x="0"/>
  </colFields>
  <colItems count="1">
    <i>
      <x v="8"/>
    </i>
  </colItems>
  <dataFields count="1">
    <dataField name="Somme:Data" fld="2" baseField="0" baseItem="0"/>
  </dataFields>
  <formats count="22">
    <format dxfId="588">
      <pivotArea dataOnly="0" labelOnly="1" grandCol="1" outline="0" fieldPosition="0"/>
    </format>
    <format dxfId="58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86">
      <pivotArea dataOnly="0" labelOnly="1" fieldPosition="0">
        <references count="1">
          <reference field="3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585">
      <pivotArea dataOnly="0" labelOnly="1" grandRow="1" outline="0" fieldPosition="0"/>
    </format>
    <format dxfId="584">
      <pivotArea type="origin" dataOnly="0" labelOnly="1" outline="0" fieldPosition="0"/>
    </format>
    <format dxfId="583">
      <pivotArea field="0" type="button" dataOnly="0" labelOnly="1" outline="0" axis="axisCol" fieldPosition="0"/>
    </format>
    <format dxfId="582">
      <pivotArea type="topRight" dataOnly="0" labelOnly="1" outline="0" fieldPosition="0"/>
    </format>
    <format dxfId="581">
      <pivotArea field="3" type="button" dataOnly="0" labelOnly="1" outline="0" axis="axisRow" fieldPosition="0"/>
    </format>
    <format dxfId="580">
      <pivotArea type="topRight" dataOnly="0" labelOnly="1" outline="0" fieldPosition="0"/>
    </format>
    <format dxfId="579">
      <pivotArea dataOnly="0" labelOnly="1" fieldPosition="0">
        <references count="1">
          <reference field="0" count="0"/>
        </references>
      </pivotArea>
    </format>
    <format dxfId="578">
      <pivotArea dataOnly="0" labelOnly="1" fieldPosition="0">
        <references count="1">
          <reference field="0" count="0"/>
        </references>
      </pivotArea>
    </format>
    <format dxfId="577">
      <pivotArea type="origin" dataOnly="0" labelOnly="1" outline="0" fieldPosition="0"/>
    </format>
    <format dxfId="576">
      <pivotArea field="0" type="button" dataOnly="0" labelOnly="1" outline="0" axis="axisCol" fieldPosition="0"/>
    </format>
    <format dxfId="575">
      <pivotArea field="3" type="button" dataOnly="0" labelOnly="1" outline="0" axis="axisRow" fieldPosition="0"/>
    </format>
    <format dxfId="574">
      <pivotArea dataOnly="0" labelOnly="1" fieldPosition="0">
        <references count="1">
          <reference field="0" count="0"/>
        </references>
      </pivotArea>
    </format>
    <format dxfId="573">
      <pivotArea type="all" dataOnly="0" outline="0" fieldPosition="0"/>
    </format>
    <format dxfId="572">
      <pivotArea outline="0" collapsedLevelsAreSubtotals="1" fieldPosition="0"/>
    </format>
    <format dxfId="571">
      <pivotArea type="origin" dataOnly="0" labelOnly="1" outline="0" fieldPosition="0"/>
    </format>
    <format dxfId="570">
      <pivotArea field="0" type="button" dataOnly="0" labelOnly="1" outline="0" axis="axisCol" fieldPosition="0"/>
    </format>
    <format dxfId="569">
      <pivotArea field="3" type="button" dataOnly="0" labelOnly="1" outline="0" axis="axisRow" fieldPosition="0"/>
    </format>
    <format dxfId="568">
      <pivotArea dataOnly="0" labelOnly="1" fieldPosition="0">
        <references count="1">
          <reference field="3" count="0"/>
        </references>
      </pivotArea>
    </format>
    <format dxfId="567">
      <pivotArea dataOnly="0" labelOnly="1" fieldPosition="0">
        <references count="1">
          <reference field="0" count="0"/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untry_name" xr10:uid="{00000000-0013-0000-FFFF-FFFF01000000}" sourceName="Country name">
  <pivotTables>
    <pivotTable tabId="4" name="数据透视表2"/>
  </pivotTables>
  <data>
    <tabular pivotCacheId="2">
      <items count="28">
        <i x="0"/>
        <i x="1"/>
        <i x="2"/>
        <i x="3"/>
        <i x="4"/>
        <i x="5"/>
        <i x="6"/>
        <i x="7"/>
        <i x="8" s="1"/>
        <i x="9"/>
        <i x="10"/>
        <i x="11"/>
        <i x="12"/>
        <i x="13"/>
        <i x="14"/>
        <i x="15"/>
        <i x="16"/>
        <i x="17"/>
        <i x="18"/>
        <i x="19"/>
        <i x="20"/>
        <i x="22"/>
        <i x="23"/>
        <i x="24"/>
        <i x="25"/>
        <i x="26"/>
        <i x="27"/>
        <i x="2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ountry_name" xr10:uid="{00000000-0013-0000-FFFF-FFFF02000000}" sourceName="Country name">
  <pivotTables>
    <pivotTable tabId="5" name="数据透视表1"/>
  </pivotTables>
  <data>
    <tabular pivotCacheId="1600400108">
      <items count="28">
        <i x="0"/>
        <i x="1"/>
        <i x="2"/>
        <i x="3"/>
        <i x="4"/>
        <i x="5"/>
        <i x="6"/>
        <i x="7"/>
        <i x="8" s="1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ountry_name1" xr10:uid="{00000000-0013-0000-FFFF-FFFF03000000}" sourceName="Country name">
  <pivotTables>
    <pivotTable tabId="6" name="数据透视表2"/>
  </pivotTables>
  <data>
    <tabular pivotCacheId="1924800899">
      <items count="28">
        <i x="0"/>
        <i x="1"/>
        <i x="2"/>
        <i x="3"/>
        <i x="4"/>
        <i x="5"/>
        <i x="6"/>
        <i x="7"/>
        <i x="8" s="1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" xr10:uid="{00000000-0014-0000-FFFF-FFFF01000000}" cache="Segment_Country_name" caption="Country name" style="SlicerStyleLight4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 1" xr10:uid="{00000000-0014-0000-FFFF-FFFF02000000}" cache="切片器_Country_name" caption="Country name" style="SlicerStyleLight4" rowHeight="209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 2" xr10:uid="{00000000-0014-0000-FFFF-FFFF03000000}" cache="切片器_Country_name1" caption="Country name" style="SlicerStyleLight4" rowHeight="2095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49"/>
  <sheetViews>
    <sheetView showGridLines="0" tabSelected="1" topLeftCell="B23" workbookViewId="0">
      <selection activeCell="O37" sqref="O37"/>
    </sheetView>
  </sheetViews>
  <sheetFormatPr defaultColWidth="11" defaultRowHeight="20.100000000000001" customHeight="1" x14ac:dyDescent="0.25"/>
  <cols>
    <col min="1" max="1" width="11" style="1"/>
    <col min="2" max="2" width="15.59765625" style="1" customWidth="1"/>
    <col min="3" max="3" width="13.09765625" style="1" customWidth="1"/>
    <col min="4" max="4" width="4.8984375" style="1" customWidth="1"/>
    <col min="5" max="6" width="11.09765625" style="1" customWidth="1"/>
    <col min="7" max="7" width="10.5" style="1" customWidth="1"/>
    <col min="8" max="12" width="11.09765625" style="1" customWidth="1"/>
    <col min="13" max="13" width="9.19921875" style="1" customWidth="1"/>
    <col min="14" max="23" width="11.09765625" style="1" customWidth="1"/>
    <col min="24" max="24" width="18.59765625" style="1" customWidth="1"/>
    <col min="25" max="26" width="11.09765625" style="1" customWidth="1"/>
    <col min="27" max="27" width="10.5" style="1" customWidth="1"/>
    <col min="28" max="31" width="11.09765625" style="1" customWidth="1"/>
    <col min="32" max="57" width="20.8984375" style="1" bestFit="1" customWidth="1"/>
    <col min="58" max="58" width="17.3984375" style="1" bestFit="1" customWidth="1"/>
    <col min="59" max="59" width="17.8984375" style="1" bestFit="1" customWidth="1"/>
    <col min="60" max="16384" width="11" style="1"/>
  </cols>
  <sheetData>
    <row r="2" spans="2:13" ht="24.9" customHeight="1" x14ac:dyDescent="0.25">
      <c r="E2" s="43" t="s">
        <v>0</v>
      </c>
      <c r="F2" s="43"/>
      <c r="G2" s="43"/>
      <c r="H2" s="43"/>
      <c r="I2" s="43"/>
      <c r="J2" s="43"/>
      <c r="K2" s="43"/>
      <c r="L2" s="43"/>
      <c r="M2" s="43"/>
    </row>
    <row r="4" spans="2:13" ht="20.100000000000001" customHeight="1" x14ac:dyDescent="0.25">
      <c r="B4" s="2" t="s">
        <v>1</v>
      </c>
      <c r="C4" s="3" t="s">
        <v>21</v>
      </c>
    </row>
    <row r="29" spans="5:13" ht="20.100000000000001" customHeight="1" x14ac:dyDescent="0.25">
      <c r="E29" s="4" t="s">
        <v>3</v>
      </c>
      <c r="F29" s="4"/>
      <c r="G29" s="4"/>
      <c r="H29" s="4"/>
      <c r="I29" s="4"/>
      <c r="J29" s="4"/>
      <c r="K29" s="4"/>
      <c r="L29" s="4"/>
      <c r="M29" s="4"/>
    </row>
    <row r="30" spans="5:13" ht="20.100000000000001" customHeight="1" x14ac:dyDescent="0.25">
      <c r="E30" s="58"/>
      <c r="F30" s="37"/>
      <c r="G30" s="37"/>
      <c r="H30" s="37"/>
      <c r="I30" s="37"/>
      <c r="J30" s="37"/>
      <c r="K30" s="37"/>
      <c r="L30" s="37"/>
      <c r="M30" s="59"/>
    </row>
    <row r="31" spans="5:13" ht="20.100000000000001" customHeight="1" x14ac:dyDescent="0.25">
      <c r="E31" s="60"/>
      <c r="F31" s="37"/>
      <c r="G31" s="37"/>
      <c r="H31" s="37"/>
      <c r="I31" s="37"/>
      <c r="J31" s="37"/>
      <c r="K31" s="37"/>
      <c r="L31" s="37"/>
      <c r="M31" s="59"/>
    </row>
    <row r="32" spans="5:13" ht="20.100000000000001" customHeight="1" x14ac:dyDescent="0.25">
      <c r="E32" s="60"/>
      <c r="F32" s="37"/>
      <c r="G32" s="37"/>
      <c r="H32" s="37"/>
      <c r="I32" s="37"/>
      <c r="J32" s="37"/>
      <c r="K32" s="37"/>
      <c r="L32" s="37"/>
      <c r="M32" s="59"/>
    </row>
    <row r="33" spans="5:13" ht="20.100000000000001" customHeight="1" x14ac:dyDescent="0.25">
      <c r="E33" s="60"/>
      <c r="F33" s="37"/>
      <c r="G33" s="37"/>
      <c r="H33" s="37"/>
      <c r="I33" s="37"/>
      <c r="J33" s="37"/>
      <c r="K33" s="37"/>
      <c r="L33" s="37"/>
      <c r="M33" s="59"/>
    </row>
    <row r="34" spans="5:13" ht="20.100000000000001" customHeight="1" x14ac:dyDescent="0.25">
      <c r="E34" s="60"/>
      <c r="F34" s="37"/>
      <c r="G34" s="37"/>
      <c r="H34" s="37"/>
      <c r="I34" s="37"/>
      <c r="J34" s="37"/>
      <c r="K34" s="37"/>
      <c r="L34" s="37"/>
      <c r="M34" s="59"/>
    </row>
    <row r="35" spans="5:13" ht="20.100000000000001" customHeight="1" x14ac:dyDescent="0.25">
      <c r="E35" s="60"/>
      <c r="F35" s="37"/>
      <c r="G35" s="37"/>
      <c r="H35" s="37"/>
      <c r="I35" s="37"/>
      <c r="J35" s="37"/>
      <c r="K35" s="37"/>
      <c r="L35" s="37"/>
      <c r="M35" s="59"/>
    </row>
    <row r="36" spans="5:13" ht="20.100000000000001" customHeight="1" x14ac:dyDescent="0.25">
      <c r="E36" s="60"/>
      <c r="F36" s="37"/>
      <c r="G36" s="37"/>
      <c r="H36" s="37"/>
      <c r="I36" s="37"/>
      <c r="J36" s="37"/>
      <c r="K36" s="37"/>
      <c r="L36" s="37"/>
      <c r="M36" s="59"/>
    </row>
    <row r="37" spans="5:13" ht="20.100000000000001" customHeight="1" x14ac:dyDescent="0.25">
      <c r="E37" s="60"/>
      <c r="F37" s="37"/>
      <c r="G37" s="37"/>
      <c r="H37" s="37"/>
      <c r="I37" s="37"/>
      <c r="J37" s="37"/>
      <c r="K37" s="37"/>
      <c r="L37" s="37"/>
      <c r="M37" s="59"/>
    </row>
    <row r="38" spans="5:13" ht="20.100000000000001" customHeight="1" x14ac:dyDescent="0.25">
      <c r="E38" s="60"/>
      <c r="F38" s="37"/>
      <c r="G38" s="37"/>
      <c r="H38" s="37"/>
      <c r="I38" s="37"/>
      <c r="J38" s="37"/>
      <c r="K38" s="37"/>
      <c r="L38" s="37"/>
      <c r="M38" s="59"/>
    </row>
    <row r="39" spans="5:13" ht="20.100000000000001" customHeight="1" x14ac:dyDescent="0.25">
      <c r="E39" s="60"/>
      <c r="F39" s="37"/>
      <c r="G39" s="37"/>
      <c r="H39" s="37"/>
      <c r="I39" s="37"/>
      <c r="J39" s="37"/>
      <c r="K39" s="37"/>
      <c r="L39" s="37"/>
      <c r="M39" s="59"/>
    </row>
    <row r="40" spans="5:13" ht="20.100000000000001" customHeight="1" x14ac:dyDescent="0.25">
      <c r="E40" s="61"/>
      <c r="F40" s="62"/>
      <c r="G40" s="62"/>
      <c r="H40" s="62"/>
      <c r="I40" s="62"/>
      <c r="J40" s="62"/>
      <c r="K40" s="62"/>
      <c r="L40" s="62"/>
      <c r="M40" s="63"/>
    </row>
    <row r="41" spans="5:13" ht="20.100000000000001" customHeight="1" x14ac:dyDescent="0.25">
      <c r="E41" s="61"/>
      <c r="F41" s="62"/>
      <c r="G41" s="62"/>
      <c r="H41" s="62"/>
      <c r="I41" s="62"/>
      <c r="J41" s="62"/>
      <c r="K41" s="62"/>
      <c r="L41" s="62"/>
      <c r="M41" s="63"/>
    </row>
    <row r="42" spans="5:13" ht="20.100000000000001" customHeight="1" x14ac:dyDescent="0.25">
      <c r="E42" s="61"/>
      <c r="F42" s="62"/>
      <c r="G42" s="62"/>
      <c r="H42" s="62"/>
      <c r="I42" s="62"/>
      <c r="J42" s="62"/>
      <c r="K42" s="62"/>
      <c r="L42" s="62"/>
      <c r="M42" s="63"/>
    </row>
    <row r="43" spans="5:13" ht="20.100000000000001" customHeight="1" x14ac:dyDescent="0.25">
      <c r="E43" s="61"/>
      <c r="F43" s="62"/>
      <c r="G43" s="62"/>
      <c r="H43" s="62"/>
      <c r="I43" s="62"/>
      <c r="J43" s="62"/>
      <c r="K43" s="62"/>
      <c r="L43" s="62"/>
      <c r="M43" s="63"/>
    </row>
    <row r="44" spans="5:13" ht="20.100000000000001" customHeight="1" x14ac:dyDescent="0.25">
      <c r="E44" s="61"/>
      <c r="F44" s="62"/>
      <c r="G44" s="62"/>
      <c r="H44" s="62"/>
      <c r="I44" s="62"/>
      <c r="J44" s="62"/>
      <c r="K44" s="62"/>
      <c r="L44" s="62"/>
      <c r="M44" s="63"/>
    </row>
    <row r="45" spans="5:13" ht="20.100000000000001" customHeight="1" x14ac:dyDescent="0.25">
      <c r="E45" s="61"/>
      <c r="F45" s="62"/>
      <c r="G45" s="62"/>
      <c r="H45" s="62"/>
      <c r="I45" s="62"/>
      <c r="J45" s="62"/>
      <c r="K45" s="62"/>
      <c r="L45" s="62"/>
      <c r="M45" s="63"/>
    </row>
    <row r="46" spans="5:13" ht="20.100000000000001" customHeight="1" x14ac:dyDescent="0.25">
      <c r="E46" s="61"/>
      <c r="F46" s="62"/>
      <c r="G46" s="62"/>
      <c r="H46" s="62"/>
      <c r="I46" s="62"/>
      <c r="J46" s="62"/>
      <c r="K46" s="62"/>
      <c r="L46" s="62"/>
      <c r="M46" s="63"/>
    </row>
    <row r="47" spans="5:13" ht="20.100000000000001" customHeight="1" x14ac:dyDescent="0.25">
      <c r="E47" s="61"/>
      <c r="F47" s="62"/>
      <c r="G47" s="62"/>
      <c r="H47" s="62"/>
      <c r="I47" s="62"/>
      <c r="J47" s="62"/>
      <c r="K47" s="62"/>
      <c r="L47" s="62"/>
      <c r="M47" s="63"/>
    </row>
    <row r="48" spans="5:13" ht="20.100000000000001" customHeight="1" x14ac:dyDescent="0.25">
      <c r="E48" s="61"/>
      <c r="F48" s="62"/>
      <c r="G48" s="62"/>
      <c r="H48" s="62"/>
      <c r="I48" s="62"/>
      <c r="J48" s="62"/>
      <c r="K48" s="62"/>
      <c r="L48" s="62"/>
      <c r="M48" s="63"/>
    </row>
    <row r="49" spans="5:13" ht="20.100000000000001" customHeight="1" x14ac:dyDescent="0.25">
      <c r="E49" s="64"/>
      <c r="F49" s="65"/>
      <c r="G49" s="65"/>
      <c r="H49" s="65"/>
      <c r="I49" s="65"/>
      <c r="J49" s="65"/>
      <c r="K49" s="65"/>
      <c r="L49" s="65"/>
      <c r="M49" s="66"/>
    </row>
  </sheetData>
  <mergeCells count="1">
    <mergeCell ref="E2:M2"/>
  </mergeCells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ndicateur1">
              <controlPr defaultSize="0" print="0" autoFill="0" autoPict="0" macro="[0]!SelectSheet">
                <anchor moveWithCells="1" sizeWithCells="1">
                  <from>
                    <xdr:col>0</xdr:col>
                    <xdr:colOff>822960</xdr:colOff>
                    <xdr:row>5</xdr:row>
                    <xdr:rowOff>0</xdr:rowOff>
                  </from>
                  <to>
                    <xdr:col>2</xdr:col>
                    <xdr:colOff>76200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Indicateur2">
              <controlPr defaultSize="0" print="0" autoFill="0" autoPict="0" macro="[0]!SelectSheet">
                <anchor moveWithCells="1" sizeWithCells="1">
                  <from>
                    <xdr:col>0</xdr:col>
                    <xdr:colOff>822960</xdr:colOff>
                    <xdr:row>6</xdr:row>
                    <xdr:rowOff>220980</xdr:rowOff>
                  </from>
                  <to>
                    <xdr:col>2</xdr:col>
                    <xdr:colOff>76200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Indicateur3">
              <controlPr defaultSize="0" print="0" autoFill="0" autoPict="0" macro="[0]!SelectSheet">
                <anchor moveWithCells="1" sizeWithCells="1">
                  <from>
                    <xdr:col>0</xdr:col>
                    <xdr:colOff>822960</xdr:colOff>
                    <xdr:row>8</xdr:row>
                    <xdr:rowOff>182880</xdr:rowOff>
                  </from>
                  <to>
                    <xdr:col>2</xdr:col>
                    <xdr:colOff>76200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prevision1!$A$2:$A$28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AL1628"/>
  <sheetViews>
    <sheetView showGridLines="0" topLeftCell="E37" zoomScale="80" zoomScaleNormal="80" workbookViewId="0">
      <selection activeCell="F63" sqref="F63"/>
    </sheetView>
  </sheetViews>
  <sheetFormatPr defaultColWidth="23.69921875" defaultRowHeight="19.95" customHeight="1" x14ac:dyDescent="0.25"/>
  <cols>
    <col min="1" max="1" width="22.59765625" style="1" hidden="1" customWidth="1"/>
    <col min="2" max="2" width="42.09765625" style="1" hidden="1" customWidth="1"/>
    <col min="3" max="3" width="22.69921875" style="1" hidden="1" customWidth="1"/>
    <col min="4" max="4" width="25.19921875" style="1" hidden="1" customWidth="1"/>
    <col min="5" max="5" width="10.59765625" style="1" customWidth="1"/>
    <col min="6" max="6" width="14.5" style="1" customWidth="1"/>
    <col min="7" max="7" width="26.8984375" style="1" customWidth="1"/>
    <col min="8" max="8" width="78.5" style="1" customWidth="1"/>
    <col min="9" max="9" width="5.19921875" style="1" customWidth="1"/>
    <col min="10" max="10" width="13" style="1" bestFit="1" customWidth="1"/>
    <col min="11" max="11" width="16.59765625" style="1" bestFit="1" customWidth="1"/>
    <col min="12" max="14" width="11.3984375" style="1" customWidth="1"/>
    <col min="15" max="31" width="13.3984375" style="1" bestFit="1" customWidth="1"/>
    <col min="32" max="32" width="21.19921875" style="1" bestFit="1" customWidth="1"/>
    <col min="33" max="38" width="13.3984375" style="1" bestFit="1" customWidth="1"/>
    <col min="39" max="16384" width="23.69921875" style="1"/>
  </cols>
  <sheetData>
    <row r="2" spans="1:38" ht="25.2" customHeight="1" x14ac:dyDescent="0.25">
      <c r="G2" s="43" t="s">
        <v>45</v>
      </c>
      <c r="H2" s="43"/>
      <c r="I2" s="43"/>
      <c r="J2" s="43"/>
      <c r="K2" s="43"/>
    </row>
    <row r="3" spans="1:38" ht="10.199999999999999" customHeight="1" x14ac:dyDescent="0.25">
      <c r="G3" s="5"/>
      <c r="H3" s="5"/>
      <c r="I3" s="5"/>
      <c r="J3" s="5"/>
      <c r="K3" s="5"/>
    </row>
    <row r="4" spans="1:38" ht="22.2" customHeight="1" thickBot="1" x14ac:dyDescent="0.3">
      <c r="A4" s="6" t="s">
        <v>4</v>
      </c>
      <c r="B4" s="6" t="s">
        <v>5</v>
      </c>
      <c r="C4" s="6" t="s">
        <v>6</v>
      </c>
      <c r="D4" s="6" t="s">
        <v>7</v>
      </c>
      <c r="E4" s="7"/>
      <c r="F4" s="7"/>
      <c r="H4" s="8" t="s">
        <v>8</v>
      </c>
      <c r="I4" s="9"/>
      <c r="J4" s="44" t="s">
        <v>9</v>
      </c>
      <c r="K4" s="44"/>
      <c r="L4" s="10"/>
      <c r="M4" s="45"/>
      <c r="N4" s="45"/>
      <c r="O4" s="45"/>
      <c r="P4" s="45"/>
      <c r="Q4" s="45"/>
      <c r="R4" s="45"/>
      <c r="S4" s="45"/>
      <c r="T4" s="45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ht="14.4" thickTop="1" x14ac:dyDescent="0.25">
      <c r="A5" s="11" t="s">
        <v>10</v>
      </c>
      <c r="B5" s="12" t="s">
        <v>11</v>
      </c>
      <c r="C5" s="12">
        <v>12.4999996173469</v>
      </c>
      <c r="D5" s="12">
        <v>1960</v>
      </c>
      <c r="E5" s="13"/>
      <c r="F5" s="13"/>
      <c r="J5" s="38" t="s">
        <v>12</v>
      </c>
      <c r="K5" s="38" t="s">
        <v>4</v>
      </c>
    </row>
    <row r="6" spans="1:38" ht="13.8" x14ac:dyDescent="0.25">
      <c r="A6" s="11" t="s">
        <v>13</v>
      </c>
      <c r="B6" s="12" t="s">
        <v>14</v>
      </c>
      <c r="C6" s="12"/>
      <c r="D6" s="12">
        <v>1960</v>
      </c>
      <c r="E6" s="13"/>
      <c r="F6" s="13"/>
      <c r="J6" s="38" t="s">
        <v>7</v>
      </c>
      <c r="K6" s="39" t="s">
        <v>21</v>
      </c>
    </row>
    <row r="7" spans="1:38" ht="19.95" customHeight="1" x14ac:dyDescent="0.25">
      <c r="A7" s="11" t="s">
        <v>16</v>
      </c>
      <c r="B7" s="12" t="s">
        <v>14</v>
      </c>
      <c r="C7" s="12">
        <v>13.3896456825921</v>
      </c>
      <c r="D7" s="12">
        <v>1960</v>
      </c>
      <c r="E7" s="13"/>
      <c r="F7" s="13"/>
      <c r="J7" s="36">
        <v>1960</v>
      </c>
      <c r="K7" s="40">
        <v>31.095746519435</v>
      </c>
    </row>
    <row r="8" spans="1:38" ht="19.95" customHeight="1" x14ac:dyDescent="0.25">
      <c r="A8" s="11" t="s">
        <v>15</v>
      </c>
      <c r="B8" s="12" t="s">
        <v>14</v>
      </c>
      <c r="C8" s="12"/>
      <c r="D8" s="12">
        <v>1960</v>
      </c>
      <c r="E8" s="13"/>
      <c r="F8" s="13"/>
      <c r="J8" s="34">
        <v>1961</v>
      </c>
      <c r="K8" s="41">
        <v>32.717169681453797</v>
      </c>
    </row>
    <row r="9" spans="1:38" ht="19.95" customHeight="1" x14ac:dyDescent="0.25">
      <c r="A9" s="11" t="s">
        <v>17</v>
      </c>
      <c r="B9" s="12" t="s">
        <v>14</v>
      </c>
      <c r="C9" s="12"/>
      <c r="D9" s="12">
        <v>1960</v>
      </c>
      <c r="E9" s="13"/>
      <c r="F9" s="13"/>
      <c r="J9" s="34">
        <v>1962</v>
      </c>
      <c r="K9" s="41">
        <v>32.037809261394798</v>
      </c>
    </row>
    <row r="10" spans="1:38" ht="19.95" customHeight="1" x14ac:dyDescent="0.25">
      <c r="A10" s="11" t="s">
        <v>18</v>
      </c>
      <c r="B10" s="12" t="s">
        <v>14</v>
      </c>
      <c r="C10" s="12"/>
      <c r="D10" s="12">
        <v>1960</v>
      </c>
      <c r="E10" s="13"/>
      <c r="F10" s="13"/>
      <c r="J10" s="34">
        <v>1963</v>
      </c>
      <c r="K10" s="41">
        <v>32.032947656704003</v>
      </c>
    </row>
    <row r="11" spans="1:38" ht="19.95" customHeight="1" x14ac:dyDescent="0.25">
      <c r="A11" s="11" t="s">
        <v>19</v>
      </c>
      <c r="B11" s="12" t="s">
        <v>14</v>
      </c>
      <c r="C11" s="12"/>
      <c r="D11" s="12">
        <v>1960</v>
      </c>
      <c r="E11" s="13"/>
      <c r="F11" s="13"/>
      <c r="J11" s="34">
        <v>1964</v>
      </c>
      <c r="K11" s="41">
        <v>33.389413153894701</v>
      </c>
    </row>
    <row r="12" spans="1:38" ht="19.95" customHeight="1" x14ac:dyDescent="0.25">
      <c r="A12" s="11" t="s">
        <v>20</v>
      </c>
      <c r="B12" s="12" t="s">
        <v>14</v>
      </c>
      <c r="C12" s="12"/>
      <c r="D12" s="12">
        <v>1960</v>
      </c>
      <c r="E12" s="13"/>
      <c r="F12" s="13"/>
      <c r="J12" s="34">
        <v>1965</v>
      </c>
      <c r="K12" s="41">
        <v>31.397315206878599</v>
      </c>
    </row>
    <row r="13" spans="1:38" ht="19.95" customHeight="1" x14ac:dyDescent="0.25">
      <c r="A13" s="11" t="s">
        <v>21</v>
      </c>
      <c r="B13" s="12" t="s">
        <v>14</v>
      </c>
      <c r="C13" s="12">
        <v>31.095746519435</v>
      </c>
      <c r="D13" s="12">
        <v>1960</v>
      </c>
      <c r="E13" s="13"/>
      <c r="F13" s="13"/>
      <c r="J13" s="34">
        <v>1966</v>
      </c>
      <c r="K13" s="41">
        <v>32.411633516273902</v>
      </c>
    </row>
    <row r="14" spans="1:38" ht="19.95" customHeight="1" x14ac:dyDescent="0.25">
      <c r="A14" s="11" t="s">
        <v>22</v>
      </c>
      <c r="B14" s="12" t="s">
        <v>14</v>
      </c>
      <c r="C14" s="12"/>
      <c r="D14" s="12">
        <v>1960</v>
      </c>
      <c r="E14" s="13"/>
      <c r="F14" s="13"/>
      <c r="J14" s="34">
        <v>1967</v>
      </c>
      <c r="K14" s="41">
        <v>28.464334393457499</v>
      </c>
    </row>
    <row r="15" spans="1:38" ht="19.95" customHeight="1" x14ac:dyDescent="0.25">
      <c r="A15" s="11" t="s">
        <v>23</v>
      </c>
      <c r="B15" s="12" t="s">
        <v>14</v>
      </c>
      <c r="C15" s="12">
        <v>45.827830144108297</v>
      </c>
      <c r="D15" s="12">
        <v>1960</v>
      </c>
      <c r="E15" s="13"/>
      <c r="F15" s="13"/>
      <c r="J15" s="34">
        <v>1968</v>
      </c>
      <c r="K15" s="41">
        <v>29.4008110568567</v>
      </c>
    </row>
    <row r="16" spans="1:38" ht="19.95" customHeight="1" x14ac:dyDescent="0.25">
      <c r="A16" s="11" t="s">
        <v>24</v>
      </c>
      <c r="B16" s="12" t="s">
        <v>14</v>
      </c>
      <c r="C16" s="12">
        <v>10.030184184754001</v>
      </c>
      <c r="D16" s="12">
        <v>1960</v>
      </c>
      <c r="E16" s="13"/>
      <c r="F16" s="13"/>
      <c r="J16" s="34">
        <v>1969</v>
      </c>
      <c r="K16" s="41">
        <v>29.5286550830373</v>
      </c>
    </row>
    <row r="17" spans="1:11" ht="19.95" customHeight="1" x14ac:dyDescent="0.25">
      <c r="A17" s="11" t="s">
        <v>25</v>
      </c>
      <c r="B17" s="12" t="s">
        <v>14</v>
      </c>
      <c r="C17" s="12">
        <v>22.079037800687299</v>
      </c>
      <c r="D17" s="12">
        <v>1960</v>
      </c>
      <c r="E17" s="13"/>
      <c r="F17" s="13"/>
      <c r="J17" s="34">
        <v>1970</v>
      </c>
      <c r="K17" s="41">
        <v>29.825725561415201</v>
      </c>
    </row>
    <row r="18" spans="1:11" ht="19.95" customHeight="1" x14ac:dyDescent="0.25">
      <c r="A18" s="11" t="s">
        <v>26</v>
      </c>
      <c r="B18" s="12" t="s">
        <v>14</v>
      </c>
      <c r="C18" s="12"/>
      <c r="D18" s="12">
        <v>1960</v>
      </c>
      <c r="E18" s="13"/>
      <c r="F18" s="13"/>
      <c r="J18" s="34">
        <v>1971</v>
      </c>
      <c r="K18" s="41">
        <v>28.639355102812001</v>
      </c>
    </row>
    <row r="19" spans="1:11" ht="19.95" customHeight="1" x14ac:dyDescent="0.25">
      <c r="A19" s="11" t="s">
        <v>27</v>
      </c>
      <c r="B19" s="12" t="s">
        <v>14</v>
      </c>
      <c r="C19" s="12"/>
      <c r="D19" s="12">
        <v>1960</v>
      </c>
      <c r="E19" s="13"/>
      <c r="F19" s="13"/>
      <c r="J19" s="34">
        <v>1972</v>
      </c>
      <c r="K19" s="41">
        <v>26.5878288599522</v>
      </c>
    </row>
    <row r="20" spans="1:11" ht="22.2" customHeight="1" x14ac:dyDescent="0.25">
      <c r="A20" s="11" t="s">
        <v>28</v>
      </c>
      <c r="B20" s="12" t="s">
        <v>14</v>
      </c>
      <c r="C20" s="12"/>
      <c r="D20" s="12">
        <v>1960</v>
      </c>
      <c r="E20" s="13"/>
      <c r="F20" s="13"/>
      <c r="J20" s="34">
        <v>1973</v>
      </c>
      <c r="K20" s="41">
        <v>27.393834680632999</v>
      </c>
    </row>
    <row r="21" spans="1:11" ht="19.95" customHeight="1" x14ac:dyDescent="0.25">
      <c r="A21" s="11" t="s">
        <v>29</v>
      </c>
      <c r="B21" s="12" t="s">
        <v>14</v>
      </c>
      <c r="C21" s="12"/>
      <c r="D21" s="12">
        <v>1960</v>
      </c>
      <c r="E21" s="13"/>
      <c r="F21" s="13"/>
      <c r="H21" s="4" t="s">
        <v>30</v>
      </c>
      <c r="J21" s="34">
        <v>1974</v>
      </c>
      <c r="K21" s="41">
        <v>33.675883850287498</v>
      </c>
    </row>
    <row r="22" spans="1:11" ht="19.95" customHeight="1" x14ac:dyDescent="0.25">
      <c r="A22" s="11" t="s">
        <v>31</v>
      </c>
      <c r="B22" s="12" t="s">
        <v>14</v>
      </c>
      <c r="C22" s="12"/>
      <c r="D22" s="12">
        <v>1960</v>
      </c>
      <c r="E22" s="13"/>
      <c r="F22" s="13"/>
      <c r="J22" s="34">
        <v>1975</v>
      </c>
      <c r="K22" s="41">
        <v>29.823685969750201</v>
      </c>
    </row>
    <row r="23" spans="1:11" ht="19.95" customHeight="1" x14ac:dyDescent="0.25">
      <c r="A23" s="11" t="s">
        <v>32</v>
      </c>
      <c r="B23" s="12" t="s">
        <v>14</v>
      </c>
      <c r="C23" s="12">
        <v>23.652970528497701</v>
      </c>
      <c r="D23" s="12">
        <v>1960</v>
      </c>
      <c r="E23" s="13"/>
      <c r="F23" s="13"/>
      <c r="J23" s="34">
        <v>1976</v>
      </c>
      <c r="K23" s="41">
        <v>32.450471243808501</v>
      </c>
    </row>
    <row r="24" spans="1:11" ht="19.95" customHeight="1" x14ac:dyDescent="0.25">
      <c r="A24" s="11" t="s">
        <v>33</v>
      </c>
      <c r="B24" s="12" t="s">
        <v>14</v>
      </c>
      <c r="C24" s="12">
        <v>7.1004107317726497</v>
      </c>
      <c r="D24" s="12">
        <v>1960</v>
      </c>
      <c r="E24" s="13"/>
      <c r="F24" s="13"/>
      <c r="J24" s="34">
        <v>1977</v>
      </c>
      <c r="K24" s="41">
        <v>34.958868756384803</v>
      </c>
    </row>
    <row r="25" spans="1:11" ht="19.95" customHeight="1" x14ac:dyDescent="0.25">
      <c r="A25" s="11" t="s">
        <v>34</v>
      </c>
      <c r="B25" s="12" t="s">
        <v>14</v>
      </c>
      <c r="C25" s="12">
        <v>12.436972281618999</v>
      </c>
      <c r="D25" s="12">
        <v>1960</v>
      </c>
      <c r="E25" s="13"/>
      <c r="F25" s="13"/>
      <c r="J25" s="34">
        <v>1978</v>
      </c>
      <c r="K25" s="41">
        <v>28.935518336561401</v>
      </c>
    </row>
    <row r="26" spans="1:11" ht="19.95" customHeight="1" x14ac:dyDescent="0.25">
      <c r="A26" s="11" t="s">
        <v>35</v>
      </c>
      <c r="B26" s="12" t="s">
        <v>14</v>
      </c>
      <c r="C26" s="12"/>
      <c r="D26" s="12">
        <v>1960</v>
      </c>
      <c r="E26" s="13"/>
      <c r="F26" s="13"/>
      <c r="J26" s="34">
        <v>1979</v>
      </c>
      <c r="K26" s="41">
        <v>25.753154235687902</v>
      </c>
    </row>
    <row r="27" spans="1:11" ht="19.95" customHeight="1" x14ac:dyDescent="0.25">
      <c r="A27" s="11" t="s">
        <v>2</v>
      </c>
      <c r="B27" s="12" t="s">
        <v>14</v>
      </c>
      <c r="C27" s="12">
        <v>29.953249888243199</v>
      </c>
      <c r="D27" s="12">
        <v>1960</v>
      </c>
      <c r="E27" s="13"/>
      <c r="F27" s="13"/>
      <c r="J27" s="34">
        <v>1980</v>
      </c>
      <c r="K27" s="41">
        <v>29.516964217512001</v>
      </c>
    </row>
    <row r="28" spans="1:11" ht="19.95" customHeight="1" x14ac:dyDescent="0.25">
      <c r="A28" s="11" t="s">
        <v>36</v>
      </c>
      <c r="B28" s="12" t="s">
        <v>14</v>
      </c>
      <c r="C28" s="12"/>
      <c r="D28" s="12">
        <v>1960</v>
      </c>
      <c r="E28" s="13"/>
      <c r="F28" s="13"/>
      <c r="J28" s="34">
        <v>1981</v>
      </c>
      <c r="K28" s="41">
        <v>30.4598813209494</v>
      </c>
    </row>
    <row r="29" spans="1:11" ht="19.95" customHeight="1" x14ac:dyDescent="0.25">
      <c r="A29" s="11" t="s">
        <v>37</v>
      </c>
      <c r="B29" s="12" t="s">
        <v>14</v>
      </c>
      <c r="C29" s="12"/>
      <c r="D29" s="12">
        <v>1960</v>
      </c>
      <c r="E29" s="13"/>
      <c r="F29" s="13"/>
      <c r="J29" s="34">
        <v>1982</v>
      </c>
      <c r="K29" s="41">
        <v>26.657465998935201</v>
      </c>
    </row>
    <row r="30" spans="1:11" ht="19.95" customHeight="1" x14ac:dyDescent="0.25">
      <c r="A30" s="11" t="s">
        <v>38</v>
      </c>
      <c r="B30" s="12" t="s">
        <v>14</v>
      </c>
      <c r="C30" s="12">
        <v>27.329451121298501</v>
      </c>
      <c r="D30" s="12">
        <v>1960</v>
      </c>
      <c r="E30" s="13"/>
      <c r="F30" s="13"/>
      <c r="J30" s="34">
        <v>1983</v>
      </c>
      <c r="K30" s="41">
        <v>25.949932405436702</v>
      </c>
    </row>
    <row r="31" spans="1:11" ht="19.95" customHeight="1" x14ac:dyDescent="0.25">
      <c r="A31" s="11" t="s">
        <v>39</v>
      </c>
      <c r="B31" s="12" t="s">
        <v>14</v>
      </c>
      <c r="C31" s="12"/>
      <c r="D31" s="12">
        <v>1960</v>
      </c>
      <c r="E31" s="13"/>
      <c r="F31" s="13"/>
      <c r="J31" s="34">
        <v>1984</v>
      </c>
      <c r="K31" s="41">
        <v>26.749892652163901</v>
      </c>
    </row>
    <row r="32" spans="1:11" ht="19.95" customHeight="1" x14ac:dyDescent="0.25">
      <c r="A32" s="11" t="s">
        <v>40</v>
      </c>
      <c r="B32" s="12" t="s">
        <v>14</v>
      </c>
      <c r="C32" s="12"/>
      <c r="D32" s="12">
        <v>1960</v>
      </c>
      <c r="E32" s="13"/>
      <c r="F32" s="13"/>
      <c r="J32" s="34">
        <v>1985</v>
      </c>
      <c r="K32" s="41">
        <v>25.2989329600959</v>
      </c>
    </row>
    <row r="33" spans="1:11" ht="19.95" customHeight="1" x14ac:dyDescent="0.25">
      <c r="A33" s="14" t="s">
        <v>10</v>
      </c>
      <c r="B33" s="15" t="s">
        <v>14</v>
      </c>
      <c r="C33" s="15">
        <v>12.9310349923561</v>
      </c>
      <c r="D33" s="15">
        <v>1961</v>
      </c>
      <c r="E33" s="16"/>
      <c r="F33" s="16"/>
      <c r="J33" s="34">
        <v>1986</v>
      </c>
      <c r="K33" s="41">
        <v>25.848355272679601</v>
      </c>
    </row>
    <row r="34" spans="1:11" ht="19.95" customHeight="1" x14ac:dyDescent="0.25">
      <c r="A34" s="14" t="s">
        <v>13</v>
      </c>
      <c r="B34" s="15" t="s">
        <v>14</v>
      </c>
      <c r="C34" s="15"/>
      <c r="D34" s="15">
        <v>1961</v>
      </c>
      <c r="E34" s="16"/>
      <c r="F34" s="16"/>
      <c r="J34" s="34">
        <v>1987</v>
      </c>
      <c r="K34" s="41">
        <v>21.305221347435602</v>
      </c>
    </row>
    <row r="35" spans="1:11" ht="19.95" customHeight="1" x14ac:dyDescent="0.25">
      <c r="A35" s="14" t="s">
        <v>16</v>
      </c>
      <c r="B35" s="15" t="s">
        <v>14</v>
      </c>
      <c r="C35" s="15">
        <v>13.9110330044899</v>
      </c>
      <c r="D35" s="15">
        <v>1961</v>
      </c>
      <c r="E35" s="16"/>
      <c r="F35" s="16"/>
      <c r="J35" s="34">
        <v>1988</v>
      </c>
      <c r="K35" s="41">
        <v>22.3712135609168</v>
      </c>
    </row>
    <row r="36" spans="1:11" ht="22.2" customHeight="1" x14ac:dyDescent="0.25">
      <c r="A36" s="14" t="s">
        <v>15</v>
      </c>
      <c r="B36" s="15" t="s">
        <v>14</v>
      </c>
      <c r="C36" s="15"/>
      <c r="D36" s="15">
        <v>1961</v>
      </c>
      <c r="E36" s="16"/>
      <c r="F36" s="16"/>
      <c r="J36" s="34">
        <v>1989</v>
      </c>
      <c r="K36" s="41">
        <v>23.0330294282825</v>
      </c>
    </row>
    <row r="37" spans="1:11" ht="19.95" customHeight="1" x14ac:dyDescent="0.25">
      <c r="A37" s="14" t="s">
        <v>17</v>
      </c>
      <c r="B37" s="15" t="s">
        <v>14</v>
      </c>
      <c r="C37" s="15"/>
      <c r="D37" s="15">
        <v>1961</v>
      </c>
      <c r="E37" s="16"/>
      <c r="F37" s="16"/>
      <c r="J37" s="34">
        <v>1990</v>
      </c>
      <c r="K37" s="41">
        <v>25.692605964936401</v>
      </c>
    </row>
    <row r="38" spans="1:11" ht="19.95" customHeight="1" x14ac:dyDescent="0.25">
      <c r="A38" s="14" t="s">
        <v>18</v>
      </c>
      <c r="B38" s="15" t="s">
        <v>14</v>
      </c>
      <c r="C38" s="15"/>
      <c r="D38" s="15">
        <v>1961</v>
      </c>
      <c r="E38" s="16"/>
      <c r="F38" s="16"/>
      <c r="J38" s="34">
        <v>1991</v>
      </c>
      <c r="K38" s="41">
        <v>27.0416323240194</v>
      </c>
    </row>
    <row r="39" spans="1:11" ht="19.95" customHeight="1" x14ac:dyDescent="0.25">
      <c r="A39" s="14" t="s">
        <v>19</v>
      </c>
      <c r="B39" s="15" t="s">
        <v>14</v>
      </c>
      <c r="C39" s="15"/>
      <c r="D39" s="15">
        <v>1961</v>
      </c>
      <c r="E39" s="16"/>
      <c r="F39" s="16"/>
      <c r="J39" s="34">
        <v>1992</v>
      </c>
      <c r="K39" s="41">
        <v>26.260374190635101</v>
      </c>
    </row>
    <row r="40" spans="1:11" ht="19.95" customHeight="1" x14ac:dyDescent="0.25">
      <c r="A40" s="14" t="s">
        <v>20</v>
      </c>
      <c r="B40" s="15" t="s">
        <v>14</v>
      </c>
      <c r="C40" s="15"/>
      <c r="D40" s="15">
        <v>1961</v>
      </c>
      <c r="E40" s="16"/>
      <c r="F40" s="16"/>
      <c r="J40" s="34">
        <v>1993</v>
      </c>
      <c r="K40" s="41">
        <v>38.903630169804202</v>
      </c>
    </row>
    <row r="41" spans="1:11" ht="19.95" customHeight="1" x14ac:dyDescent="0.25">
      <c r="A41" s="14" t="s">
        <v>21</v>
      </c>
      <c r="B41" s="15" t="s">
        <v>14</v>
      </c>
      <c r="C41" s="15">
        <v>32.717169681453797</v>
      </c>
      <c r="D41" s="15">
        <v>1961</v>
      </c>
      <c r="E41" s="16"/>
      <c r="F41" s="16"/>
      <c r="J41" s="34">
        <v>1994</v>
      </c>
      <c r="K41" s="41">
        <v>37.0402808384151</v>
      </c>
    </row>
    <row r="42" spans="1:11" ht="19.95" customHeight="1" x14ac:dyDescent="0.25">
      <c r="A42" s="14" t="s">
        <v>22</v>
      </c>
      <c r="B42" s="15" t="s">
        <v>14</v>
      </c>
      <c r="C42" s="15"/>
      <c r="D42" s="15">
        <v>1961</v>
      </c>
      <c r="E42" s="16"/>
      <c r="F42" s="16"/>
      <c r="J42" s="34">
        <v>1995</v>
      </c>
      <c r="K42" s="41">
        <v>32.5917012190029</v>
      </c>
    </row>
    <row r="43" spans="1:11" ht="19.95" customHeight="1" x14ac:dyDescent="0.25">
      <c r="A43" s="14" t="s">
        <v>23</v>
      </c>
      <c r="B43" s="15" t="s">
        <v>14</v>
      </c>
      <c r="C43" s="15">
        <v>34.580083068318999</v>
      </c>
      <c r="D43" s="15">
        <v>1961</v>
      </c>
      <c r="E43" s="16"/>
      <c r="F43" s="16"/>
      <c r="J43" s="34">
        <v>1996</v>
      </c>
      <c r="K43" s="41">
        <v>25.2006019494243</v>
      </c>
    </row>
    <row r="44" spans="1:11" ht="19.95" customHeight="1" x14ac:dyDescent="0.25">
      <c r="A44" s="14" t="s">
        <v>24</v>
      </c>
      <c r="B44" s="15" t="s">
        <v>14</v>
      </c>
      <c r="C44" s="15">
        <v>14.6047493240543</v>
      </c>
      <c r="D44" s="15">
        <v>1961</v>
      </c>
      <c r="E44" s="16"/>
      <c r="F44" s="16"/>
      <c r="J44" s="34">
        <v>1997</v>
      </c>
      <c r="K44" s="41">
        <v>22.686387351634998</v>
      </c>
    </row>
    <row r="45" spans="1:11" ht="19.95" customHeight="1" x14ac:dyDescent="0.25">
      <c r="A45" s="14" t="s">
        <v>25</v>
      </c>
      <c r="B45" s="15" t="s">
        <v>14</v>
      </c>
      <c r="C45" s="15">
        <v>20.609462710505198</v>
      </c>
      <c r="D45" s="15">
        <v>1961</v>
      </c>
      <c r="E45" s="16"/>
      <c r="F45" s="16"/>
      <c r="J45" s="34">
        <v>1998</v>
      </c>
      <c r="K45" s="41">
        <v>20.1692608275285</v>
      </c>
    </row>
    <row r="46" spans="1:11" ht="19.95" customHeight="1" x14ac:dyDescent="0.25">
      <c r="A46" s="14" t="s">
        <v>26</v>
      </c>
      <c r="B46" s="15" t="s">
        <v>14</v>
      </c>
      <c r="C46" s="15"/>
      <c r="D46" s="15">
        <v>1961</v>
      </c>
      <c r="E46" s="16"/>
      <c r="F46" s="16"/>
      <c r="J46" s="34">
        <v>1999</v>
      </c>
      <c r="K46" s="41">
        <v>20.8327351985075</v>
      </c>
    </row>
    <row r="47" spans="1:11" ht="19.95" customHeight="1" x14ac:dyDescent="0.25">
      <c r="A47" s="14" t="s">
        <v>27</v>
      </c>
      <c r="B47" s="15" t="s">
        <v>14</v>
      </c>
      <c r="C47" s="15"/>
      <c r="D47" s="15">
        <v>1961</v>
      </c>
      <c r="E47" s="16"/>
      <c r="F47" s="16"/>
      <c r="J47" s="34">
        <v>2000</v>
      </c>
      <c r="K47" s="41">
        <v>21.587571141762499</v>
      </c>
    </row>
    <row r="48" spans="1:11" ht="19.95" customHeight="1" x14ac:dyDescent="0.25">
      <c r="A48" s="14" t="s">
        <v>28</v>
      </c>
      <c r="B48" s="15" t="s">
        <v>14</v>
      </c>
      <c r="C48" s="15"/>
      <c r="D48" s="15">
        <v>1961</v>
      </c>
      <c r="E48" s="16"/>
      <c r="F48" s="16"/>
      <c r="J48" s="34">
        <v>2001</v>
      </c>
      <c r="K48" s="41">
        <v>22.931576364336699</v>
      </c>
    </row>
    <row r="49" spans="1:11" ht="19.95" customHeight="1" x14ac:dyDescent="0.25">
      <c r="A49" s="14" t="s">
        <v>29</v>
      </c>
      <c r="B49" s="15" t="s">
        <v>14</v>
      </c>
      <c r="C49" s="15"/>
      <c r="D49" s="15">
        <v>1961</v>
      </c>
      <c r="E49" s="16"/>
      <c r="F49" s="16"/>
      <c r="J49" s="34">
        <v>2002</v>
      </c>
      <c r="K49" s="41">
        <v>24.897972614700201</v>
      </c>
    </row>
    <row r="50" spans="1:11" ht="19.95" customHeight="1" x14ac:dyDescent="0.25">
      <c r="A50" s="14" t="s">
        <v>31</v>
      </c>
      <c r="B50" s="15" t="s">
        <v>14</v>
      </c>
      <c r="C50" s="15"/>
      <c r="D50" s="15">
        <v>1961</v>
      </c>
      <c r="E50" s="16"/>
      <c r="F50" s="16"/>
      <c r="J50" s="34">
        <v>2003</v>
      </c>
      <c r="K50" s="41">
        <v>24.086815305420998</v>
      </c>
    </row>
    <row r="51" spans="1:11" ht="19.95" customHeight="1" x14ac:dyDescent="0.25">
      <c r="A51" s="14" t="s">
        <v>32</v>
      </c>
      <c r="B51" s="15" t="s">
        <v>14</v>
      </c>
      <c r="C51" s="15">
        <v>23.401895618851601</v>
      </c>
      <c r="D51" s="15">
        <v>1961</v>
      </c>
      <c r="E51" s="16"/>
      <c r="F51" s="16"/>
      <c r="J51" s="34">
        <v>2004</v>
      </c>
      <c r="K51" s="41">
        <v>26.610258575297301</v>
      </c>
    </row>
    <row r="52" spans="1:11" ht="19.95" customHeight="1" x14ac:dyDescent="0.25">
      <c r="A52" s="14" t="s">
        <v>33</v>
      </c>
      <c r="B52" s="15" t="s">
        <v>14</v>
      </c>
      <c r="C52" s="15">
        <v>8.1212351414334094</v>
      </c>
      <c r="D52" s="15">
        <v>1961</v>
      </c>
      <c r="E52" s="16"/>
      <c r="F52" s="16"/>
      <c r="J52" s="34">
        <v>2005</v>
      </c>
      <c r="K52" s="41">
        <v>28.5090302142012</v>
      </c>
    </row>
    <row r="53" spans="1:11" ht="19.95" customHeight="1" x14ac:dyDescent="0.25">
      <c r="A53" s="14" t="s">
        <v>34</v>
      </c>
      <c r="B53" s="15" t="s">
        <v>14</v>
      </c>
      <c r="C53" s="15">
        <v>11.475408331094</v>
      </c>
      <c r="D53" s="15">
        <v>1961</v>
      </c>
      <c r="E53" s="16"/>
      <c r="F53" s="16"/>
      <c r="J53" s="34">
        <v>2006</v>
      </c>
      <c r="K53" s="41">
        <v>22.984939644186099</v>
      </c>
    </row>
    <row r="54" spans="1:11" ht="19.95" customHeight="1" x14ac:dyDescent="0.25">
      <c r="A54" s="14" t="s">
        <v>35</v>
      </c>
      <c r="B54" s="15" t="s">
        <v>14</v>
      </c>
      <c r="C54" s="15"/>
      <c r="D54" s="15">
        <v>1961</v>
      </c>
      <c r="E54" s="16"/>
      <c r="F54" s="16"/>
      <c r="J54" s="34">
        <v>2007</v>
      </c>
      <c r="K54" s="41">
        <v>21.918991293369899</v>
      </c>
    </row>
    <row r="55" spans="1:11" ht="19.95" customHeight="1" x14ac:dyDescent="0.25">
      <c r="A55" s="14" t="s">
        <v>2</v>
      </c>
      <c r="B55" s="15" t="s">
        <v>14</v>
      </c>
      <c r="C55" s="15">
        <v>27.5375436843795</v>
      </c>
      <c r="D55" s="15">
        <v>1961</v>
      </c>
      <c r="E55" s="16"/>
      <c r="F55" s="16"/>
      <c r="J55" s="34">
        <v>2008</v>
      </c>
      <c r="K55" s="41">
        <v>22.674057553226699</v>
      </c>
    </row>
    <row r="56" spans="1:11" ht="19.95" customHeight="1" x14ac:dyDescent="0.25">
      <c r="A56" s="14" t="s">
        <v>36</v>
      </c>
      <c r="B56" s="15" t="s">
        <v>14</v>
      </c>
      <c r="C56" s="15"/>
      <c r="D56" s="15">
        <v>1961</v>
      </c>
      <c r="E56" s="16"/>
      <c r="F56" s="16"/>
      <c r="J56" s="35">
        <v>2009</v>
      </c>
      <c r="K56" s="41">
        <v>20.032629252907402</v>
      </c>
    </row>
    <row r="57" spans="1:11" ht="19.95" customHeight="1" x14ac:dyDescent="0.25">
      <c r="A57" s="14" t="s">
        <v>37</v>
      </c>
      <c r="B57" s="15" t="s">
        <v>14</v>
      </c>
      <c r="C57" s="15"/>
      <c r="D57" s="15">
        <v>1961</v>
      </c>
      <c r="E57" s="16"/>
      <c r="F57" s="16"/>
      <c r="J57" s="36">
        <v>2010</v>
      </c>
      <c r="K57" s="41">
        <v>20.656983247274301</v>
      </c>
    </row>
    <row r="58" spans="1:11" ht="19.95" customHeight="1" x14ac:dyDescent="0.25">
      <c r="A58" s="14" t="s">
        <v>38</v>
      </c>
      <c r="B58" s="15" t="s">
        <v>14</v>
      </c>
      <c r="C58" s="15">
        <v>24.418229213653898</v>
      </c>
      <c r="D58" s="15">
        <v>1961</v>
      </c>
      <c r="E58" s="16"/>
      <c r="F58" s="16"/>
      <c r="J58" s="34">
        <v>2011</v>
      </c>
      <c r="K58" s="41">
        <v>21.625194710111401</v>
      </c>
    </row>
    <row r="59" spans="1:11" ht="19.95" customHeight="1" x14ac:dyDescent="0.25">
      <c r="A59" s="14" t="s">
        <v>39</v>
      </c>
      <c r="B59" s="15" t="s">
        <v>14</v>
      </c>
      <c r="C59" s="15"/>
      <c r="D59" s="15">
        <v>1961</v>
      </c>
      <c r="E59" s="16"/>
      <c r="F59" s="16"/>
      <c r="J59" s="34">
        <v>2012</v>
      </c>
      <c r="K59" s="41">
        <v>22.261822198698301</v>
      </c>
    </row>
    <row r="60" spans="1:11" ht="19.95" customHeight="1" x14ac:dyDescent="0.25">
      <c r="A60" s="14" t="s">
        <v>40</v>
      </c>
      <c r="B60" s="15" t="s">
        <v>14</v>
      </c>
      <c r="C60" s="15"/>
      <c r="D60" s="15">
        <v>1961</v>
      </c>
      <c r="E60" s="16"/>
      <c r="F60" s="16"/>
      <c r="J60" s="34">
        <v>2013</v>
      </c>
      <c r="K60" s="41">
        <v>19.9253882154437</v>
      </c>
    </row>
    <row r="61" spans="1:11" ht="19.95" customHeight="1" x14ac:dyDescent="0.25">
      <c r="A61" s="14" t="s">
        <v>10</v>
      </c>
      <c r="B61" s="15" t="s">
        <v>14</v>
      </c>
      <c r="C61" s="15">
        <v>13.114753729796099</v>
      </c>
      <c r="D61" s="15">
        <v>1962</v>
      </c>
      <c r="E61" s="16"/>
      <c r="F61" s="16"/>
      <c r="J61" s="34">
        <v>2014</v>
      </c>
      <c r="K61" s="41">
        <v>18.296980919547899</v>
      </c>
    </row>
    <row r="62" spans="1:11" ht="19.95" customHeight="1" x14ac:dyDescent="0.25">
      <c r="A62" s="14" t="s">
        <v>13</v>
      </c>
      <c r="B62" s="15" t="s">
        <v>14</v>
      </c>
      <c r="C62" s="15"/>
      <c r="D62" s="15">
        <v>1962</v>
      </c>
      <c r="E62" s="16"/>
      <c r="F62" s="16"/>
      <c r="J62" s="34">
        <v>2015</v>
      </c>
      <c r="K62" s="41">
        <v>16.592443318291</v>
      </c>
    </row>
    <row r="63" spans="1:11" ht="19.95" customHeight="1" x14ac:dyDescent="0.25">
      <c r="A63" s="14" t="s">
        <v>16</v>
      </c>
      <c r="B63" s="15" t="s">
        <v>14</v>
      </c>
      <c r="C63" s="15">
        <v>14.030383007458999</v>
      </c>
      <c r="D63" s="15">
        <v>1962</v>
      </c>
      <c r="E63" s="16"/>
      <c r="F63" s="16"/>
      <c r="J63" s="34">
        <v>2016</v>
      </c>
      <c r="K63" s="41">
        <v>13.971218534802899</v>
      </c>
    </row>
    <row r="64" spans="1:11" ht="19.95" customHeight="1" x14ac:dyDescent="0.25">
      <c r="A64" s="14" t="s">
        <v>15</v>
      </c>
      <c r="B64" s="15" t="s">
        <v>14</v>
      </c>
      <c r="C64" s="15"/>
      <c r="D64" s="15">
        <v>1962</v>
      </c>
      <c r="E64" s="16"/>
      <c r="F64" s="16"/>
      <c r="J64" s="35">
        <v>2017</v>
      </c>
      <c r="K64" s="42">
        <v>13.931212921092699</v>
      </c>
    </row>
    <row r="65" spans="1:6" ht="19.95" customHeight="1" x14ac:dyDescent="0.25">
      <c r="A65" s="14" t="s">
        <v>17</v>
      </c>
      <c r="B65" s="15" t="s">
        <v>14</v>
      </c>
      <c r="C65" s="15"/>
      <c r="D65" s="15">
        <v>1962</v>
      </c>
      <c r="E65" s="16"/>
      <c r="F65" s="16"/>
    </row>
    <row r="66" spans="1:6" ht="19.95" customHeight="1" x14ac:dyDescent="0.25">
      <c r="A66" s="14" t="s">
        <v>18</v>
      </c>
      <c r="B66" s="15" t="s">
        <v>14</v>
      </c>
      <c r="C66" s="15"/>
      <c r="D66" s="15">
        <v>1962</v>
      </c>
      <c r="E66" s="16"/>
      <c r="F66" s="16"/>
    </row>
    <row r="67" spans="1:6" ht="19.95" customHeight="1" x14ac:dyDescent="0.25">
      <c r="A67" s="14" t="s">
        <v>19</v>
      </c>
      <c r="B67" s="15" t="s">
        <v>14</v>
      </c>
      <c r="C67" s="15"/>
      <c r="D67" s="15">
        <v>1962</v>
      </c>
      <c r="E67" s="16"/>
      <c r="F67" s="16"/>
    </row>
    <row r="68" spans="1:6" ht="19.95" customHeight="1" x14ac:dyDescent="0.25">
      <c r="A68" s="14" t="s">
        <v>20</v>
      </c>
      <c r="B68" s="15" t="s">
        <v>14</v>
      </c>
      <c r="C68" s="15"/>
      <c r="D68" s="15">
        <v>1962</v>
      </c>
      <c r="E68" s="16"/>
      <c r="F68" s="16"/>
    </row>
    <row r="69" spans="1:6" ht="19.95" customHeight="1" x14ac:dyDescent="0.25">
      <c r="A69" s="14" t="s">
        <v>21</v>
      </c>
      <c r="B69" s="15" t="s">
        <v>11</v>
      </c>
      <c r="C69" s="15">
        <v>32.037809261394798</v>
      </c>
      <c r="D69" s="15">
        <v>1962</v>
      </c>
      <c r="E69" s="16"/>
      <c r="F69" s="16"/>
    </row>
    <row r="70" spans="1:6" ht="19.95" customHeight="1" x14ac:dyDescent="0.25">
      <c r="A70" s="14" t="s">
        <v>22</v>
      </c>
      <c r="B70" s="15" t="s">
        <v>14</v>
      </c>
      <c r="C70" s="15"/>
      <c r="D70" s="15">
        <v>1962</v>
      </c>
      <c r="E70" s="16"/>
      <c r="F70" s="16"/>
    </row>
    <row r="71" spans="1:6" ht="19.95" customHeight="1" x14ac:dyDescent="0.25">
      <c r="A71" s="14" t="s">
        <v>23</v>
      </c>
      <c r="B71" s="15" t="s">
        <v>14</v>
      </c>
      <c r="C71" s="15">
        <v>36.5888363394902</v>
      </c>
      <c r="D71" s="15">
        <v>1962</v>
      </c>
      <c r="E71" s="16"/>
      <c r="F71" s="16"/>
    </row>
    <row r="72" spans="1:6" ht="19.95" customHeight="1" x14ac:dyDescent="0.25">
      <c r="A72" s="14" t="s">
        <v>24</v>
      </c>
      <c r="B72" s="15" t="s">
        <v>14</v>
      </c>
      <c r="C72" s="15">
        <v>13.7550293037585</v>
      </c>
      <c r="D72" s="15">
        <v>1962</v>
      </c>
      <c r="E72" s="16"/>
      <c r="F72" s="16"/>
    </row>
    <row r="73" spans="1:6" ht="19.95" customHeight="1" x14ac:dyDescent="0.25">
      <c r="A73" s="14" t="s">
        <v>25</v>
      </c>
      <c r="B73" s="15" t="s">
        <v>14</v>
      </c>
      <c r="C73" s="15">
        <v>21.406727828746199</v>
      </c>
      <c r="D73" s="15">
        <v>1962</v>
      </c>
      <c r="E73" s="16"/>
      <c r="F73" s="16"/>
    </row>
    <row r="74" spans="1:6" ht="19.95" customHeight="1" x14ac:dyDescent="0.25">
      <c r="A74" s="14" t="s">
        <v>26</v>
      </c>
      <c r="B74" s="15" t="s">
        <v>14</v>
      </c>
      <c r="C74" s="15"/>
      <c r="D74" s="15">
        <v>1962</v>
      </c>
      <c r="E74" s="16"/>
      <c r="F74" s="16"/>
    </row>
    <row r="75" spans="1:6" ht="19.95" customHeight="1" x14ac:dyDescent="0.25">
      <c r="A75" s="14" t="s">
        <v>27</v>
      </c>
      <c r="B75" s="15" t="s">
        <v>14</v>
      </c>
      <c r="C75" s="15"/>
      <c r="D75" s="15">
        <v>1962</v>
      </c>
      <c r="E75" s="16"/>
      <c r="F75" s="16"/>
    </row>
    <row r="76" spans="1:6" ht="19.95" customHeight="1" x14ac:dyDescent="0.25">
      <c r="A76" s="14" t="s">
        <v>28</v>
      </c>
      <c r="B76" s="15" t="s">
        <v>14</v>
      </c>
      <c r="C76" s="15"/>
      <c r="D76" s="15">
        <v>1962</v>
      </c>
      <c r="E76" s="16"/>
      <c r="F76" s="16"/>
    </row>
    <row r="77" spans="1:6" ht="19.95" customHeight="1" x14ac:dyDescent="0.25">
      <c r="A77" s="14" t="s">
        <v>29</v>
      </c>
      <c r="B77" s="15" t="s">
        <v>14</v>
      </c>
      <c r="C77" s="15"/>
      <c r="D77" s="15">
        <v>1962</v>
      </c>
      <c r="E77" s="16"/>
      <c r="F77" s="16"/>
    </row>
    <row r="78" spans="1:6" ht="19.95" customHeight="1" x14ac:dyDescent="0.25">
      <c r="A78" s="14" t="s">
        <v>31</v>
      </c>
      <c r="B78" s="15" t="s">
        <v>14</v>
      </c>
      <c r="C78" s="15"/>
      <c r="D78" s="15">
        <v>1962</v>
      </c>
      <c r="E78" s="16"/>
      <c r="F78" s="16"/>
    </row>
    <row r="79" spans="1:6" ht="19.95" customHeight="1" x14ac:dyDescent="0.25">
      <c r="A79" s="14" t="s">
        <v>32</v>
      </c>
      <c r="B79" s="15" t="s">
        <v>14</v>
      </c>
      <c r="C79" s="15">
        <v>26.431557700624499</v>
      </c>
      <c r="D79" s="15">
        <v>1962</v>
      </c>
      <c r="E79" s="16"/>
      <c r="F79" s="16"/>
    </row>
    <row r="80" spans="1:6" ht="19.95" customHeight="1" x14ac:dyDescent="0.25">
      <c r="A80" s="14" t="s">
        <v>33</v>
      </c>
      <c r="B80" s="15" t="s">
        <v>14</v>
      </c>
      <c r="C80" s="15">
        <v>9.2835749143705897</v>
      </c>
      <c r="D80" s="15">
        <v>1962</v>
      </c>
      <c r="E80" s="16"/>
      <c r="F80" s="16"/>
    </row>
    <row r="81" spans="1:6" ht="19.95" customHeight="1" x14ac:dyDescent="0.25">
      <c r="A81" s="14" t="s">
        <v>34</v>
      </c>
      <c r="B81" s="15" t="s">
        <v>14</v>
      </c>
      <c r="C81" s="15">
        <v>9.2799994060800408</v>
      </c>
      <c r="D81" s="15">
        <v>1962</v>
      </c>
      <c r="E81" s="16"/>
      <c r="F81" s="16"/>
    </row>
    <row r="82" spans="1:6" ht="19.95" customHeight="1" x14ac:dyDescent="0.25">
      <c r="A82" s="14" t="s">
        <v>35</v>
      </c>
      <c r="B82" s="15" t="s">
        <v>14</v>
      </c>
      <c r="C82" s="15"/>
      <c r="D82" s="15">
        <v>1962</v>
      </c>
      <c r="E82" s="16"/>
      <c r="F82" s="16"/>
    </row>
    <row r="83" spans="1:6" ht="19.95" customHeight="1" x14ac:dyDescent="0.25">
      <c r="A83" s="14" t="s">
        <v>2</v>
      </c>
      <c r="B83" s="15" t="s">
        <v>14</v>
      </c>
      <c r="C83" s="15">
        <v>27.792673642229101</v>
      </c>
      <c r="D83" s="15">
        <v>1962</v>
      </c>
      <c r="E83" s="16"/>
      <c r="F83" s="16"/>
    </row>
    <row r="84" spans="1:6" ht="19.95" customHeight="1" x14ac:dyDescent="0.25">
      <c r="A84" s="14" t="s">
        <v>36</v>
      </c>
      <c r="B84" s="15" t="s">
        <v>14</v>
      </c>
      <c r="C84" s="15"/>
      <c r="D84" s="15">
        <v>1962</v>
      </c>
      <c r="E84" s="16"/>
      <c r="F84" s="16"/>
    </row>
    <row r="85" spans="1:6" ht="19.95" customHeight="1" x14ac:dyDescent="0.25">
      <c r="A85" s="14" t="s">
        <v>37</v>
      </c>
      <c r="B85" s="15" t="s">
        <v>14</v>
      </c>
      <c r="C85" s="15"/>
      <c r="D85" s="15">
        <v>1962</v>
      </c>
      <c r="E85" s="16"/>
      <c r="F85" s="16"/>
    </row>
    <row r="86" spans="1:6" ht="19.95" customHeight="1" x14ac:dyDescent="0.25">
      <c r="A86" s="14" t="s">
        <v>38</v>
      </c>
      <c r="B86" s="15" t="s">
        <v>14</v>
      </c>
      <c r="C86" s="15">
        <v>24.107405487933001</v>
      </c>
      <c r="D86" s="15">
        <v>1962</v>
      </c>
      <c r="E86" s="16"/>
      <c r="F86" s="16"/>
    </row>
    <row r="87" spans="1:6" ht="19.95" customHeight="1" x14ac:dyDescent="0.25">
      <c r="A87" s="14" t="s">
        <v>39</v>
      </c>
      <c r="B87" s="15" t="s">
        <v>14</v>
      </c>
      <c r="C87" s="15"/>
      <c r="D87" s="15">
        <v>1962</v>
      </c>
      <c r="E87" s="16"/>
      <c r="F87" s="16"/>
    </row>
    <row r="88" spans="1:6" ht="19.95" customHeight="1" x14ac:dyDescent="0.25">
      <c r="A88" s="14" t="s">
        <v>40</v>
      </c>
      <c r="B88" s="15" t="s">
        <v>14</v>
      </c>
      <c r="C88" s="15"/>
      <c r="D88" s="15">
        <v>1962</v>
      </c>
      <c r="E88" s="16"/>
      <c r="F88" s="16"/>
    </row>
    <row r="89" spans="1:6" ht="19.95" customHeight="1" x14ac:dyDescent="0.25">
      <c r="A89" s="14" t="s">
        <v>10</v>
      </c>
      <c r="B89" s="15" t="s">
        <v>14</v>
      </c>
      <c r="C89" s="15">
        <v>7.5187970570895502</v>
      </c>
      <c r="D89" s="15">
        <v>1963</v>
      </c>
      <c r="E89" s="16"/>
      <c r="F89" s="16"/>
    </row>
    <row r="90" spans="1:6" ht="19.95" customHeight="1" x14ac:dyDescent="0.25">
      <c r="A90" s="14" t="s">
        <v>13</v>
      </c>
      <c r="B90" s="15" t="s">
        <v>14</v>
      </c>
      <c r="C90" s="15"/>
      <c r="D90" s="15">
        <v>1963</v>
      </c>
      <c r="E90" s="16"/>
      <c r="F90" s="16"/>
    </row>
    <row r="91" spans="1:6" ht="19.95" customHeight="1" x14ac:dyDescent="0.25">
      <c r="A91" s="14" t="s">
        <v>16</v>
      </c>
      <c r="B91" s="15" t="s">
        <v>14</v>
      </c>
      <c r="C91" s="15">
        <v>12.9482750255812</v>
      </c>
      <c r="D91" s="15">
        <v>1963</v>
      </c>
      <c r="E91" s="16"/>
      <c r="F91" s="16"/>
    </row>
    <row r="92" spans="1:6" ht="19.95" customHeight="1" x14ac:dyDescent="0.25">
      <c r="A92" s="14" t="s">
        <v>15</v>
      </c>
      <c r="B92" s="15" t="s">
        <v>14</v>
      </c>
      <c r="C92" s="15"/>
      <c r="D92" s="15">
        <v>1963</v>
      </c>
      <c r="E92" s="16"/>
      <c r="F92" s="16"/>
    </row>
    <row r="93" spans="1:6" ht="19.95" customHeight="1" x14ac:dyDescent="0.25">
      <c r="A93" s="14" t="s">
        <v>17</v>
      </c>
      <c r="B93" s="15" t="s">
        <v>14</v>
      </c>
      <c r="C93" s="15"/>
      <c r="D93" s="15">
        <v>1963</v>
      </c>
      <c r="E93" s="16"/>
      <c r="F93" s="16"/>
    </row>
    <row r="94" spans="1:6" ht="19.95" customHeight="1" x14ac:dyDescent="0.25">
      <c r="A94" s="14" t="s">
        <v>18</v>
      </c>
      <c r="B94" s="15" t="s">
        <v>14</v>
      </c>
      <c r="C94" s="15"/>
      <c r="D94" s="15">
        <v>1963</v>
      </c>
      <c r="E94" s="16"/>
      <c r="F94" s="16"/>
    </row>
    <row r="95" spans="1:6" ht="19.95" customHeight="1" x14ac:dyDescent="0.25">
      <c r="A95" s="14" t="s">
        <v>19</v>
      </c>
      <c r="B95" s="15" t="s">
        <v>14</v>
      </c>
      <c r="C95" s="15"/>
      <c r="D95" s="15">
        <v>1963</v>
      </c>
      <c r="E95" s="16"/>
      <c r="F95" s="16"/>
    </row>
    <row r="96" spans="1:6" ht="19.95" customHeight="1" x14ac:dyDescent="0.25">
      <c r="A96" s="14" t="s">
        <v>20</v>
      </c>
      <c r="B96" s="15" t="s">
        <v>14</v>
      </c>
      <c r="C96" s="15"/>
      <c r="D96" s="15">
        <v>1963</v>
      </c>
      <c r="E96" s="16"/>
      <c r="F96" s="16"/>
    </row>
    <row r="97" spans="1:6" ht="19.95" customHeight="1" x14ac:dyDescent="0.25">
      <c r="A97" s="14" t="s">
        <v>21</v>
      </c>
      <c r="B97" s="15" t="s">
        <v>14</v>
      </c>
      <c r="C97" s="15">
        <v>32.032947656704003</v>
      </c>
      <c r="D97" s="15">
        <v>1963</v>
      </c>
      <c r="E97" s="16"/>
      <c r="F97" s="16"/>
    </row>
    <row r="98" spans="1:6" ht="19.95" customHeight="1" x14ac:dyDescent="0.25">
      <c r="A98" s="14" t="s">
        <v>22</v>
      </c>
      <c r="B98" s="15" t="s">
        <v>14</v>
      </c>
      <c r="C98" s="15"/>
      <c r="D98" s="15">
        <v>1963</v>
      </c>
      <c r="E98" s="16"/>
      <c r="F98" s="16"/>
    </row>
    <row r="99" spans="1:6" ht="19.95" customHeight="1" x14ac:dyDescent="0.25">
      <c r="A99" s="14" t="s">
        <v>23</v>
      </c>
      <c r="B99" s="15" t="s">
        <v>14</v>
      </c>
      <c r="C99" s="15">
        <v>38.705566010220302</v>
      </c>
      <c r="D99" s="15">
        <v>1963</v>
      </c>
      <c r="E99" s="16"/>
      <c r="F99" s="16"/>
    </row>
    <row r="100" spans="1:6" ht="19.95" customHeight="1" x14ac:dyDescent="0.25">
      <c r="A100" s="14" t="s">
        <v>24</v>
      </c>
      <c r="B100" s="15" t="s">
        <v>14</v>
      </c>
      <c r="C100" s="15">
        <v>12.7804480657338</v>
      </c>
      <c r="D100" s="15">
        <v>1963</v>
      </c>
      <c r="E100" s="16"/>
      <c r="F100" s="16"/>
    </row>
    <row r="101" spans="1:6" ht="19.95" customHeight="1" x14ac:dyDescent="0.25">
      <c r="A101" s="14" t="s">
        <v>25</v>
      </c>
      <c r="B101" s="15" t="s">
        <v>14</v>
      </c>
      <c r="C101" s="15">
        <v>21.863536316947901</v>
      </c>
      <c r="D101" s="15">
        <v>1963</v>
      </c>
      <c r="E101" s="16"/>
      <c r="F101" s="16"/>
    </row>
    <row r="102" spans="1:6" ht="19.95" customHeight="1" x14ac:dyDescent="0.25">
      <c r="A102" s="14" t="s">
        <v>26</v>
      </c>
      <c r="B102" s="15" t="s">
        <v>14</v>
      </c>
      <c r="C102" s="15"/>
      <c r="D102" s="15">
        <v>1963</v>
      </c>
      <c r="E102" s="16"/>
      <c r="F102" s="16"/>
    </row>
    <row r="103" spans="1:6" ht="19.95" customHeight="1" x14ac:dyDescent="0.25">
      <c r="A103" s="14" t="s">
        <v>27</v>
      </c>
      <c r="B103" s="15" t="s">
        <v>14</v>
      </c>
      <c r="C103" s="15"/>
      <c r="D103" s="15">
        <v>1963</v>
      </c>
      <c r="E103" s="16"/>
      <c r="F103" s="16"/>
    </row>
    <row r="104" spans="1:6" ht="19.95" customHeight="1" x14ac:dyDescent="0.25">
      <c r="A104" s="14" t="s">
        <v>28</v>
      </c>
      <c r="B104" s="15" t="s">
        <v>14</v>
      </c>
      <c r="C104" s="15"/>
      <c r="D104" s="15">
        <v>1963</v>
      </c>
      <c r="E104" s="16"/>
      <c r="F104" s="16"/>
    </row>
    <row r="105" spans="1:6" ht="19.95" customHeight="1" x14ac:dyDescent="0.25">
      <c r="A105" s="14" t="s">
        <v>29</v>
      </c>
      <c r="B105" s="15" t="s">
        <v>14</v>
      </c>
      <c r="C105" s="15"/>
      <c r="D105" s="15">
        <v>1963</v>
      </c>
      <c r="E105" s="16"/>
      <c r="F105" s="16"/>
    </row>
    <row r="106" spans="1:6" ht="19.95" customHeight="1" x14ac:dyDescent="0.25">
      <c r="A106" s="14" t="s">
        <v>31</v>
      </c>
      <c r="B106" s="15" t="s">
        <v>14</v>
      </c>
      <c r="C106" s="15"/>
      <c r="D106" s="15">
        <v>1963</v>
      </c>
      <c r="E106" s="16"/>
      <c r="F106" s="16"/>
    </row>
    <row r="107" spans="1:6" ht="19.95" customHeight="1" x14ac:dyDescent="0.25">
      <c r="A107" s="14" t="s">
        <v>32</v>
      </c>
      <c r="B107" s="15" t="s">
        <v>14</v>
      </c>
      <c r="C107" s="15">
        <v>28.824290928488299</v>
      </c>
      <c r="D107" s="15">
        <v>1963</v>
      </c>
      <c r="E107" s="16"/>
      <c r="F107" s="16"/>
    </row>
    <row r="108" spans="1:6" ht="19.95" customHeight="1" x14ac:dyDescent="0.25">
      <c r="A108" s="14" t="s">
        <v>33</v>
      </c>
      <c r="B108" s="15" t="s">
        <v>14</v>
      </c>
      <c r="C108" s="15">
        <v>9.3111499744899202</v>
      </c>
      <c r="D108" s="15">
        <v>1963</v>
      </c>
      <c r="E108" s="16"/>
      <c r="F108" s="16"/>
    </row>
    <row r="109" spans="1:6" ht="19.95" customHeight="1" x14ac:dyDescent="0.25">
      <c r="A109" s="14" t="s">
        <v>34</v>
      </c>
      <c r="B109" s="15" t="s">
        <v>14</v>
      </c>
      <c r="C109" s="15">
        <v>5.9375</v>
      </c>
      <c r="D109" s="15">
        <v>1963</v>
      </c>
      <c r="E109" s="16"/>
      <c r="F109" s="16"/>
    </row>
    <row r="110" spans="1:6" ht="19.95" customHeight="1" x14ac:dyDescent="0.25">
      <c r="A110" s="14" t="s">
        <v>35</v>
      </c>
      <c r="B110" s="15" t="s">
        <v>14</v>
      </c>
      <c r="C110" s="15"/>
      <c r="D110" s="15">
        <v>1963</v>
      </c>
      <c r="E110" s="16"/>
      <c r="F110" s="16"/>
    </row>
    <row r="111" spans="1:6" ht="19.95" customHeight="1" x14ac:dyDescent="0.25">
      <c r="A111" s="14" t="s">
        <v>2</v>
      </c>
      <c r="B111" s="15" t="s">
        <v>14</v>
      </c>
      <c r="C111" s="15">
        <v>25.7568075413568</v>
      </c>
      <c r="D111" s="15">
        <v>1963</v>
      </c>
      <c r="E111" s="16"/>
      <c r="F111" s="16"/>
    </row>
    <row r="112" spans="1:6" ht="19.95" customHeight="1" x14ac:dyDescent="0.25">
      <c r="A112" s="14" t="s">
        <v>36</v>
      </c>
      <c r="B112" s="15" t="s">
        <v>14</v>
      </c>
      <c r="C112" s="15"/>
      <c r="D112" s="15">
        <v>1963</v>
      </c>
      <c r="E112" s="16"/>
      <c r="F112" s="16"/>
    </row>
    <row r="113" spans="1:6" ht="19.95" customHeight="1" x14ac:dyDescent="0.25">
      <c r="A113" s="14" t="s">
        <v>37</v>
      </c>
      <c r="B113" s="15" t="s">
        <v>14</v>
      </c>
      <c r="C113" s="15"/>
      <c r="D113" s="15">
        <v>1963</v>
      </c>
      <c r="E113" s="16"/>
      <c r="F113" s="16"/>
    </row>
    <row r="114" spans="1:6" ht="19.95" customHeight="1" x14ac:dyDescent="0.25">
      <c r="A114" s="14" t="s">
        <v>38</v>
      </c>
      <c r="B114" s="15" t="s">
        <v>14</v>
      </c>
      <c r="C114" s="15">
        <v>28.290939369015401</v>
      </c>
      <c r="D114" s="15">
        <v>1963</v>
      </c>
      <c r="E114" s="16"/>
      <c r="F114" s="16"/>
    </row>
    <row r="115" spans="1:6" ht="19.95" customHeight="1" x14ac:dyDescent="0.25">
      <c r="A115" s="14" t="s">
        <v>39</v>
      </c>
      <c r="B115" s="15" t="s">
        <v>14</v>
      </c>
      <c r="C115" s="15"/>
      <c r="D115" s="15">
        <v>1963</v>
      </c>
      <c r="E115" s="16"/>
      <c r="F115" s="16"/>
    </row>
    <row r="116" spans="1:6" ht="19.95" customHeight="1" x14ac:dyDescent="0.25">
      <c r="A116" s="14" t="s">
        <v>40</v>
      </c>
      <c r="B116" s="15" t="s">
        <v>14</v>
      </c>
      <c r="C116" s="15"/>
      <c r="D116" s="15">
        <v>1963</v>
      </c>
      <c r="E116" s="16"/>
      <c r="F116" s="16"/>
    </row>
    <row r="117" spans="1:6" ht="19.95" customHeight="1" x14ac:dyDescent="0.25">
      <c r="A117" s="14" t="s">
        <v>10</v>
      </c>
      <c r="B117" s="15" t="s">
        <v>14</v>
      </c>
      <c r="C117" s="15">
        <v>14.093959299130701</v>
      </c>
      <c r="D117" s="15">
        <v>1964</v>
      </c>
      <c r="E117" s="16"/>
      <c r="F117" s="16"/>
    </row>
    <row r="118" spans="1:6" ht="19.95" customHeight="1" x14ac:dyDescent="0.25">
      <c r="A118" s="14" t="s">
        <v>13</v>
      </c>
      <c r="B118" s="15" t="s">
        <v>14</v>
      </c>
      <c r="C118" s="15"/>
      <c r="D118" s="15">
        <v>1964</v>
      </c>
      <c r="E118" s="16"/>
      <c r="F118" s="16"/>
    </row>
    <row r="119" spans="1:6" ht="19.95" customHeight="1" x14ac:dyDescent="0.25">
      <c r="A119" s="14" t="s">
        <v>16</v>
      </c>
      <c r="B119" s="15" t="s">
        <v>14</v>
      </c>
      <c r="C119" s="15">
        <v>13.7276219911725</v>
      </c>
      <c r="D119" s="15">
        <v>1964</v>
      </c>
      <c r="E119" s="16"/>
      <c r="F119" s="16"/>
    </row>
    <row r="120" spans="1:6" ht="19.95" customHeight="1" x14ac:dyDescent="0.25">
      <c r="A120" s="14" t="s">
        <v>15</v>
      </c>
      <c r="B120" s="15" t="s">
        <v>14</v>
      </c>
      <c r="C120" s="15"/>
      <c r="D120" s="15">
        <v>1964</v>
      </c>
      <c r="E120" s="16"/>
      <c r="F120" s="16"/>
    </row>
    <row r="121" spans="1:6" ht="19.95" customHeight="1" x14ac:dyDescent="0.25">
      <c r="A121" s="14" t="s">
        <v>17</v>
      </c>
      <c r="B121" s="15" t="s">
        <v>14</v>
      </c>
      <c r="C121" s="15"/>
      <c r="D121" s="15">
        <v>1964</v>
      </c>
      <c r="E121" s="16"/>
      <c r="F121" s="16"/>
    </row>
    <row r="122" spans="1:6" ht="19.95" customHeight="1" x14ac:dyDescent="0.25">
      <c r="A122" s="14" t="s">
        <v>18</v>
      </c>
      <c r="B122" s="15" t="s">
        <v>14</v>
      </c>
      <c r="C122" s="15"/>
      <c r="D122" s="15">
        <v>1964</v>
      </c>
      <c r="E122" s="16"/>
      <c r="F122" s="16"/>
    </row>
    <row r="123" spans="1:6" ht="19.95" customHeight="1" x14ac:dyDescent="0.25">
      <c r="A123" s="14" t="s">
        <v>19</v>
      </c>
      <c r="B123" s="15" t="s">
        <v>14</v>
      </c>
      <c r="C123" s="15"/>
      <c r="D123" s="15">
        <v>1964</v>
      </c>
      <c r="E123" s="16"/>
      <c r="F123" s="16"/>
    </row>
    <row r="124" spans="1:6" ht="19.95" customHeight="1" x14ac:dyDescent="0.25">
      <c r="A124" s="14" t="s">
        <v>20</v>
      </c>
      <c r="B124" s="15" t="s">
        <v>14</v>
      </c>
      <c r="C124" s="15"/>
      <c r="D124" s="15">
        <v>1964</v>
      </c>
      <c r="E124" s="16"/>
      <c r="F124" s="16"/>
    </row>
    <row r="125" spans="1:6" ht="19.95" customHeight="1" x14ac:dyDescent="0.25">
      <c r="A125" s="14" t="s">
        <v>21</v>
      </c>
      <c r="B125" s="15" t="s">
        <v>14</v>
      </c>
      <c r="C125" s="15">
        <v>33.389413153894701</v>
      </c>
      <c r="D125" s="15">
        <v>1964</v>
      </c>
      <c r="E125" s="16"/>
      <c r="F125" s="16"/>
    </row>
    <row r="126" spans="1:6" ht="19.95" customHeight="1" x14ac:dyDescent="0.25">
      <c r="A126" s="14" t="s">
        <v>22</v>
      </c>
      <c r="B126" s="15" t="s">
        <v>14</v>
      </c>
      <c r="C126" s="15"/>
      <c r="D126" s="15">
        <v>1964</v>
      </c>
      <c r="E126" s="16"/>
      <c r="F126" s="16"/>
    </row>
    <row r="127" spans="1:6" ht="19.95" customHeight="1" x14ac:dyDescent="0.25">
      <c r="A127" s="14" t="s">
        <v>23</v>
      </c>
      <c r="B127" s="15" t="s">
        <v>14</v>
      </c>
      <c r="C127" s="15">
        <v>61.937860247906698</v>
      </c>
      <c r="D127" s="15">
        <v>1964</v>
      </c>
      <c r="E127" s="16"/>
      <c r="F127" s="16"/>
    </row>
    <row r="128" spans="1:6" ht="19.95" customHeight="1" x14ac:dyDescent="0.25">
      <c r="A128" s="14" t="s">
        <v>24</v>
      </c>
      <c r="B128" s="15" t="s">
        <v>14</v>
      </c>
      <c r="C128" s="15">
        <v>13.3027974495759</v>
      </c>
      <c r="D128" s="15">
        <v>1964</v>
      </c>
      <c r="E128" s="16"/>
      <c r="F128" s="16"/>
    </row>
    <row r="129" spans="1:6" ht="19.95" customHeight="1" x14ac:dyDescent="0.25">
      <c r="A129" s="14" t="s">
        <v>25</v>
      </c>
      <c r="B129" s="15" t="s">
        <v>14</v>
      </c>
      <c r="C129" s="15">
        <v>19.482386772106398</v>
      </c>
      <c r="D129" s="15">
        <v>1964</v>
      </c>
      <c r="E129" s="16"/>
      <c r="F129" s="16"/>
    </row>
    <row r="130" spans="1:6" ht="19.95" customHeight="1" x14ac:dyDescent="0.25">
      <c r="A130" s="14" t="s">
        <v>26</v>
      </c>
      <c r="B130" s="15" t="s">
        <v>14</v>
      </c>
      <c r="C130" s="15"/>
      <c r="D130" s="15">
        <v>1964</v>
      </c>
      <c r="E130" s="16"/>
      <c r="F130" s="16"/>
    </row>
    <row r="131" spans="1:6" ht="19.95" customHeight="1" x14ac:dyDescent="0.25">
      <c r="A131" s="14" t="s">
        <v>27</v>
      </c>
      <c r="B131" s="15" t="s">
        <v>14</v>
      </c>
      <c r="C131" s="15"/>
      <c r="D131" s="15">
        <v>1964</v>
      </c>
      <c r="E131" s="16"/>
      <c r="F131" s="16"/>
    </row>
    <row r="132" spans="1:6" ht="19.95" customHeight="1" x14ac:dyDescent="0.25">
      <c r="A132" s="14" t="s">
        <v>28</v>
      </c>
      <c r="B132" s="15" t="s">
        <v>14</v>
      </c>
      <c r="C132" s="15"/>
      <c r="D132" s="15">
        <v>1964</v>
      </c>
      <c r="E132" s="16"/>
      <c r="F132" s="16"/>
    </row>
    <row r="133" spans="1:6" ht="19.95" customHeight="1" x14ac:dyDescent="0.25">
      <c r="A133" s="14" t="s">
        <v>29</v>
      </c>
      <c r="B133" s="15" t="s">
        <v>14</v>
      </c>
      <c r="C133" s="15"/>
      <c r="D133" s="15">
        <v>1964</v>
      </c>
      <c r="E133" s="16"/>
      <c r="F133" s="16"/>
    </row>
    <row r="134" spans="1:6" ht="19.95" customHeight="1" x14ac:dyDescent="0.25">
      <c r="A134" s="14" t="s">
        <v>31</v>
      </c>
      <c r="B134" s="15" t="s">
        <v>14</v>
      </c>
      <c r="C134" s="15"/>
      <c r="D134" s="15">
        <v>1964</v>
      </c>
      <c r="E134" s="16"/>
      <c r="F134" s="16"/>
    </row>
    <row r="135" spans="1:6" ht="19.95" customHeight="1" x14ac:dyDescent="0.25">
      <c r="A135" s="14" t="s">
        <v>32</v>
      </c>
      <c r="B135" s="15" t="s">
        <v>14</v>
      </c>
      <c r="C135" s="15">
        <v>28.873966346893798</v>
      </c>
      <c r="D135" s="15">
        <v>1964</v>
      </c>
      <c r="E135" s="16"/>
      <c r="F135" s="16"/>
    </row>
    <row r="136" spans="1:6" ht="19.95" customHeight="1" x14ac:dyDescent="0.25">
      <c r="A136" s="14" t="s">
        <v>33</v>
      </c>
      <c r="B136" s="15" t="s">
        <v>14</v>
      </c>
      <c r="C136" s="15">
        <v>9.2666605298503608</v>
      </c>
      <c r="D136" s="15">
        <v>1964</v>
      </c>
      <c r="E136" s="16"/>
      <c r="F136" s="16"/>
    </row>
    <row r="137" spans="1:6" ht="19.95" customHeight="1" x14ac:dyDescent="0.25">
      <c r="A137" s="14" t="s">
        <v>34</v>
      </c>
      <c r="B137" s="15" t="s">
        <v>14</v>
      </c>
      <c r="C137" s="15">
        <v>12.000000553846199</v>
      </c>
      <c r="D137" s="15">
        <v>1964</v>
      </c>
      <c r="E137" s="16"/>
      <c r="F137" s="16"/>
    </row>
    <row r="138" spans="1:6" ht="19.95" customHeight="1" x14ac:dyDescent="0.25">
      <c r="A138" s="14" t="s">
        <v>35</v>
      </c>
      <c r="B138" s="15" t="s">
        <v>14</v>
      </c>
      <c r="C138" s="15"/>
      <c r="D138" s="15">
        <v>1964</v>
      </c>
      <c r="E138" s="16"/>
      <c r="F138" s="16"/>
    </row>
    <row r="139" spans="1:6" ht="19.95" customHeight="1" x14ac:dyDescent="0.25">
      <c r="A139" s="14" t="s">
        <v>2</v>
      </c>
      <c r="B139" s="15" t="s">
        <v>14</v>
      </c>
      <c r="C139" s="15">
        <v>24.6155221290607</v>
      </c>
      <c r="D139" s="15">
        <v>1964</v>
      </c>
      <c r="E139" s="16"/>
      <c r="F139" s="16"/>
    </row>
    <row r="140" spans="1:6" ht="19.95" customHeight="1" x14ac:dyDescent="0.25">
      <c r="A140" s="14" t="s">
        <v>36</v>
      </c>
      <c r="B140" s="15" t="s">
        <v>14</v>
      </c>
      <c r="C140" s="15"/>
      <c r="D140" s="15">
        <v>1964</v>
      </c>
      <c r="E140" s="16"/>
      <c r="F140" s="16"/>
    </row>
    <row r="141" spans="1:6" ht="19.95" customHeight="1" x14ac:dyDescent="0.25">
      <c r="A141" s="14" t="s">
        <v>37</v>
      </c>
      <c r="B141" s="15" t="s">
        <v>14</v>
      </c>
      <c r="C141" s="15"/>
      <c r="D141" s="15">
        <v>1964</v>
      </c>
      <c r="E141" s="16"/>
      <c r="F141" s="16"/>
    </row>
    <row r="142" spans="1:6" ht="19.95" customHeight="1" x14ac:dyDescent="0.25">
      <c r="A142" s="14" t="s">
        <v>38</v>
      </c>
      <c r="B142" s="15" t="s">
        <v>14</v>
      </c>
      <c r="C142" s="15">
        <v>29.897857498754401</v>
      </c>
      <c r="D142" s="15">
        <v>1964</v>
      </c>
      <c r="E142" s="16"/>
      <c r="F142" s="16"/>
    </row>
    <row r="143" spans="1:6" ht="19.95" customHeight="1" x14ac:dyDescent="0.25">
      <c r="A143" s="14" t="s">
        <v>39</v>
      </c>
      <c r="B143" s="15" t="s">
        <v>14</v>
      </c>
      <c r="C143" s="15"/>
      <c r="D143" s="15">
        <v>1964</v>
      </c>
      <c r="E143" s="16"/>
      <c r="F143" s="16"/>
    </row>
    <row r="144" spans="1:6" ht="19.95" customHeight="1" x14ac:dyDescent="0.25">
      <c r="A144" s="14" t="s">
        <v>40</v>
      </c>
      <c r="B144" s="15" t="s">
        <v>14</v>
      </c>
      <c r="C144" s="15"/>
      <c r="D144" s="15">
        <v>1964</v>
      </c>
      <c r="E144" s="16"/>
      <c r="F144" s="16"/>
    </row>
    <row r="145" spans="1:6" ht="19.95" customHeight="1" x14ac:dyDescent="0.25">
      <c r="A145" s="14" t="s">
        <v>10</v>
      </c>
      <c r="B145" s="15" t="s">
        <v>14</v>
      </c>
      <c r="C145" s="15">
        <v>10.3479635040849</v>
      </c>
      <c r="D145" s="15">
        <v>1965</v>
      </c>
      <c r="E145" s="16"/>
      <c r="F145" s="16"/>
    </row>
    <row r="146" spans="1:6" ht="19.95" customHeight="1" x14ac:dyDescent="0.25">
      <c r="A146" s="14" t="s">
        <v>13</v>
      </c>
      <c r="B146" s="15" t="s">
        <v>14</v>
      </c>
      <c r="C146" s="15">
        <v>23.759392439595398</v>
      </c>
      <c r="D146" s="15">
        <v>1965</v>
      </c>
      <c r="E146" s="16"/>
      <c r="F146" s="16"/>
    </row>
    <row r="147" spans="1:6" ht="19.95" customHeight="1" x14ac:dyDescent="0.25">
      <c r="A147" s="14" t="s">
        <v>16</v>
      </c>
      <c r="B147" s="15" t="s">
        <v>14</v>
      </c>
      <c r="C147" s="15">
        <v>13.500255004902799</v>
      </c>
      <c r="D147" s="15">
        <v>1965</v>
      </c>
      <c r="E147" s="16"/>
      <c r="F147" s="16"/>
    </row>
    <row r="148" spans="1:6" ht="19.95" customHeight="1" x14ac:dyDescent="0.25">
      <c r="A148" s="14" t="s">
        <v>15</v>
      </c>
      <c r="B148" s="15" t="s">
        <v>14</v>
      </c>
      <c r="C148" s="15"/>
      <c r="D148" s="15">
        <v>1965</v>
      </c>
      <c r="E148" s="16"/>
      <c r="F148" s="16"/>
    </row>
    <row r="149" spans="1:6" ht="19.95" customHeight="1" x14ac:dyDescent="0.25">
      <c r="A149" s="14" t="s">
        <v>17</v>
      </c>
      <c r="B149" s="15" t="s">
        <v>14</v>
      </c>
      <c r="C149" s="15"/>
      <c r="D149" s="15">
        <v>1965</v>
      </c>
      <c r="E149" s="16"/>
      <c r="F149" s="16"/>
    </row>
    <row r="150" spans="1:6" ht="19.95" customHeight="1" x14ac:dyDescent="0.25">
      <c r="A150" s="14" t="s">
        <v>18</v>
      </c>
      <c r="B150" s="15" t="s">
        <v>14</v>
      </c>
      <c r="C150" s="15"/>
      <c r="D150" s="15">
        <v>1965</v>
      </c>
      <c r="E150" s="16"/>
      <c r="F150" s="16"/>
    </row>
    <row r="151" spans="1:6" ht="19.95" customHeight="1" x14ac:dyDescent="0.25">
      <c r="A151" s="14" t="s">
        <v>19</v>
      </c>
      <c r="B151" s="15" t="s">
        <v>14</v>
      </c>
      <c r="C151" s="15"/>
      <c r="D151" s="15">
        <v>1965</v>
      </c>
      <c r="E151" s="16"/>
      <c r="F151" s="16"/>
    </row>
    <row r="152" spans="1:6" ht="19.95" customHeight="1" x14ac:dyDescent="0.25">
      <c r="A152" s="14" t="s">
        <v>20</v>
      </c>
      <c r="B152" s="15" t="s">
        <v>14</v>
      </c>
      <c r="C152" s="15"/>
      <c r="D152" s="15">
        <v>1965</v>
      </c>
      <c r="E152" s="16"/>
      <c r="F152" s="16"/>
    </row>
    <row r="153" spans="1:6" ht="19.95" customHeight="1" x14ac:dyDescent="0.25">
      <c r="A153" s="14" t="s">
        <v>21</v>
      </c>
      <c r="B153" s="15" t="s">
        <v>14</v>
      </c>
      <c r="C153" s="15">
        <v>31.397315206878599</v>
      </c>
      <c r="D153" s="15">
        <v>1965</v>
      </c>
      <c r="E153" s="16"/>
      <c r="F153" s="16"/>
    </row>
    <row r="154" spans="1:6" ht="19.95" customHeight="1" x14ac:dyDescent="0.25">
      <c r="A154" s="14" t="s">
        <v>22</v>
      </c>
      <c r="B154" s="15" t="s">
        <v>14</v>
      </c>
      <c r="C154" s="15"/>
      <c r="D154" s="15">
        <v>1965</v>
      </c>
      <c r="E154" s="16"/>
      <c r="F154" s="16"/>
    </row>
    <row r="155" spans="1:6" ht="19.95" customHeight="1" x14ac:dyDescent="0.25">
      <c r="A155" s="14" t="s">
        <v>23</v>
      </c>
      <c r="B155" s="15" t="s">
        <v>14</v>
      </c>
      <c r="C155" s="15">
        <v>62.897800234492799</v>
      </c>
      <c r="D155" s="15">
        <v>1965</v>
      </c>
      <c r="E155" s="16"/>
      <c r="F155" s="16"/>
    </row>
    <row r="156" spans="1:6" ht="19.95" customHeight="1" x14ac:dyDescent="0.25">
      <c r="A156" s="14" t="s">
        <v>24</v>
      </c>
      <c r="B156" s="15" t="s">
        <v>14</v>
      </c>
      <c r="C156" s="15">
        <v>13.2117044602017</v>
      </c>
      <c r="D156" s="15">
        <v>1965</v>
      </c>
      <c r="E156" s="16"/>
      <c r="F156" s="16"/>
    </row>
    <row r="157" spans="1:6" ht="19.95" customHeight="1" x14ac:dyDescent="0.25">
      <c r="A157" s="14" t="s">
        <v>25</v>
      </c>
      <c r="B157" s="15" t="s">
        <v>14</v>
      </c>
      <c r="C157" s="15">
        <v>19.4630872483221</v>
      </c>
      <c r="D157" s="15">
        <v>1965</v>
      </c>
      <c r="E157" s="16"/>
      <c r="F157" s="16"/>
    </row>
    <row r="158" spans="1:6" ht="19.95" customHeight="1" x14ac:dyDescent="0.25">
      <c r="A158" s="14" t="s">
        <v>26</v>
      </c>
      <c r="B158" s="15" t="s">
        <v>14</v>
      </c>
      <c r="C158" s="15"/>
      <c r="D158" s="15">
        <v>1965</v>
      </c>
      <c r="E158" s="16"/>
      <c r="F158" s="16"/>
    </row>
    <row r="159" spans="1:6" ht="19.95" customHeight="1" x14ac:dyDescent="0.25">
      <c r="A159" s="14" t="s">
        <v>27</v>
      </c>
      <c r="B159" s="15" t="s">
        <v>14</v>
      </c>
      <c r="C159" s="15"/>
      <c r="D159" s="15">
        <v>1965</v>
      </c>
      <c r="E159" s="16"/>
      <c r="F159" s="16"/>
    </row>
    <row r="160" spans="1:6" ht="19.95" customHeight="1" x14ac:dyDescent="0.25">
      <c r="A160" s="14" t="s">
        <v>28</v>
      </c>
      <c r="B160" s="15" t="s">
        <v>14</v>
      </c>
      <c r="C160" s="15"/>
      <c r="D160" s="15">
        <v>1965</v>
      </c>
      <c r="E160" s="16"/>
      <c r="F160" s="16"/>
    </row>
    <row r="161" spans="1:6" ht="19.95" customHeight="1" x14ac:dyDescent="0.25">
      <c r="A161" s="14" t="s">
        <v>29</v>
      </c>
      <c r="B161" s="15" t="s">
        <v>14</v>
      </c>
      <c r="C161" s="15"/>
      <c r="D161" s="15">
        <v>1965</v>
      </c>
      <c r="E161" s="16"/>
      <c r="F161" s="16"/>
    </row>
    <row r="162" spans="1:6" ht="19.95" customHeight="1" x14ac:dyDescent="0.25">
      <c r="A162" s="14" t="s">
        <v>31</v>
      </c>
      <c r="B162" s="15" t="s">
        <v>14</v>
      </c>
      <c r="C162" s="15">
        <v>7.7650840372203502</v>
      </c>
      <c r="D162" s="15">
        <v>1965</v>
      </c>
      <c r="E162" s="16"/>
      <c r="F162" s="16"/>
    </row>
    <row r="163" spans="1:6" ht="19.95" customHeight="1" x14ac:dyDescent="0.25">
      <c r="A163" s="14" t="s">
        <v>32</v>
      </c>
      <c r="B163" s="15" t="s">
        <v>14</v>
      </c>
      <c r="C163" s="15">
        <v>29.300518666976298</v>
      </c>
      <c r="D163" s="15">
        <v>1965</v>
      </c>
      <c r="E163" s="16"/>
      <c r="F163" s="16"/>
    </row>
    <row r="164" spans="1:6" ht="19.95" customHeight="1" x14ac:dyDescent="0.25">
      <c r="A164" s="14" t="s">
        <v>33</v>
      </c>
      <c r="B164" s="15" t="s">
        <v>14</v>
      </c>
      <c r="C164" s="15">
        <v>9.4848510176361795</v>
      </c>
      <c r="D164" s="15">
        <v>1965</v>
      </c>
      <c r="E164" s="16"/>
      <c r="F164" s="16"/>
    </row>
    <row r="165" spans="1:6" ht="19.95" customHeight="1" x14ac:dyDescent="0.25">
      <c r="A165" s="14" t="s">
        <v>34</v>
      </c>
      <c r="B165" s="15" t="s">
        <v>14</v>
      </c>
      <c r="C165" s="15">
        <v>12.096775819459101</v>
      </c>
      <c r="D165" s="15">
        <v>1965</v>
      </c>
      <c r="E165" s="16"/>
      <c r="F165" s="16"/>
    </row>
    <row r="166" spans="1:6" ht="19.95" customHeight="1" x14ac:dyDescent="0.25">
      <c r="A166" s="14" t="s">
        <v>35</v>
      </c>
      <c r="B166" s="15" t="s">
        <v>14</v>
      </c>
      <c r="C166" s="15"/>
      <c r="D166" s="15">
        <v>1965</v>
      </c>
      <c r="E166" s="16"/>
      <c r="F166" s="16"/>
    </row>
    <row r="167" spans="1:6" ht="19.95" customHeight="1" x14ac:dyDescent="0.25">
      <c r="A167" s="14" t="s">
        <v>2</v>
      </c>
      <c r="B167" s="15" t="s">
        <v>14</v>
      </c>
      <c r="C167" s="15">
        <v>25.903018307768399</v>
      </c>
      <c r="D167" s="15">
        <v>1965</v>
      </c>
      <c r="E167" s="16"/>
      <c r="F167" s="16"/>
    </row>
    <row r="168" spans="1:6" ht="19.95" customHeight="1" x14ac:dyDescent="0.25">
      <c r="A168" s="14" t="s">
        <v>36</v>
      </c>
      <c r="B168" s="15" t="s">
        <v>14</v>
      </c>
      <c r="C168" s="15"/>
      <c r="D168" s="15">
        <v>1965</v>
      </c>
      <c r="E168" s="16"/>
      <c r="F168" s="16"/>
    </row>
    <row r="169" spans="1:6" ht="19.95" customHeight="1" x14ac:dyDescent="0.25">
      <c r="A169" s="14" t="s">
        <v>37</v>
      </c>
      <c r="B169" s="15" t="s">
        <v>14</v>
      </c>
      <c r="C169" s="15"/>
      <c r="D169" s="15">
        <v>1965</v>
      </c>
      <c r="E169" s="16"/>
      <c r="F169" s="16"/>
    </row>
    <row r="170" spans="1:6" ht="19.95" customHeight="1" x14ac:dyDescent="0.25">
      <c r="A170" s="14" t="s">
        <v>38</v>
      </c>
      <c r="B170" s="15" t="s">
        <v>14</v>
      </c>
      <c r="C170" s="15">
        <v>25.5777144666034</v>
      </c>
      <c r="D170" s="15">
        <v>1965</v>
      </c>
      <c r="E170" s="16"/>
      <c r="F170" s="16"/>
    </row>
    <row r="171" spans="1:6" ht="19.95" customHeight="1" x14ac:dyDescent="0.25">
      <c r="A171" s="14" t="s">
        <v>39</v>
      </c>
      <c r="B171" s="15" t="s">
        <v>14</v>
      </c>
      <c r="C171" s="15"/>
      <c r="D171" s="15">
        <v>1965</v>
      </c>
      <c r="E171" s="16"/>
      <c r="F171" s="16"/>
    </row>
    <row r="172" spans="1:6" ht="19.95" customHeight="1" x14ac:dyDescent="0.25">
      <c r="A172" s="14" t="s">
        <v>40</v>
      </c>
      <c r="B172" s="15" t="s">
        <v>14</v>
      </c>
      <c r="C172" s="15"/>
      <c r="D172" s="15">
        <v>1965</v>
      </c>
      <c r="E172" s="16"/>
      <c r="F172" s="16"/>
    </row>
    <row r="173" spans="1:6" ht="19.95" customHeight="1" x14ac:dyDescent="0.25">
      <c r="A173" s="14" t="s">
        <v>10</v>
      </c>
      <c r="B173" s="15" t="s">
        <v>14</v>
      </c>
      <c r="C173" s="15">
        <v>10.776159818739499</v>
      </c>
      <c r="D173" s="15">
        <v>1966</v>
      </c>
      <c r="E173" s="16"/>
      <c r="F173" s="16"/>
    </row>
    <row r="174" spans="1:6" ht="19.95" customHeight="1" x14ac:dyDescent="0.25">
      <c r="A174" s="14" t="s">
        <v>13</v>
      </c>
      <c r="B174" s="15" t="s">
        <v>14</v>
      </c>
      <c r="C174" s="15">
        <v>20.994734857892201</v>
      </c>
      <c r="D174" s="15">
        <v>1966</v>
      </c>
      <c r="E174" s="16"/>
      <c r="F174" s="16"/>
    </row>
    <row r="175" spans="1:6" ht="19.95" customHeight="1" x14ac:dyDescent="0.25">
      <c r="A175" s="14" t="s">
        <v>16</v>
      </c>
      <c r="B175" s="15" t="s">
        <v>14</v>
      </c>
      <c r="C175" s="15">
        <v>13.912615534923599</v>
      </c>
      <c r="D175" s="15">
        <v>1966</v>
      </c>
      <c r="E175" s="16"/>
      <c r="F175" s="16"/>
    </row>
    <row r="176" spans="1:6" ht="19.95" customHeight="1" x14ac:dyDescent="0.25">
      <c r="A176" s="14" t="s">
        <v>15</v>
      </c>
      <c r="B176" s="15" t="s">
        <v>14</v>
      </c>
      <c r="C176" s="15"/>
      <c r="D176" s="15">
        <v>1966</v>
      </c>
      <c r="E176" s="16"/>
      <c r="F176" s="16"/>
    </row>
    <row r="177" spans="1:6" ht="19.95" customHeight="1" x14ac:dyDescent="0.25">
      <c r="A177" s="14" t="s">
        <v>17</v>
      </c>
      <c r="B177" s="15" t="s">
        <v>14</v>
      </c>
      <c r="C177" s="15"/>
      <c r="D177" s="15">
        <v>1966</v>
      </c>
      <c r="E177" s="16"/>
      <c r="F177" s="16"/>
    </row>
    <row r="178" spans="1:6" ht="19.95" customHeight="1" x14ac:dyDescent="0.25">
      <c r="A178" s="14" t="s">
        <v>18</v>
      </c>
      <c r="B178" s="15" t="s">
        <v>14</v>
      </c>
      <c r="C178" s="15"/>
      <c r="D178" s="15">
        <v>1966</v>
      </c>
      <c r="E178" s="16"/>
      <c r="F178" s="16"/>
    </row>
    <row r="179" spans="1:6" ht="19.95" customHeight="1" x14ac:dyDescent="0.25">
      <c r="A179" s="14" t="s">
        <v>19</v>
      </c>
      <c r="B179" s="15" t="s">
        <v>14</v>
      </c>
      <c r="C179" s="15"/>
      <c r="D179" s="15">
        <v>1966</v>
      </c>
      <c r="E179" s="16"/>
      <c r="F179" s="16"/>
    </row>
    <row r="180" spans="1:6" ht="19.95" customHeight="1" x14ac:dyDescent="0.25">
      <c r="A180" s="14" t="s">
        <v>20</v>
      </c>
      <c r="B180" s="15" t="s">
        <v>14</v>
      </c>
      <c r="C180" s="15"/>
      <c r="D180" s="15">
        <v>1966</v>
      </c>
      <c r="E180" s="16"/>
      <c r="F180" s="16"/>
    </row>
    <row r="181" spans="1:6" ht="19.95" customHeight="1" x14ac:dyDescent="0.25">
      <c r="A181" s="14" t="s">
        <v>21</v>
      </c>
      <c r="B181" s="15" t="s">
        <v>14</v>
      </c>
      <c r="C181" s="15">
        <v>32.411633516273902</v>
      </c>
      <c r="D181" s="15">
        <v>1966</v>
      </c>
      <c r="E181" s="16"/>
      <c r="F181" s="16"/>
    </row>
    <row r="182" spans="1:6" ht="19.95" customHeight="1" x14ac:dyDescent="0.25">
      <c r="A182" s="14" t="s">
        <v>22</v>
      </c>
      <c r="B182" s="15" t="s">
        <v>14</v>
      </c>
      <c r="C182" s="15"/>
      <c r="D182" s="15">
        <v>1966</v>
      </c>
      <c r="E182" s="16"/>
      <c r="F182" s="16"/>
    </row>
    <row r="183" spans="1:6" ht="19.95" customHeight="1" x14ac:dyDescent="0.25">
      <c r="A183" s="14" t="s">
        <v>23</v>
      </c>
      <c r="B183" s="15" t="s">
        <v>14</v>
      </c>
      <c r="C183" s="15">
        <v>67.986721726911796</v>
      </c>
      <c r="D183" s="15">
        <v>1966</v>
      </c>
      <c r="E183" s="16"/>
      <c r="F183" s="16"/>
    </row>
    <row r="184" spans="1:6" ht="19.95" customHeight="1" x14ac:dyDescent="0.25">
      <c r="A184" s="14" t="s">
        <v>24</v>
      </c>
      <c r="B184" s="15" t="s">
        <v>14</v>
      </c>
      <c r="C184" s="15">
        <v>17.2947153056537</v>
      </c>
      <c r="D184" s="15">
        <v>1966</v>
      </c>
      <c r="E184" s="16"/>
      <c r="F184" s="16"/>
    </row>
    <row r="185" spans="1:6" ht="19.95" customHeight="1" x14ac:dyDescent="0.25">
      <c r="A185" s="14" t="s">
        <v>25</v>
      </c>
      <c r="B185" s="15" t="s">
        <v>14</v>
      </c>
      <c r="C185" s="15">
        <v>21.505376344085999</v>
      </c>
      <c r="D185" s="15">
        <v>1966</v>
      </c>
      <c r="E185" s="16"/>
      <c r="F185" s="16"/>
    </row>
    <row r="186" spans="1:6" ht="19.95" customHeight="1" x14ac:dyDescent="0.25">
      <c r="A186" s="14" t="s">
        <v>26</v>
      </c>
      <c r="B186" s="15" t="s">
        <v>14</v>
      </c>
      <c r="C186" s="15"/>
      <c r="D186" s="15">
        <v>1966</v>
      </c>
      <c r="E186" s="16"/>
      <c r="F186" s="16"/>
    </row>
    <row r="187" spans="1:6" ht="19.95" customHeight="1" x14ac:dyDescent="0.25">
      <c r="A187" s="14" t="s">
        <v>27</v>
      </c>
      <c r="B187" s="15" t="s">
        <v>14</v>
      </c>
      <c r="C187" s="15"/>
      <c r="D187" s="15">
        <v>1966</v>
      </c>
      <c r="E187" s="16"/>
      <c r="F187" s="16"/>
    </row>
    <row r="188" spans="1:6" ht="19.95" customHeight="1" x14ac:dyDescent="0.25">
      <c r="A188" s="14" t="s">
        <v>28</v>
      </c>
      <c r="B188" s="15" t="s">
        <v>14</v>
      </c>
      <c r="C188" s="15"/>
      <c r="D188" s="15">
        <v>1966</v>
      </c>
      <c r="E188" s="16"/>
      <c r="F188" s="16"/>
    </row>
    <row r="189" spans="1:6" ht="19.95" customHeight="1" x14ac:dyDescent="0.25">
      <c r="A189" s="14" t="s">
        <v>29</v>
      </c>
      <c r="B189" s="15" t="s">
        <v>14</v>
      </c>
      <c r="C189" s="15"/>
      <c r="D189" s="15">
        <v>1966</v>
      </c>
      <c r="E189" s="16"/>
      <c r="F189" s="16"/>
    </row>
    <row r="190" spans="1:6" ht="19.95" customHeight="1" x14ac:dyDescent="0.25">
      <c r="A190" s="14" t="s">
        <v>31</v>
      </c>
      <c r="B190" s="15" t="s">
        <v>14</v>
      </c>
      <c r="C190" s="15">
        <v>5.6448109525311603</v>
      </c>
      <c r="D190" s="15">
        <v>1966</v>
      </c>
      <c r="E190" s="16"/>
      <c r="F190" s="16"/>
    </row>
    <row r="191" spans="1:6" ht="19.95" customHeight="1" x14ac:dyDescent="0.25">
      <c r="A191" s="14" t="s">
        <v>32</v>
      </c>
      <c r="B191" s="15" t="s">
        <v>14</v>
      </c>
      <c r="C191" s="15">
        <v>27.115170431526</v>
      </c>
      <c r="D191" s="15">
        <v>1966</v>
      </c>
      <c r="E191" s="16"/>
      <c r="F191" s="16"/>
    </row>
    <row r="192" spans="1:6" ht="19.95" customHeight="1" x14ac:dyDescent="0.25">
      <c r="A192" s="14" t="s">
        <v>33</v>
      </c>
      <c r="B192" s="15" t="s">
        <v>14</v>
      </c>
      <c r="C192" s="15">
        <v>12.4527143653732</v>
      </c>
      <c r="D192" s="15">
        <v>1966</v>
      </c>
      <c r="E192" s="16"/>
      <c r="F192" s="16"/>
    </row>
    <row r="193" spans="1:6" ht="19.95" customHeight="1" x14ac:dyDescent="0.25">
      <c r="A193" s="14" t="s">
        <v>34</v>
      </c>
      <c r="B193" s="15" t="s">
        <v>14</v>
      </c>
      <c r="C193" s="15">
        <v>11.2793686930404</v>
      </c>
      <c r="D193" s="15">
        <v>1966</v>
      </c>
      <c r="E193" s="16"/>
      <c r="F193" s="16"/>
    </row>
    <row r="194" spans="1:6" ht="19.95" customHeight="1" x14ac:dyDescent="0.25">
      <c r="A194" s="14" t="s">
        <v>35</v>
      </c>
      <c r="B194" s="15" t="s">
        <v>14</v>
      </c>
      <c r="C194" s="15"/>
      <c r="D194" s="15">
        <v>1966</v>
      </c>
      <c r="E194" s="16"/>
      <c r="F194" s="16"/>
    </row>
    <row r="195" spans="1:6" ht="19.95" customHeight="1" x14ac:dyDescent="0.25">
      <c r="A195" s="14" t="s">
        <v>2</v>
      </c>
      <c r="B195" s="15" t="s">
        <v>14</v>
      </c>
      <c r="C195" s="15">
        <v>22.370157130862399</v>
      </c>
      <c r="D195" s="15">
        <v>1966</v>
      </c>
      <c r="E195" s="16"/>
      <c r="F195" s="16"/>
    </row>
    <row r="196" spans="1:6" ht="19.95" customHeight="1" x14ac:dyDescent="0.25">
      <c r="A196" s="14" t="s">
        <v>36</v>
      </c>
      <c r="B196" s="15" t="s">
        <v>14</v>
      </c>
      <c r="C196" s="15"/>
      <c r="D196" s="15">
        <v>1966</v>
      </c>
      <c r="E196" s="16"/>
      <c r="F196" s="16"/>
    </row>
    <row r="197" spans="1:6" ht="19.95" customHeight="1" x14ac:dyDescent="0.25">
      <c r="A197" s="14" t="s">
        <v>37</v>
      </c>
      <c r="B197" s="15" t="s">
        <v>14</v>
      </c>
      <c r="C197" s="15"/>
      <c r="D197" s="15">
        <v>1966</v>
      </c>
      <c r="E197" s="16"/>
      <c r="F197" s="16"/>
    </row>
    <row r="198" spans="1:6" ht="19.95" customHeight="1" x14ac:dyDescent="0.25">
      <c r="A198" s="14" t="s">
        <v>38</v>
      </c>
      <c r="B198" s="15" t="s">
        <v>14</v>
      </c>
      <c r="C198" s="15">
        <v>25.5673222390318</v>
      </c>
      <c r="D198" s="15">
        <v>1966</v>
      </c>
      <c r="E198" s="16"/>
      <c r="F198" s="16"/>
    </row>
    <row r="199" spans="1:6" ht="19.95" customHeight="1" x14ac:dyDescent="0.25">
      <c r="A199" s="14" t="s">
        <v>39</v>
      </c>
      <c r="B199" s="15" t="s">
        <v>14</v>
      </c>
      <c r="C199" s="15"/>
      <c r="D199" s="15">
        <v>1966</v>
      </c>
      <c r="E199" s="16"/>
      <c r="F199" s="16"/>
    </row>
    <row r="200" spans="1:6" ht="19.95" customHeight="1" x14ac:dyDescent="0.25">
      <c r="A200" s="14" t="s">
        <v>40</v>
      </c>
      <c r="B200" s="15" t="s">
        <v>14</v>
      </c>
      <c r="C200" s="15"/>
      <c r="D200" s="15">
        <v>1966</v>
      </c>
      <c r="E200" s="16"/>
      <c r="F200" s="16"/>
    </row>
    <row r="201" spans="1:6" ht="19.95" customHeight="1" x14ac:dyDescent="0.25">
      <c r="A201" s="14" t="s">
        <v>10</v>
      </c>
      <c r="B201" s="15" t="s">
        <v>14</v>
      </c>
      <c r="C201" s="15">
        <v>10.8005897057881</v>
      </c>
      <c r="D201" s="15">
        <v>1967</v>
      </c>
      <c r="E201" s="16"/>
      <c r="F201" s="16"/>
    </row>
    <row r="202" spans="1:6" ht="19.95" customHeight="1" x14ac:dyDescent="0.25">
      <c r="A202" s="14" t="s">
        <v>13</v>
      </c>
      <c r="B202" s="15" t="s">
        <v>14</v>
      </c>
      <c r="C202" s="15">
        <v>20.625272657141402</v>
      </c>
      <c r="D202" s="15">
        <v>1967</v>
      </c>
      <c r="E202" s="16"/>
      <c r="F202" s="16"/>
    </row>
    <row r="203" spans="1:6" ht="19.95" customHeight="1" x14ac:dyDescent="0.25">
      <c r="A203" s="14" t="s">
        <v>16</v>
      </c>
      <c r="B203" s="15" t="s">
        <v>14</v>
      </c>
      <c r="C203" s="15">
        <v>14.3618954557805</v>
      </c>
      <c r="D203" s="15">
        <v>1967</v>
      </c>
      <c r="E203" s="16"/>
      <c r="F203" s="16"/>
    </row>
    <row r="204" spans="1:6" ht="19.95" customHeight="1" x14ac:dyDescent="0.25">
      <c r="A204" s="14" t="s">
        <v>15</v>
      </c>
      <c r="B204" s="15" t="s">
        <v>14</v>
      </c>
      <c r="C204" s="15"/>
      <c r="D204" s="15">
        <v>1967</v>
      </c>
      <c r="E204" s="16"/>
      <c r="F204" s="16"/>
    </row>
    <row r="205" spans="1:6" ht="19.95" customHeight="1" x14ac:dyDescent="0.25">
      <c r="A205" s="14" t="s">
        <v>17</v>
      </c>
      <c r="B205" s="15" t="s">
        <v>14</v>
      </c>
      <c r="C205" s="15"/>
      <c r="D205" s="15">
        <v>1967</v>
      </c>
      <c r="E205" s="16"/>
      <c r="F205" s="16"/>
    </row>
    <row r="206" spans="1:6" ht="19.95" customHeight="1" x14ac:dyDescent="0.25">
      <c r="A206" s="14" t="s">
        <v>18</v>
      </c>
      <c r="B206" s="15" t="s">
        <v>14</v>
      </c>
      <c r="C206" s="15"/>
      <c r="D206" s="15">
        <v>1967</v>
      </c>
      <c r="E206" s="16"/>
      <c r="F206" s="16"/>
    </row>
    <row r="207" spans="1:6" ht="19.95" customHeight="1" x14ac:dyDescent="0.25">
      <c r="A207" s="14" t="s">
        <v>19</v>
      </c>
      <c r="B207" s="15" t="s">
        <v>14</v>
      </c>
      <c r="C207" s="15"/>
      <c r="D207" s="15">
        <v>1967</v>
      </c>
      <c r="E207" s="16"/>
      <c r="F207" s="16"/>
    </row>
    <row r="208" spans="1:6" ht="19.95" customHeight="1" x14ac:dyDescent="0.25">
      <c r="A208" s="14" t="s">
        <v>20</v>
      </c>
      <c r="B208" s="15" t="s">
        <v>14</v>
      </c>
      <c r="C208" s="15"/>
      <c r="D208" s="15">
        <v>1967</v>
      </c>
      <c r="E208" s="16"/>
      <c r="F208" s="16"/>
    </row>
    <row r="209" spans="1:6" ht="19.95" customHeight="1" x14ac:dyDescent="0.25">
      <c r="A209" s="14" t="s">
        <v>21</v>
      </c>
      <c r="B209" s="15" t="s">
        <v>14</v>
      </c>
      <c r="C209" s="15">
        <v>28.464334393457499</v>
      </c>
      <c r="D209" s="15">
        <v>1967</v>
      </c>
      <c r="E209" s="16"/>
      <c r="F209" s="16"/>
    </row>
    <row r="210" spans="1:6" ht="19.95" customHeight="1" x14ac:dyDescent="0.25">
      <c r="A210" s="14" t="s">
        <v>22</v>
      </c>
      <c r="B210" s="15" t="s">
        <v>14</v>
      </c>
      <c r="C210" s="15"/>
      <c r="D210" s="15">
        <v>1967</v>
      </c>
      <c r="E210" s="16"/>
      <c r="F210" s="16"/>
    </row>
    <row r="211" spans="1:6" ht="19.95" customHeight="1" x14ac:dyDescent="0.25">
      <c r="A211" s="14" t="s">
        <v>23</v>
      </c>
      <c r="B211" s="15" t="s">
        <v>14</v>
      </c>
      <c r="C211" s="15">
        <v>78.728302307486302</v>
      </c>
      <c r="D211" s="15">
        <v>1967</v>
      </c>
      <c r="E211" s="16"/>
      <c r="F211" s="16"/>
    </row>
    <row r="212" spans="1:6" ht="19.95" customHeight="1" x14ac:dyDescent="0.25">
      <c r="A212" s="14" t="s">
        <v>24</v>
      </c>
      <c r="B212" s="15" t="s">
        <v>14</v>
      </c>
      <c r="C212" s="15">
        <v>17.5142528784686</v>
      </c>
      <c r="D212" s="15">
        <v>1967</v>
      </c>
      <c r="E212" s="16"/>
      <c r="F212" s="16"/>
    </row>
    <row r="213" spans="1:6" ht="19.95" customHeight="1" x14ac:dyDescent="0.25">
      <c r="A213" s="14" t="s">
        <v>25</v>
      </c>
      <c r="B213" s="15" t="s">
        <v>14</v>
      </c>
      <c r="C213" s="15">
        <v>24.053224155578299</v>
      </c>
      <c r="D213" s="15">
        <v>1967</v>
      </c>
      <c r="E213" s="16"/>
      <c r="F213" s="16"/>
    </row>
    <row r="214" spans="1:6" ht="19.95" customHeight="1" x14ac:dyDescent="0.25">
      <c r="A214" s="14" t="s">
        <v>26</v>
      </c>
      <c r="B214" s="15" t="s">
        <v>14</v>
      </c>
      <c r="C214" s="15">
        <v>11.361640608219099</v>
      </c>
      <c r="D214" s="15">
        <v>1967</v>
      </c>
      <c r="E214" s="16"/>
      <c r="F214" s="16"/>
    </row>
    <row r="215" spans="1:6" ht="19.95" customHeight="1" x14ac:dyDescent="0.25">
      <c r="A215" s="14" t="s">
        <v>27</v>
      </c>
      <c r="B215" s="15" t="s">
        <v>14</v>
      </c>
      <c r="C215" s="15"/>
      <c r="D215" s="15">
        <v>1967</v>
      </c>
      <c r="E215" s="16"/>
      <c r="F215" s="16"/>
    </row>
    <row r="216" spans="1:6" ht="19.95" customHeight="1" x14ac:dyDescent="0.25">
      <c r="A216" s="14" t="s">
        <v>28</v>
      </c>
      <c r="B216" s="15" t="s">
        <v>14</v>
      </c>
      <c r="C216" s="15"/>
      <c r="D216" s="15">
        <v>1967</v>
      </c>
      <c r="E216" s="16"/>
      <c r="F216" s="16"/>
    </row>
    <row r="217" spans="1:6" ht="19.95" customHeight="1" x14ac:dyDescent="0.25">
      <c r="A217" s="14" t="s">
        <v>29</v>
      </c>
      <c r="B217" s="15" t="s">
        <v>14</v>
      </c>
      <c r="C217" s="15"/>
      <c r="D217" s="15">
        <v>1967</v>
      </c>
      <c r="E217" s="16"/>
      <c r="F217" s="16"/>
    </row>
    <row r="218" spans="1:6" ht="19.95" customHeight="1" x14ac:dyDescent="0.25">
      <c r="A218" s="14" t="s">
        <v>31</v>
      </c>
      <c r="B218" s="15" t="s">
        <v>14</v>
      </c>
      <c r="C218" s="15">
        <v>6.8745127533201398</v>
      </c>
      <c r="D218" s="15">
        <v>1967</v>
      </c>
      <c r="E218" s="16"/>
      <c r="F218" s="16"/>
    </row>
    <row r="219" spans="1:6" ht="19.95" customHeight="1" x14ac:dyDescent="0.25">
      <c r="A219" s="14" t="s">
        <v>32</v>
      </c>
      <c r="B219" s="15" t="s">
        <v>14</v>
      </c>
      <c r="C219" s="15">
        <v>26.461892589816099</v>
      </c>
      <c r="D219" s="15">
        <v>1967</v>
      </c>
      <c r="E219" s="16"/>
      <c r="F219" s="16"/>
    </row>
    <row r="220" spans="1:6" ht="19.95" customHeight="1" x14ac:dyDescent="0.25">
      <c r="A220" s="14" t="s">
        <v>33</v>
      </c>
      <c r="B220" s="15" t="s">
        <v>14</v>
      </c>
      <c r="C220" s="15">
        <v>8.4295356093115803</v>
      </c>
      <c r="D220" s="15">
        <v>1967</v>
      </c>
      <c r="E220" s="16"/>
      <c r="F220" s="16"/>
    </row>
    <row r="221" spans="1:6" ht="19.95" customHeight="1" x14ac:dyDescent="0.25">
      <c r="A221" s="14" t="s">
        <v>34</v>
      </c>
      <c r="B221" s="15" t="s">
        <v>14</v>
      </c>
      <c r="C221" s="15">
        <v>10.512031905135499</v>
      </c>
      <c r="D221" s="15">
        <v>1967</v>
      </c>
      <c r="E221" s="16"/>
      <c r="F221" s="16"/>
    </row>
    <row r="222" spans="1:6" ht="19.95" customHeight="1" x14ac:dyDescent="0.25">
      <c r="A222" s="14" t="s">
        <v>35</v>
      </c>
      <c r="B222" s="15" t="s">
        <v>14</v>
      </c>
      <c r="C222" s="15"/>
      <c r="D222" s="15">
        <v>1967</v>
      </c>
      <c r="E222" s="16"/>
      <c r="F222" s="16"/>
    </row>
    <row r="223" spans="1:6" ht="19.95" customHeight="1" x14ac:dyDescent="0.25">
      <c r="A223" s="14" t="s">
        <v>2</v>
      </c>
      <c r="B223" s="15" t="s">
        <v>14</v>
      </c>
      <c r="C223" s="15">
        <v>20.460329755449798</v>
      </c>
      <c r="D223" s="15">
        <v>1967</v>
      </c>
      <c r="E223" s="16"/>
      <c r="F223" s="16"/>
    </row>
    <row r="224" spans="1:6" ht="19.95" customHeight="1" x14ac:dyDescent="0.25">
      <c r="A224" s="14" t="s">
        <v>36</v>
      </c>
      <c r="B224" s="15" t="s">
        <v>14</v>
      </c>
      <c r="C224" s="15"/>
      <c r="D224" s="15">
        <v>1967</v>
      </c>
      <c r="E224" s="16"/>
      <c r="F224" s="16"/>
    </row>
    <row r="225" spans="1:6" ht="19.95" customHeight="1" x14ac:dyDescent="0.25">
      <c r="A225" s="14" t="s">
        <v>37</v>
      </c>
      <c r="B225" s="15" t="s">
        <v>14</v>
      </c>
      <c r="C225" s="15"/>
      <c r="D225" s="15">
        <v>1967</v>
      </c>
      <c r="E225" s="16"/>
      <c r="F225" s="16"/>
    </row>
    <row r="226" spans="1:6" ht="19.95" customHeight="1" x14ac:dyDescent="0.25">
      <c r="A226" s="14" t="s">
        <v>38</v>
      </c>
      <c r="B226" s="15" t="s">
        <v>14</v>
      </c>
      <c r="C226" s="15">
        <v>25.300332899117102</v>
      </c>
      <c r="D226" s="15">
        <v>1967</v>
      </c>
      <c r="E226" s="16"/>
      <c r="F226" s="16"/>
    </row>
    <row r="227" spans="1:6" ht="19.95" customHeight="1" x14ac:dyDescent="0.25">
      <c r="A227" s="14" t="s">
        <v>39</v>
      </c>
      <c r="B227" s="15" t="s">
        <v>14</v>
      </c>
      <c r="C227" s="15"/>
      <c r="D227" s="15">
        <v>1967</v>
      </c>
      <c r="E227" s="16"/>
      <c r="F227" s="16"/>
    </row>
    <row r="228" spans="1:6" ht="19.95" customHeight="1" x14ac:dyDescent="0.25">
      <c r="A228" s="14" t="s">
        <v>40</v>
      </c>
      <c r="B228" s="15" t="s">
        <v>14</v>
      </c>
      <c r="C228" s="15"/>
      <c r="D228" s="15">
        <v>1967</v>
      </c>
      <c r="E228" s="16"/>
      <c r="F228" s="16"/>
    </row>
    <row r="229" spans="1:6" ht="19.95" customHeight="1" x14ac:dyDescent="0.25">
      <c r="A229" s="14" t="s">
        <v>10</v>
      </c>
      <c r="B229" s="15" t="s">
        <v>14</v>
      </c>
      <c r="C229" s="15">
        <v>10.2956955708047</v>
      </c>
      <c r="D229" s="15">
        <v>1968</v>
      </c>
      <c r="E229" s="16"/>
      <c r="F229" s="16"/>
    </row>
    <row r="230" spans="1:6" ht="19.95" customHeight="1" x14ac:dyDescent="0.25">
      <c r="A230" s="14" t="s">
        <v>13</v>
      </c>
      <c r="B230" s="15" t="s">
        <v>14</v>
      </c>
      <c r="C230" s="15">
        <v>22.123551689286099</v>
      </c>
      <c r="D230" s="15">
        <v>1968</v>
      </c>
      <c r="E230" s="16"/>
      <c r="F230" s="16"/>
    </row>
    <row r="231" spans="1:6" ht="19.95" customHeight="1" x14ac:dyDescent="0.25">
      <c r="A231" s="14" t="s">
        <v>16</v>
      </c>
      <c r="B231" s="15" t="s">
        <v>14</v>
      </c>
      <c r="C231" s="15">
        <v>14.941012395936401</v>
      </c>
      <c r="D231" s="15">
        <v>1968</v>
      </c>
      <c r="E231" s="16"/>
      <c r="F231" s="16"/>
    </row>
    <row r="232" spans="1:6" ht="19.95" customHeight="1" x14ac:dyDescent="0.25">
      <c r="A232" s="14" t="s">
        <v>15</v>
      </c>
      <c r="B232" s="15" t="s">
        <v>14</v>
      </c>
      <c r="C232" s="15"/>
      <c r="D232" s="15">
        <v>1968</v>
      </c>
      <c r="E232" s="16"/>
      <c r="F232" s="16"/>
    </row>
    <row r="233" spans="1:6" ht="19.95" customHeight="1" x14ac:dyDescent="0.25">
      <c r="A233" s="14" t="s">
        <v>17</v>
      </c>
      <c r="B233" s="15" t="s">
        <v>14</v>
      </c>
      <c r="C233" s="15"/>
      <c r="D233" s="15">
        <v>1968</v>
      </c>
      <c r="E233" s="16"/>
      <c r="F233" s="16"/>
    </row>
    <row r="234" spans="1:6" ht="19.95" customHeight="1" x14ac:dyDescent="0.25">
      <c r="A234" s="14" t="s">
        <v>18</v>
      </c>
      <c r="B234" s="15" t="s">
        <v>14</v>
      </c>
      <c r="C234" s="15"/>
      <c r="D234" s="15">
        <v>1968</v>
      </c>
      <c r="E234" s="16"/>
      <c r="F234" s="16"/>
    </row>
    <row r="235" spans="1:6" ht="19.95" customHeight="1" x14ac:dyDescent="0.25">
      <c r="A235" s="14" t="s">
        <v>19</v>
      </c>
      <c r="B235" s="15" t="s">
        <v>14</v>
      </c>
      <c r="C235" s="15"/>
      <c r="D235" s="15">
        <v>1968</v>
      </c>
      <c r="E235" s="16"/>
      <c r="F235" s="16"/>
    </row>
    <row r="236" spans="1:6" ht="19.95" customHeight="1" x14ac:dyDescent="0.25">
      <c r="A236" s="14" t="s">
        <v>20</v>
      </c>
      <c r="B236" s="15" t="s">
        <v>14</v>
      </c>
      <c r="C236" s="15"/>
      <c r="D236" s="15">
        <v>1968</v>
      </c>
      <c r="E236" s="16"/>
      <c r="F236" s="16"/>
    </row>
    <row r="237" spans="1:6" ht="19.95" customHeight="1" x14ac:dyDescent="0.25">
      <c r="A237" s="14" t="s">
        <v>21</v>
      </c>
      <c r="B237" s="15" t="s">
        <v>14</v>
      </c>
      <c r="C237" s="15">
        <v>29.4008110568567</v>
      </c>
      <c r="D237" s="15">
        <v>1968</v>
      </c>
      <c r="E237" s="16"/>
      <c r="F237" s="16"/>
    </row>
    <row r="238" spans="1:6" ht="19.95" customHeight="1" x14ac:dyDescent="0.25">
      <c r="A238" s="14" t="s">
        <v>22</v>
      </c>
      <c r="B238" s="15" t="s">
        <v>14</v>
      </c>
      <c r="C238" s="15"/>
      <c r="D238" s="15">
        <v>1968</v>
      </c>
      <c r="E238" s="16"/>
      <c r="F238" s="16"/>
    </row>
    <row r="239" spans="1:6" ht="19.95" customHeight="1" x14ac:dyDescent="0.25">
      <c r="A239" s="14" t="s">
        <v>23</v>
      </c>
      <c r="B239" s="15" t="s">
        <v>14</v>
      </c>
      <c r="C239" s="15">
        <v>84.314503937024995</v>
      </c>
      <c r="D239" s="15">
        <v>1968</v>
      </c>
      <c r="E239" s="16"/>
      <c r="F239" s="16"/>
    </row>
    <row r="240" spans="1:6" ht="19.95" customHeight="1" x14ac:dyDescent="0.25">
      <c r="A240" s="14" t="s">
        <v>24</v>
      </c>
      <c r="B240" s="15" t="s">
        <v>14</v>
      </c>
      <c r="C240" s="15">
        <v>17.750338775661099</v>
      </c>
      <c r="D240" s="15">
        <v>1968</v>
      </c>
      <c r="E240" s="16"/>
      <c r="F240" s="16"/>
    </row>
    <row r="241" spans="1:6" ht="19.95" customHeight="1" x14ac:dyDescent="0.25">
      <c r="A241" s="14" t="s">
        <v>25</v>
      </c>
      <c r="B241" s="15" t="s">
        <v>14</v>
      </c>
      <c r="C241" s="15">
        <v>23.837493881546699</v>
      </c>
      <c r="D241" s="15">
        <v>1968</v>
      </c>
      <c r="E241" s="16"/>
      <c r="F241" s="16"/>
    </row>
    <row r="242" spans="1:6" ht="19.95" customHeight="1" x14ac:dyDescent="0.25">
      <c r="A242" s="14" t="s">
        <v>26</v>
      </c>
      <c r="B242" s="15" t="s">
        <v>14</v>
      </c>
      <c r="C242" s="15">
        <v>10.222569980724201</v>
      </c>
      <c r="D242" s="15">
        <v>1968</v>
      </c>
      <c r="E242" s="16"/>
      <c r="F242" s="16"/>
    </row>
    <row r="243" spans="1:6" ht="19.95" customHeight="1" x14ac:dyDescent="0.25">
      <c r="A243" s="14" t="s">
        <v>27</v>
      </c>
      <c r="B243" s="15" t="s">
        <v>14</v>
      </c>
      <c r="C243" s="15"/>
      <c r="D243" s="15">
        <v>1968</v>
      </c>
      <c r="E243" s="16"/>
      <c r="F243" s="16"/>
    </row>
    <row r="244" spans="1:6" ht="19.95" customHeight="1" x14ac:dyDescent="0.25">
      <c r="A244" s="14" t="s">
        <v>28</v>
      </c>
      <c r="B244" s="15" t="s">
        <v>14</v>
      </c>
      <c r="C244" s="15"/>
      <c r="D244" s="15">
        <v>1968</v>
      </c>
      <c r="E244" s="16"/>
      <c r="F244" s="16"/>
    </row>
    <row r="245" spans="1:6" ht="19.95" customHeight="1" x14ac:dyDescent="0.25">
      <c r="A245" s="14" t="s">
        <v>29</v>
      </c>
      <c r="B245" s="15" t="s">
        <v>14</v>
      </c>
      <c r="C245" s="15"/>
      <c r="D245" s="15">
        <v>1968</v>
      </c>
      <c r="E245" s="16"/>
      <c r="F245" s="16"/>
    </row>
    <row r="246" spans="1:6" ht="19.95" customHeight="1" x14ac:dyDescent="0.25">
      <c r="A246" s="14" t="s">
        <v>31</v>
      </c>
      <c r="B246" s="15" t="s">
        <v>14</v>
      </c>
      <c r="C246" s="15">
        <v>6.8451134296636402</v>
      </c>
      <c r="D246" s="15">
        <v>1968</v>
      </c>
      <c r="E246" s="16"/>
      <c r="F246" s="16"/>
    </row>
    <row r="247" spans="1:6" ht="19.95" customHeight="1" x14ac:dyDescent="0.25">
      <c r="A247" s="14" t="s">
        <v>32</v>
      </c>
      <c r="B247" s="15" t="s">
        <v>14</v>
      </c>
      <c r="C247" s="15">
        <v>26.6848685578443</v>
      </c>
      <c r="D247" s="15">
        <v>1968</v>
      </c>
      <c r="E247" s="16"/>
      <c r="F247" s="16"/>
    </row>
    <row r="248" spans="1:6" ht="19.95" customHeight="1" x14ac:dyDescent="0.25">
      <c r="A248" s="14" t="s">
        <v>33</v>
      </c>
      <c r="B248" s="15" t="s">
        <v>14</v>
      </c>
      <c r="C248" s="15">
        <v>7.9775985591896603</v>
      </c>
      <c r="D248" s="15">
        <v>1968</v>
      </c>
      <c r="E248" s="16"/>
      <c r="F248" s="16"/>
    </row>
    <row r="249" spans="1:6" ht="19.95" customHeight="1" x14ac:dyDescent="0.25">
      <c r="A249" s="14" t="s">
        <v>34</v>
      </c>
      <c r="B249" s="15" t="s">
        <v>14</v>
      </c>
      <c r="C249" s="15">
        <v>8.7398359040821898</v>
      </c>
      <c r="D249" s="15">
        <v>1968</v>
      </c>
      <c r="E249" s="16"/>
      <c r="F249" s="16"/>
    </row>
    <row r="250" spans="1:6" ht="19.95" customHeight="1" x14ac:dyDescent="0.25">
      <c r="A250" s="14" t="s">
        <v>35</v>
      </c>
      <c r="B250" s="15" t="s">
        <v>14</v>
      </c>
      <c r="C250" s="15"/>
      <c r="D250" s="15">
        <v>1968</v>
      </c>
      <c r="E250" s="16"/>
      <c r="F250" s="16"/>
    </row>
    <row r="251" spans="1:6" ht="19.95" customHeight="1" x14ac:dyDescent="0.25">
      <c r="A251" s="14" t="s">
        <v>2</v>
      </c>
      <c r="B251" s="15" t="s">
        <v>14</v>
      </c>
      <c r="C251" s="15">
        <v>20.621442567882799</v>
      </c>
      <c r="D251" s="15">
        <v>1968</v>
      </c>
      <c r="E251" s="16"/>
      <c r="F251" s="16"/>
    </row>
    <row r="252" spans="1:6" ht="19.95" customHeight="1" x14ac:dyDescent="0.25">
      <c r="A252" s="14" t="s">
        <v>36</v>
      </c>
      <c r="B252" s="15" t="s">
        <v>14</v>
      </c>
      <c r="C252" s="15"/>
      <c r="D252" s="15">
        <v>1968</v>
      </c>
      <c r="E252" s="16"/>
      <c r="F252" s="16"/>
    </row>
    <row r="253" spans="1:6" ht="19.95" customHeight="1" x14ac:dyDescent="0.25">
      <c r="A253" s="14" t="s">
        <v>37</v>
      </c>
      <c r="B253" s="15" t="s">
        <v>14</v>
      </c>
      <c r="C253" s="15"/>
      <c r="D253" s="15">
        <v>1968</v>
      </c>
      <c r="E253" s="16"/>
      <c r="F253" s="16"/>
    </row>
    <row r="254" spans="1:6" ht="19.95" customHeight="1" x14ac:dyDescent="0.25">
      <c r="A254" s="14" t="s">
        <v>38</v>
      </c>
      <c r="B254" s="15" t="s">
        <v>14</v>
      </c>
      <c r="C254" s="15">
        <v>23.940620782726</v>
      </c>
      <c r="D254" s="15">
        <v>1968</v>
      </c>
      <c r="E254" s="16"/>
      <c r="F254" s="16"/>
    </row>
    <row r="255" spans="1:6" ht="19.95" customHeight="1" x14ac:dyDescent="0.25">
      <c r="A255" s="14" t="s">
        <v>39</v>
      </c>
      <c r="B255" s="15" t="s">
        <v>14</v>
      </c>
      <c r="C255" s="15"/>
      <c r="D255" s="15">
        <v>1968</v>
      </c>
      <c r="E255" s="16"/>
      <c r="F255" s="16"/>
    </row>
    <row r="256" spans="1:6" ht="19.95" customHeight="1" x14ac:dyDescent="0.25">
      <c r="A256" s="14" t="s">
        <v>40</v>
      </c>
      <c r="B256" s="15" t="s">
        <v>14</v>
      </c>
      <c r="C256" s="15"/>
      <c r="D256" s="15">
        <v>1968</v>
      </c>
      <c r="E256" s="16"/>
      <c r="F256" s="16"/>
    </row>
    <row r="257" spans="1:6" ht="19.95" customHeight="1" x14ac:dyDescent="0.25">
      <c r="A257" s="14" t="s">
        <v>10</v>
      </c>
      <c r="B257" s="15" t="s">
        <v>14</v>
      </c>
      <c r="C257" s="15">
        <v>9.6587153758336797</v>
      </c>
      <c r="D257" s="15">
        <v>1969</v>
      </c>
      <c r="E257" s="16"/>
      <c r="F257" s="16"/>
    </row>
    <row r="258" spans="1:6" ht="19.95" customHeight="1" x14ac:dyDescent="0.25">
      <c r="A258" s="14" t="s">
        <v>13</v>
      </c>
      <c r="B258" s="15" t="s">
        <v>14</v>
      </c>
      <c r="C258" s="15">
        <v>23.383428616446398</v>
      </c>
      <c r="D258" s="15">
        <v>1969</v>
      </c>
      <c r="E258" s="16"/>
      <c r="F258" s="16"/>
    </row>
    <row r="259" spans="1:6" ht="19.95" customHeight="1" x14ac:dyDescent="0.25">
      <c r="A259" s="14" t="s">
        <v>16</v>
      </c>
      <c r="B259" s="15" t="s">
        <v>14</v>
      </c>
      <c r="C259" s="15">
        <v>13.2067876155599</v>
      </c>
      <c r="D259" s="15">
        <v>1969</v>
      </c>
      <c r="E259" s="16"/>
      <c r="F259" s="16"/>
    </row>
    <row r="260" spans="1:6" ht="19.95" customHeight="1" x14ac:dyDescent="0.25">
      <c r="A260" s="14" t="s">
        <v>15</v>
      </c>
      <c r="B260" s="15" t="s">
        <v>14</v>
      </c>
      <c r="C260" s="15"/>
      <c r="D260" s="15">
        <v>1969</v>
      </c>
      <c r="E260" s="16"/>
      <c r="F260" s="16"/>
    </row>
    <row r="261" spans="1:6" ht="19.95" customHeight="1" x14ac:dyDescent="0.25">
      <c r="A261" s="14" t="s">
        <v>17</v>
      </c>
      <c r="B261" s="15" t="s">
        <v>14</v>
      </c>
      <c r="C261" s="15"/>
      <c r="D261" s="15">
        <v>1969</v>
      </c>
      <c r="E261" s="16"/>
      <c r="F261" s="16"/>
    </row>
    <row r="262" spans="1:6" ht="19.95" customHeight="1" x14ac:dyDescent="0.25">
      <c r="A262" s="14" t="s">
        <v>18</v>
      </c>
      <c r="B262" s="15" t="s">
        <v>14</v>
      </c>
      <c r="C262" s="15"/>
      <c r="D262" s="15">
        <v>1969</v>
      </c>
      <c r="E262" s="16"/>
      <c r="F262" s="16"/>
    </row>
    <row r="263" spans="1:6" ht="19.95" customHeight="1" x14ac:dyDescent="0.25">
      <c r="A263" s="14" t="s">
        <v>19</v>
      </c>
      <c r="B263" s="15" t="s">
        <v>14</v>
      </c>
      <c r="C263" s="15"/>
      <c r="D263" s="15">
        <v>1969</v>
      </c>
      <c r="E263" s="16"/>
      <c r="F263" s="16"/>
    </row>
    <row r="264" spans="1:6" ht="19.95" customHeight="1" x14ac:dyDescent="0.25">
      <c r="A264" s="14" t="s">
        <v>20</v>
      </c>
      <c r="B264" s="15" t="s">
        <v>14</v>
      </c>
      <c r="C264" s="15"/>
      <c r="D264" s="15">
        <v>1969</v>
      </c>
      <c r="E264" s="16"/>
      <c r="F264" s="16"/>
    </row>
    <row r="265" spans="1:6" ht="19.95" customHeight="1" x14ac:dyDescent="0.25">
      <c r="A265" s="14" t="s">
        <v>21</v>
      </c>
      <c r="B265" s="15" t="s">
        <v>14</v>
      </c>
      <c r="C265" s="15">
        <v>29.5286550830373</v>
      </c>
      <c r="D265" s="15">
        <v>1969</v>
      </c>
      <c r="E265" s="16"/>
      <c r="F265" s="16"/>
    </row>
    <row r="266" spans="1:6" ht="19.95" customHeight="1" x14ac:dyDescent="0.25">
      <c r="A266" s="14" t="s">
        <v>22</v>
      </c>
      <c r="B266" s="15" t="s">
        <v>14</v>
      </c>
      <c r="C266" s="15"/>
      <c r="D266" s="15">
        <v>1969</v>
      </c>
      <c r="E266" s="16"/>
      <c r="F266" s="16"/>
    </row>
    <row r="267" spans="1:6" ht="19.95" customHeight="1" x14ac:dyDescent="0.25">
      <c r="A267" s="14" t="s">
        <v>23</v>
      </c>
      <c r="B267" s="15" t="s">
        <v>14</v>
      </c>
      <c r="C267" s="15">
        <v>89.229278692006602</v>
      </c>
      <c r="D267" s="15">
        <v>1969</v>
      </c>
      <c r="E267" s="16"/>
      <c r="F267" s="16"/>
    </row>
    <row r="268" spans="1:6" ht="19.95" customHeight="1" x14ac:dyDescent="0.25">
      <c r="A268" s="14" t="s">
        <v>24</v>
      </c>
      <c r="B268" s="15" t="s">
        <v>14</v>
      </c>
      <c r="C268" s="15">
        <v>18.109269659193501</v>
      </c>
      <c r="D268" s="15">
        <v>1969</v>
      </c>
      <c r="E268" s="16"/>
      <c r="F268" s="16"/>
    </row>
    <row r="269" spans="1:6" ht="19.95" customHeight="1" x14ac:dyDescent="0.25">
      <c r="A269" s="14" t="s">
        <v>25</v>
      </c>
      <c r="B269" s="15" t="s">
        <v>14</v>
      </c>
      <c r="C269" s="15">
        <v>23.476297968397301</v>
      </c>
      <c r="D269" s="15">
        <v>1969</v>
      </c>
      <c r="E269" s="16"/>
      <c r="F269" s="16"/>
    </row>
    <row r="270" spans="1:6" ht="19.95" customHeight="1" x14ac:dyDescent="0.25">
      <c r="A270" s="14" t="s">
        <v>26</v>
      </c>
      <c r="B270" s="15" t="s">
        <v>14</v>
      </c>
      <c r="C270" s="15">
        <v>11.2036320725528</v>
      </c>
      <c r="D270" s="15">
        <v>1969</v>
      </c>
      <c r="E270" s="16"/>
      <c r="F270" s="16"/>
    </row>
    <row r="271" spans="1:6" ht="19.95" customHeight="1" x14ac:dyDescent="0.25">
      <c r="A271" s="14" t="s">
        <v>27</v>
      </c>
      <c r="B271" s="15" t="s">
        <v>14</v>
      </c>
      <c r="C271" s="15"/>
      <c r="D271" s="15">
        <v>1969</v>
      </c>
      <c r="E271" s="16"/>
      <c r="F271" s="16"/>
    </row>
    <row r="272" spans="1:6" ht="19.95" customHeight="1" x14ac:dyDescent="0.25">
      <c r="A272" s="14" t="s">
        <v>28</v>
      </c>
      <c r="B272" s="15" t="s">
        <v>14</v>
      </c>
      <c r="C272" s="15"/>
      <c r="D272" s="15">
        <v>1969</v>
      </c>
      <c r="E272" s="16"/>
      <c r="F272" s="16"/>
    </row>
    <row r="273" spans="1:6" ht="19.95" customHeight="1" x14ac:dyDescent="0.25">
      <c r="A273" s="14" t="s">
        <v>29</v>
      </c>
      <c r="B273" s="15" t="s">
        <v>14</v>
      </c>
      <c r="C273" s="15"/>
      <c r="D273" s="15">
        <v>1969</v>
      </c>
      <c r="E273" s="16"/>
      <c r="F273" s="16"/>
    </row>
    <row r="274" spans="1:6" ht="19.95" customHeight="1" x14ac:dyDescent="0.25">
      <c r="A274" s="14" t="s">
        <v>31</v>
      </c>
      <c r="B274" s="15" t="s">
        <v>14</v>
      </c>
      <c r="C274" s="15">
        <v>7.0131497434333099</v>
      </c>
      <c r="D274" s="15">
        <v>1969</v>
      </c>
      <c r="E274" s="16"/>
      <c r="F274" s="16"/>
    </row>
    <row r="275" spans="1:6" ht="19.95" customHeight="1" x14ac:dyDescent="0.25">
      <c r="A275" s="14" t="s">
        <v>32</v>
      </c>
      <c r="B275" s="15" t="s">
        <v>14</v>
      </c>
      <c r="C275" s="15">
        <v>24.3859582232446</v>
      </c>
      <c r="D275" s="15">
        <v>1969</v>
      </c>
      <c r="E275" s="16"/>
      <c r="F275" s="16"/>
    </row>
    <row r="276" spans="1:6" ht="19.95" customHeight="1" x14ac:dyDescent="0.25">
      <c r="A276" s="14" t="s">
        <v>33</v>
      </c>
      <c r="B276" s="15" t="s">
        <v>14</v>
      </c>
      <c r="C276" s="15">
        <v>9.3576559667711994</v>
      </c>
      <c r="D276" s="15">
        <v>1969</v>
      </c>
      <c r="E276" s="16"/>
      <c r="F276" s="16"/>
    </row>
    <row r="277" spans="1:6" ht="19.95" customHeight="1" x14ac:dyDescent="0.25">
      <c r="A277" s="14" t="s">
        <v>34</v>
      </c>
      <c r="B277" s="15" t="s">
        <v>14</v>
      </c>
      <c r="C277" s="15">
        <v>7.6788532903149296</v>
      </c>
      <c r="D277" s="15">
        <v>1969</v>
      </c>
      <c r="E277" s="16"/>
      <c r="F277" s="16"/>
    </row>
    <row r="278" spans="1:6" ht="19.95" customHeight="1" x14ac:dyDescent="0.25">
      <c r="A278" s="14" t="s">
        <v>35</v>
      </c>
      <c r="B278" s="15" t="s">
        <v>14</v>
      </c>
      <c r="C278" s="15"/>
      <c r="D278" s="15">
        <v>1969</v>
      </c>
      <c r="E278" s="16"/>
      <c r="F278" s="16"/>
    </row>
    <row r="279" spans="1:6" ht="19.95" customHeight="1" x14ac:dyDescent="0.25">
      <c r="A279" s="14" t="s">
        <v>2</v>
      </c>
      <c r="B279" s="15" t="s">
        <v>14</v>
      </c>
      <c r="C279" s="15">
        <v>18.3924754168448</v>
      </c>
      <c r="D279" s="15">
        <v>1969</v>
      </c>
      <c r="E279" s="16"/>
      <c r="F279" s="16"/>
    </row>
    <row r="280" spans="1:6" ht="19.95" customHeight="1" x14ac:dyDescent="0.25">
      <c r="A280" s="14" t="s">
        <v>36</v>
      </c>
      <c r="B280" s="15" t="s">
        <v>14</v>
      </c>
      <c r="C280" s="15"/>
      <c r="D280" s="15">
        <v>1969</v>
      </c>
      <c r="E280" s="16"/>
      <c r="F280" s="16"/>
    </row>
    <row r="281" spans="1:6" ht="19.95" customHeight="1" x14ac:dyDescent="0.25">
      <c r="A281" s="14" t="s">
        <v>37</v>
      </c>
      <c r="B281" s="15" t="s">
        <v>14</v>
      </c>
      <c r="C281" s="15"/>
      <c r="D281" s="15">
        <v>1969</v>
      </c>
      <c r="E281" s="16"/>
      <c r="F281" s="16"/>
    </row>
    <row r="282" spans="1:6" ht="19.95" customHeight="1" x14ac:dyDescent="0.25">
      <c r="A282" s="14" t="s">
        <v>38</v>
      </c>
      <c r="B282" s="15" t="s">
        <v>14</v>
      </c>
      <c r="C282" s="15">
        <v>21.528692943572501</v>
      </c>
      <c r="D282" s="15">
        <v>1969</v>
      </c>
      <c r="E282" s="16"/>
      <c r="F282" s="16"/>
    </row>
    <row r="283" spans="1:6" ht="19.95" customHeight="1" x14ac:dyDescent="0.25">
      <c r="A283" s="14" t="s">
        <v>39</v>
      </c>
      <c r="B283" s="15" t="s">
        <v>14</v>
      </c>
      <c r="C283" s="15"/>
      <c r="D283" s="15">
        <v>1969</v>
      </c>
      <c r="E283" s="16"/>
      <c r="F283" s="16"/>
    </row>
    <row r="284" spans="1:6" ht="19.95" customHeight="1" x14ac:dyDescent="0.25">
      <c r="A284" s="14" t="s">
        <v>40</v>
      </c>
      <c r="B284" s="15" t="s">
        <v>14</v>
      </c>
      <c r="C284" s="15"/>
      <c r="D284" s="15">
        <v>1969</v>
      </c>
      <c r="E284" s="16"/>
      <c r="F284" s="16"/>
    </row>
    <row r="285" spans="1:6" ht="19.95" customHeight="1" x14ac:dyDescent="0.25">
      <c r="A285" s="14" t="s">
        <v>10</v>
      </c>
      <c r="B285" s="15" t="s">
        <v>14</v>
      </c>
      <c r="C285" s="15">
        <v>10.688776831409999</v>
      </c>
      <c r="D285" s="15">
        <v>1970</v>
      </c>
      <c r="E285" s="16"/>
      <c r="F285" s="16"/>
    </row>
    <row r="286" spans="1:6" ht="19.95" customHeight="1" x14ac:dyDescent="0.25">
      <c r="A286" s="14" t="s">
        <v>13</v>
      </c>
      <c r="B286" s="15" t="s">
        <v>14</v>
      </c>
      <c r="C286" s="15">
        <v>26.209931675918298</v>
      </c>
      <c r="D286" s="15">
        <v>1970</v>
      </c>
      <c r="E286" s="16"/>
      <c r="F286" s="16"/>
    </row>
    <row r="287" spans="1:6" ht="19.95" customHeight="1" x14ac:dyDescent="0.25">
      <c r="A287" s="14" t="s">
        <v>16</v>
      </c>
      <c r="B287" s="15" t="s">
        <v>14</v>
      </c>
      <c r="C287" s="15">
        <v>16.259836962238602</v>
      </c>
      <c r="D287" s="15">
        <v>1970</v>
      </c>
      <c r="E287" s="16"/>
      <c r="F287" s="16"/>
    </row>
    <row r="288" spans="1:6" ht="19.95" customHeight="1" x14ac:dyDescent="0.25">
      <c r="A288" s="14" t="s">
        <v>15</v>
      </c>
      <c r="B288" s="15" t="s">
        <v>14</v>
      </c>
      <c r="C288" s="15"/>
      <c r="D288" s="15">
        <v>1970</v>
      </c>
      <c r="E288" s="16"/>
      <c r="F288" s="16"/>
    </row>
    <row r="289" spans="1:6" ht="19.95" customHeight="1" x14ac:dyDescent="0.25">
      <c r="A289" s="14" t="s">
        <v>17</v>
      </c>
      <c r="B289" s="15" t="s">
        <v>14</v>
      </c>
      <c r="C289" s="15"/>
      <c r="D289" s="15">
        <v>1970</v>
      </c>
      <c r="E289" s="16"/>
      <c r="F289" s="16"/>
    </row>
    <row r="290" spans="1:6" ht="19.95" customHeight="1" x14ac:dyDescent="0.25">
      <c r="A290" s="14" t="s">
        <v>18</v>
      </c>
      <c r="B290" s="15" t="s">
        <v>14</v>
      </c>
      <c r="C290" s="15"/>
      <c r="D290" s="15">
        <v>1970</v>
      </c>
      <c r="E290" s="16"/>
      <c r="F290" s="16"/>
    </row>
    <row r="291" spans="1:6" ht="19.95" customHeight="1" x14ac:dyDescent="0.25">
      <c r="A291" s="14" t="s">
        <v>19</v>
      </c>
      <c r="B291" s="15" t="s">
        <v>14</v>
      </c>
      <c r="C291" s="15"/>
      <c r="D291" s="15">
        <v>1970</v>
      </c>
      <c r="E291" s="16"/>
      <c r="F291" s="16"/>
    </row>
    <row r="292" spans="1:6" ht="19.95" customHeight="1" x14ac:dyDescent="0.25">
      <c r="A292" s="14" t="s">
        <v>20</v>
      </c>
      <c r="B292" s="15" t="s">
        <v>14</v>
      </c>
      <c r="C292" s="15"/>
      <c r="D292" s="15">
        <v>1970</v>
      </c>
      <c r="E292" s="16"/>
      <c r="F292" s="16"/>
    </row>
    <row r="293" spans="1:6" ht="19.95" customHeight="1" x14ac:dyDescent="0.25">
      <c r="A293" s="14" t="s">
        <v>21</v>
      </c>
      <c r="B293" s="15" t="s">
        <v>14</v>
      </c>
      <c r="C293" s="15">
        <v>29.825725561415201</v>
      </c>
      <c r="D293" s="15">
        <v>1970</v>
      </c>
      <c r="E293" s="16"/>
      <c r="F293" s="16"/>
    </row>
    <row r="294" spans="1:6" ht="19.95" customHeight="1" x14ac:dyDescent="0.25">
      <c r="A294" s="14" t="s">
        <v>22</v>
      </c>
      <c r="B294" s="15" t="s">
        <v>14</v>
      </c>
      <c r="C294" s="15"/>
      <c r="D294" s="15">
        <v>1970</v>
      </c>
      <c r="E294" s="16"/>
      <c r="F294" s="16"/>
    </row>
    <row r="295" spans="1:6" ht="19.95" customHeight="1" x14ac:dyDescent="0.25">
      <c r="A295" s="14" t="s">
        <v>23</v>
      </c>
      <c r="B295" s="15" t="s">
        <v>14</v>
      </c>
      <c r="C295" s="15">
        <v>74.311427711012996</v>
      </c>
      <c r="D295" s="15">
        <v>1970</v>
      </c>
      <c r="E295" s="16"/>
      <c r="F295" s="16"/>
    </row>
    <row r="296" spans="1:6" ht="19.95" customHeight="1" x14ac:dyDescent="0.25">
      <c r="A296" s="14" t="s">
        <v>24</v>
      </c>
      <c r="B296" s="15" t="s">
        <v>14</v>
      </c>
      <c r="C296" s="15">
        <v>19.1603376936907</v>
      </c>
      <c r="D296" s="15">
        <v>1970</v>
      </c>
      <c r="E296" s="16"/>
      <c r="F296" s="16"/>
    </row>
    <row r="297" spans="1:6" ht="19.95" customHeight="1" x14ac:dyDescent="0.25">
      <c r="A297" s="14" t="s">
        <v>25</v>
      </c>
      <c r="B297" s="15" t="s">
        <v>14</v>
      </c>
      <c r="C297" s="15">
        <v>24.246179264766599</v>
      </c>
      <c r="D297" s="15">
        <v>1970</v>
      </c>
      <c r="E297" s="16"/>
      <c r="F297" s="16"/>
    </row>
    <row r="298" spans="1:6" ht="19.95" customHeight="1" x14ac:dyDescent="0.25">
      <c r="A298" s="14" t="s">
        <v>26</v>
      </c>
      <c r="B298" s="15" t="s">
        <v>14</v>
      </c>
      <c r="C298" s="15">
        <v>12.469555617669799</v>
      </c>
      <c r="D298" s="15">
        <v>1970</v>
      </c>
      <c r="E298" s="16"/>
      <c r="F298" s="16"/>
    </row>
    <row r="299" spans="1:6" ht="19.95" customHeight="1" x14ac:dyDescent="0.25">
      <c r="A299" s="14" t="s">
        <v>27</v>
      </c>
      <c r="B299" s="15" t="s">
        <v>14</v>
      </c>
      <c r="C299" s="15"/>
      <c r="D299" s="15">
        <v>1970</v>
      </c>
      <c r="E299" s="16"/>
      <c r="F299" s="16"/>
    </row>
    <row r="300" spans="1:6" ht="19.95" customHeight="1" x14ac:dyDescent="0.25">
      <c r="A300" s="14" t="s">
        <v>28</v>
      </c>
      <c r="B300" s="15" t="s">
        <v>14</v>
      </c>
      <c r="C300" s="15"/>
      <c r="D300" s="15">
        <v>1970</v>
      </c>
      <c r="E300" s="16"/>
      <c r="F300" s="16"/>
    </row>
    <row r="301" spans="1:6" ht="19.95" customHeight="1" x14ac:dyDescent="0.25">
      <c r="A301" s="14" t="s">
        <v>29</v>
      </c>
      <c r="B301" s="15" t="s">
        <v>14</v>
      </c>
      <c r="C301" s="15"/>
      <c r="D301" s="15">
        <v>1970</v>
      </c>
      <c r="E301" s="16"/>
      <c r="F301" s="16"/>
    </row>
    <row r="302" spans="1:6" ht="19.95" customHeight="1" x14ac:dyDescent="0.25">
      <c r="A302" s="14" t="s">
        <v>31</v>
      </c>
      <c r="B302" s="15" t="s">
        <v>14</v>
      </c>
      <c r="C302" s="15">
        <v>4.9041970802919703</v>
      </c>
      <c r="D302" s="15">
        <v>1970</v>
      </c>
      <c r="E302" s="16"/>
      <c r="F302" s="16"/>
    </row>
    <row r="303" spans="1:6" ht="19.95" customHeight="1" x14ac:dyDescent="0.25">
      <c r="A303" s="14" t="s">
        <v>32</v>
      </c>
      <c r="B303" s="15" t="s">
        <v>14</v>
      </c>
      <c r="C303" s="15">
        <v>26.732400887636899</v>
      </c>
      <c r="D303" s="15">
        <v>1970</v>
      </c>
      <c r="E303" s="16"/>
      <c r="F303" s="16"/>
    </row>
    <row r="304" spans="1:6" ht="19.95" customHeight="1" x14ac:dyDescent="0.25">
      <c r="A304" s="14" t="s">
        <v>33</v>
      </c>
      <c r="B304" s="15" t="s">
        <v>14</v>
      </c>
      <c r="C304" s="15">
        <v>10.7723830375582</v>
      </c>
      <c r="D304" s="15">
        <v>1970</v>
      </c>
      <c r="E304" s="16"/>
      <c r="F304" s="16"/>
    </row>
    <row r="305" spans="1:6" ht="19.95" customHeight="1" x14ac:dyDescent="0.25">
      <c r="A305" s="14" t="s">
        <v>34</v>
      </c>
      <c r="B305" s="15" t="s">
        <v>14</v>
      </c>
      <c r="C305" s="15">
        <v>11.505228881167</v>
      </c>
      <c r="D305" s="15">
        <v>1970</v>
      </c>
      <c r="E305" s="16"/>
      <c r="F305" s="16"/>
    </row>
    <row r="306" spans="1:6" ht="19.95" customHeight="1" x14ac:dyDescent="0.25">
      <c r="A306" s="14" t="s">
        <v>35</v>
      </c>
      <c r="B306" s="15" t="s">
        <v>14</v>
      </c>
      <c r="C306" s="15"/>
      <c r="D306" s="15">
        <v>1970</v>
      </c>
      <c r="E306" s="16"/>
      <c r="F306" s="16"/>
    </row>
    <row r="307" spans="1:6" ht="19.95" customHeight="1" x14ac:dyDescent="0.25">
      <c r="A307" s="14" t="s">
        <v>2</v>
      </c>
      <c r="B307" s="15" t="s">
        <v>14</v>
      </c>
      <c r="C307" s="15">
        <v>25.453747072599501</v>
      </c>
      <c r="D307" s="15">
        <v>1970</v>
      </c>
      <c r="E307" s="16"/>
      <c r="F307" s="16"/>
    </row>
    <row r="308" spans="1:6" ht="19.95" customHeight="1" x14ac:dyDescent="0.25">
      <c r="A308" s="14" t="s">
        <v>36</v>
      </c>
      <c r="B308" s="15" t="s">
        <v>14</v>
      </c>
      <c r="C308" s="15"/>
      <c r="D308" s="15">
        <v>1970</v>
      </c>
      <c r="E308" s="16"/>
      <c r="F308" s="16"/>
    </row>
    <row r="309" spans="1:6" ht="19.95" customHeight="1" x14ac:dyDescent="0.25">
      <c r="A309" s="14" t="s">
        <v>37</v>
      </c>
      <c r="B309" s="15" t="s">
        <v>14</v>
      </c>
      <c r="C309" s="15"/>
      <c r="D309" s="15">
        <v>1970</v>
      </c>
      <c r="E309" s="16"/>
      <c r="F309" s="16"/>
    </row>
    <row r="310" spans="1:6" ht="19.95" customHeight="1" x14ac:dyDescent="0.25">
      <c r="A310" s="14" t="s">
        <v>38</v>
      </c>
      <c r="B310" s="15" t="s">
        <v>14</v>
      </c>
      <c r="C310" s="15">
        <v>23.352228520617999</v>
      </c>
      <c r="D310" s="15">
        <v>1970</v>
      </c>
      <c r="E310" s="16"/>
      <c r="F310" s="16"/>
    </row>
    <row r="311" spans="1:6" ht="19.95" customHeight="1" x14ac:dyDescent="0.25">
      <c r="A311" s="14" t="s">
        <v>39</v>
      </c>
      <c r="B311" s="15" t="s">
        <v>14</v>
      </c>
      <c r="C311" s="15"/>
      <c r="D311" s="15">
        <v>1970</v>
      </c>
      <c r="E311" s="16"/>
      <c r="F311" s="16"/>
    </row>
    <row r="312" spans="1:6" ht="19.95" customHeight="1" x14ac:dyDescent="0.25">
      <c r="A312" s="14" t="s">
        <v>40</v>
      </c>
      <c r="B312" s="15" t="s">
        <v>14</v>
      </c>
      <c r="C312" s="15"/>
      <c r="D312" s="15">
        <v>1970</v>
      </c>
      <c r="E312" s="16"/>
      <c r="F312" s="16"/>
    </row>
    <row r="313" spans="1:6" ht="19.95" customHeight="1" x14ac:dyDescent="0.25">
      <c r="A313" s="14" t="s">
        <v>10</v>
      </c>
      <c r="B313" s="15" t="s">
        <v>14</v>
      </c>
      <c r="C313" s="15">
        <v>8.4357498971690994</v>
      </c>
      <c r="D313" s="15">
        <v>1971</v>
      </c>
      <c r="E313" s="16"/>
      <c r="F313" s="16"/>
    </row>
    <row r="314" spans="1:6" ht="19.95" customHeight="1" x14ac:dyDescent="0.25">
      <c r="A314" s="14" t="s">
        <v>13</v>
      </c>
      <c r="B314" s="15" t="s">
        <v>14</v>
      </c>
      <c r="C314" s="15">
        <v>23.018157775206099</v>
      </c>
      <c r="D314" s="15">
        <v>1971</v>
      </c>
      <c r="E314" s="16"/>
      <c r="F314" s="16"/>
    </row>
    <row r="315" spans="1:6" ht="19.95" customHeight="1" x14ac:dyDescent="0.25">
      <c r="A315" s="14" t="s">
        <v>16</v>
      </c>
      <c r="B315" s="15" t="s">
        <v>14</v>
      </c>
      <c r="C315" s="15">
        <v>15.912384843112701</v>
      </c>
      <c r="D315" s="15">
        <v>1971</v>
      </c>
      <c r="E315" s="16"/>
      <c r="F315" s="16"/>
    </row>
    <row r="316" spans="1:6" ht="19.95" customHeight="1" x14ac:dyDescent="0.25">
      <c r="A316" s="14" t="s">
        <v>15</v>
      </c>
      <c r="B316" s="15" t="s">
        <v>14</v>
      </c>
      <c r="C316" s="15"/>
      <c r="D316" s="15">
        <v>1971</v>
      </c>
      <c r="E316" s="16"/>
      <c r="F316" s="16"/>
    </row>
    <row r="317" spans="1:6" ht="19.95" customHeight="1" x14ac:dyDescent="0.25">
      <c r="A317" s="14" t="s">
        <v>17</v>
      </c>
      <c r="B317" s="15" t="s">
        <v>14</v>
      </c>
      <c r="C317" s="15"/>
      <c r="D317" s="15">
        <v>1971</v>
      </c>
      <c r="E317" s="16"/>
      <c r="F317" s="16"/>
    </row>
    <row r="318" spans="1:6" ht="19.95" customHeight="1" x14ac:dyDescent="0.25">
      <c r="A318" s="14" t="s">
        <v>18</v>
      </c>
      <c r="B318" s="15" t="s">
        <v>14</v>
      </c>
      <c r="C318" s="15"/>
      <c r="D318" s="15">
        <v>1971</v>
      </c>
      <c r="E318" s="16"/>
      <c r="F318" s="16"/>
    </row>
    <row r="319" spans="1:6" ht="19.95" customHeight="1" x14ac:dyDescent="0.25">
      <c r="A319" s="14" t="s">
        <v>19</v>
      </c>
      <c r="B319" s="15" t="s">
        <v>14</v>
      </c>
      <c r="C319" s="15"/>
      <c r="D319" s="15">
        <v>1971</v>
      </c>
      <c r="E319" s="16"/>
      <c r="F319" s="16"/>
    </row>
    <row r="320" spans="1:6" ht="19.95" customHeight="1" x14ac:dyDescent="0.25">
      <c r="A320" s="14" t="s">
        <v>20</v>
      </c>
      <c r="B320" s="15" t="s">
        <v>14</v>
      </c>
      <c r="C320" s="15"/>
      <c r="D320" s="15">
        <v>1971</v>
      </c>
      <c r="E320" s="16"/>
      <c r="F320" s="16"/>
    </row>
    <row r="321" spans="1:6" ht="19.95" customHeight="1" x14ac:dyDescent="0.25">
      <c r="A321" s="14" t="s">
        <v>21</v>
      </c>
      <c r="B321" s="15" t="s">
        <v>14</v>
      </c>
      <c r="C321" s="15">
        <v>28.639355102812001</v>
      </c>
      <c r="D321" s="15">
        <v>1971</v>
      </c>
      <c r="E321" s="16"/>
      <c r="F321" s="16"/>
    </row>
    <row r="322" spans="1:6" ht="19.95" customHeight="1" x14ac:dyDescent="0.25">
      <c r="A322" s="14" t="s">
        <v>22</v>
      </c>
      <c r="B322" s="15" t="s">
        <v>14</v>
      </c>
      <c r="C322" s="15"/>
      <c r="D322" s="15">
        <v>1971</v>
      </c>
      <c r="E322" s="16"/>
      <c r="F322" s="16"/>
    </row>
    <row r="323" spans="1:6" ht="19.95" customHeight="1" x14ac:dyDescent="0.25">
      <c r="A323" s="14" t="s">
        <v>23</v>
      </c>
      <c r="B323" s="15" t="s">
        <v>14</v>
      </c>
      <c r="C323" s="15">
        <v>73.724223970561894</v>
      </c>
      <c r="D323" s="15">
        <v>1971</v>
      </c>
      <c r="E323" s="16"/>
      <c r="F323" s="16"/>
    </row>
    <row r="324" spans="1:6" ht="19.95" customHeight="1" x14ac:dyDescent="0.25">
      <c r="A324" s="14" t="s">
        <v>24</v>
      </c>
      <c r="B324" s="15" t="s">
        <v>14</v>
      </c>
      <c r="C324" s="15">
        <v>14.4446683335605</v>
      </c>
      <c r="D324" s="15">
        <v>1971</v>
      </c>
      <c r="E324" s="16"/>
      <c r="F324" s="16"/>
    </row>
    <row r="325" spans="1:6" ht="19.95" customHeight="1" x14ac:dyDescent="0.25">
      <c r="A325" s="14" t="s">
        <v>25</v>
      </c>
      <c r="B325" s="15" t="s">
        <v>14</v>
      </c>
      <c r="C325" s="15">
        <v>23.451910408432099</v>
      </c>
      <c r="D325" s="15">
        <v>1971</v>
      </c>
      <c r="E325" s="16"/>
      <c r="F325" s="16"/>
    </row>
    <row r="326" spans="1:6" ht="19.95" customHeight="1" x14ac:dyDescent="0.25">
      <c r="A326" s="14" t="s">
        <v>26</v>
      </c>
      <c r="B326" s="15" t="s">
        <v>14</v>
      </c>
      <c r="C326" s="15">
        <v>13.4159110067238</v>
      </c>
      <c r="D326" s="15">
        <v>1971</v>
      </c>
      <c r="E326" s="16"/>
      <c r="F326" s="16"/>
    </row>
    <row r="327" spans="1:6" ht="19.95" customHeight="1" x14ac:dyDescent="0.25">
      <c r="A327" s="14" t="s">
        <v>27</v>
      </c>
      <c r="B327" s="15" t="s">
        <v>14</v>
      </c>
      <c r="C327" s="15"/>
      <c r="D327" s="15">
        <v>1971</v>
      </c>
      <c r="E327" s="16"/>
      <c r="F327" s="16"/>
    </row>
    <row r="328" spans="1:6" ht="19.95" customHeight="1" x14ac:dyDescent="0.25">
      <c r="A328" s="14" t="s">
        <v>28</v>
      </c>
      <c r="B328" s="15" t="s">
        <v>14</v>
      </c>
      <c r="C328" s="15"/>
      <c r="D328" s="15">
        <v>1971</v>
      </c>
      <c r="E328" s="16"/>
      <c r="F328" s="16"/>
    </row>
    <row r="329" spans="1:6" ht="19.95" customHeight="1" x14ac:dyDescent="0.25">
      <c r="A329" s="14" t="s">
        <v>29</v>
      </c>
      <c r="B329" s="15" t="s">
        <v>14</v>
      </c>
      <c r="C329" s="15"/>
      <c r="D329" s="15">
        <v>1971</v>
      </c>
      <c r="E329" s="16"/>
      <c r="F329" s="16"/>
    </row>
    <row r="330" spans="1:6" ht="19.95" customHeight="1" x14ac:dyDescent="0.25">
      <c r="A330" s="14" t="s">
        <v>31</v>
      </c>
      <c r="B330" s="15" t="s">
        <v>14</v>
      </c>
      <c r="C330" s="15">
        <v>5.4038932466371303</v>
      </c>
      <c r="D330" s="15">
        <v>1971</v>
      </c>
      <c r="E330" s="16"/>
      <c r="F330" s="16"/>
    </row>
    <row r="331" spans="1:6" ht="19.95" customHeight="1" x14ac:dyDescent="0.25">
      <c r="A331" s="14" t="s">
        <v>32</v>
      </c>
      <c r="B331" s="15" t="s">
        <v>14</v>
      </c>
      <c r="C331" s="15">
        <v>26.299689809499998</v>
      </c>
      <c r="D331" s="15">
        <v>1971</v>
      </c>
      <c r="E331" s="16"/>
      <c r="F331" s="16"/>
    </row>
    <row r="332" spans="1:6" ht="19.95" customHeight="1" x14ac:dyDescent="0.25">
      <c r="A332" s="14" t="s">
        <v>33</v>
      </c>
      <c r="B332" s="15" t="s">
        <v>14</v>
      </c>
      <c r="C332" s="15">
        <v>12.3678397656615</v>
      </c>
      <c r="D332" s="15">
        <v>1971</v>
      </c>
      <c r="E332" s="16"/>
      <c r="F332" s="16"/>
    </row>
    <row r="333" spans="1:6" ht="19.95" customHeight="1" x14ac:dyDescent="0.25">
      <c r="A333" s="14" t="s">
        <v>34</v>
      </c>
      <c r="B333" s="15" t="s">
        <v>14</v>
      </c>
      <c r="C333" s="15">
        <v>10.211426634483599</v>
      </c>
      <c r="D333" s="15">
        <v>1971</v>
      </c>
      <c r="E333" s="16"/>
      <c r="F333" s="16"/>
    </row>
    <row r="334" spans="1:6" ht="19.95" customHeight="1" x14ac:dyDescent="0.25">
      <c r="A334" s="14" t="s">
        <v>35</v>
      </c>
      <c r="B334" s="15" t="s">
        <v>14</v>
      </c>
      <c r="C334" s="15"/>
      <c r="D334" s="15">
        <v>1971</v>
      </c>
      <c r="E334" s="16"/>
      <c r="F334" s="16"/>
    </row>
    <row r="335" spans="1:6" ht="19.95" customHeight="1" x14ac:dyDescent="0.25">
      <c r="A335" s="14" t="s">
        <v>2</v>
      </c>
      <c r="B335" s="15" t="s">
        <v>14</v>
      </c>
      <c r="C335" s="15">
        <v>24.612099644128101</v>
      </c>
      <c r="D335" s="15">
        <v>1971</v>
      </c>
      <c r="E335" s="16"/>
      <c r="F335" s="16"/>
    </row>
    <row r="336" spans="1:6" ht="19.95" customHeight="1" x14ac:dyDescent="0.25">
      <c r="A336" s="14" t="s">
        <v>36</v>
      </c>
      <c r="B336" s="15" t="s">
        <v>14</v>
      </c>
      <c r="C336" s="15"/>
      <c r="D336" s="15">
        <v>1971</v>
      </c>
      <c r="E336" s="16"/>
      <c r="F336" s="16"/>
    </row>
    <row r="337" spans="1:6" ht="19.95" customHeight="1" x14ac:dyDescent="0.25">
      <c r="A337" s="14" t="s">
        <v>37</v>
      </c>
      <c r="B337" s="15" t="s">
        <v>14</v>
      </c>
      <c r="C337" s="15"/>
      <c r="D337" s="15">
        <v>1971</v>
      </c>
      <c r="E337" s="16"/>
      <c r="F337" s="16"/>
    </row>
    <row r="338" spans="1:6" ht="19.95" customHeight="1" x14ac:dyDescent="0.25">
      <c r="A338" s="14" t="s">
        <v>38</v>
      </c>
      <c r="B338" s="15" t="s">
        <v>14</v>
      </c>
      <c r="C338" s="15">
        <v>19.816260001975699</v>
      </c>
      <c r="D338" s="15">
        <v>1971</v>
      </c>
      <c r="E338" s="16"/>
      <c r="F338" s="16"/>
    </row>
    <row r="339" spans="1:6" ht="19.95" customHeight="1" x14ac:dyDescent="0.25">
      <c r="A339" s="14" t="s">
        <v>39</v>
      </c>
      <c r="B339" s="15" t="s">
        <v>14</v>
      </c>
      <c r="C339" s="15"/>
      <c r="D339" s="15">
        <v>1971</v>
      </c>
      <c r="E339" s="16"/>
      <c r="F339" s="16"/>
    </row>
    <row r="340" spans="1:6" ht="19.95" customHeight="1" x14ac:dyDescent="0.25">
      <c r="A340" s="14" t="s">
        <v>40</v>
      </c>
      <c r="B340" s="15" t="s">
        <v>14</v>
      </c>
      <c r="C340" s="15"/>
      <c r="D340" s="15">
        <v>1971</v>
      </c>
      <c r="E340" s="16"/>
      <c r="F340" s="16"/>
    </row>
    <row r="341" spans="1:6" ht="19.95" customHeight="1" x14ac:dyDescent="0.25">
      <c r="A341" s="14" t="s">
        <v>10</v>
      </c>
      <c r="B341" s="15" t="s">
        <v>14</v>
      </c>
      <c r="C341" s="15">
        <v>11.7344434462895</v>
      </c>
      <c r="D341" s="15">
        <v>1972</v>
      </c>
      <c r="E341" s="16"/>
      <c r="F341" s="16"/>
    </row>
    <row r="342" spans="1:6" ht="19.95" customHeight="1" x14ac:dyDescent="0.25">
      <c r="A342" s="14" t="s">
        <v>13</v>
      </c>
      <c r="B342" s="15" t="s">
        <v>14</v>
      </c>
      <c r="C342" s="15">
        <v>20.391869575477902</v>
      </c>
      <c r="D342" s="15">
        <v>1972</v>
      </c>
      <c r="E342" s="16"/>
      <c r="F342" s="16"/>
    </row>
    <row r="343" spans="1:6" ht="19.95" customHeight="1" x14ac:dyDescent="0.25">
      <c r="A343" s="14" t="s">
        <v>16</v>
      </c>
      <c r="B343" s="15" t="s">
        <v>14</v>
      </c>
      <c r="C343" s="15">
        <v>14.565098290729001</v>
      </c>
      <c r="D343" s="15">
        <v>1972</v>
      </c>
      <c r="E343" s="16"/>
      <c r="F343" s="16"/>
    </row>
    <row r="344" spans="1:6" ht="19.95" customHeight="1" x14ac:dyDescent="0.25">
      <c r="A344" s="14" t="s">
        <v>15</v>
      </c>
      <c r="B344" s="15" t="s">
        <v>14</v>
      </c>
      <c r="C344" s="15"/>
      <c r="D344" s="15">
        <v>1972</v>
      </c>
      <c r="E344" s="16"/>
      <c r="F344" s="16"/>
    </row>
    <row r="345" spans="1:6" ht="19.95" customHeight="1" x14ac:dyDescent="0.25">
      <c r="A345" s="14" t="s">
        <v>17</v>
      </c>
      <c r="B345" s="15" t="s">
        <v>14</v>
      </c>
      <c r="C345" s="15"/>
      <c r="D345" s="15">
        <v>1972</v>
      </c>
      <c r="E345" s="16"/>
      <c r="F345" s="16"/>
    </row>
    <row r="346" spans="1:6" ht="19.95" customHeight="1" x14ac:dyDescent="0.25">
      <c r="A346" s="14" t="s">
        <v>18</v>
      </c>
      <c r="B346" s="15" t="s">
        <v>14</v>
      </c>
      <c r="C346" s="15"/>
      <c r="D346" s="15">
        <v>1972</v>
      </c>
      <c r="E346" s="16"/>
      <c r="F346" s="16"/>
    </row>
    <row r="347" spans="1:6" ht="19.95" customHeight="1" x14ac:dyDescent="0.25">
      <c r="A347" s="14" t="s">
        <v>19</v>
      </c>
      <c r="B347" s="15" t="s">
        <v>14</v>
      </c>
      <c r="C347" s="15"/>
      <c r="D347" s="15">
        <v>1972</v>
      </c>
      <c r="E347" s="16"/>
      <c r="F347" s="16"/>
    </row>
    <row r="348" spans="1:6" ht="19.95" customHeight="1" x14ac:dyDescent="0.25">
      <c r="A348" s="14" t="s">
        <v>20</v>
      </c>
      <c r="B348" s="15" t="s">
        <v>14</v>
      </c>
      <c r="C348" s="15"/>
      <c r="D348" s="15">
        <v>1972</v>
      </c>
      <c r="E348" s="16"/>
      <c r="F348" s="16"/>
    </row>
    <row r="349" spans="1:6" ht="19.95" customHeight="1" x14ac:dyDescent="0.25">
      <c r="A349" s="14" t="s">
        <v>21</v>
      </c>
      <c r="B349" s="15" t="s">
        <v>14</v>
      </c>
      <c r="C349" s="15">
        <v>26.5878288599522</v>
      </c>
      <c r="D349" s="15">
        <v>1972</v>
      </c>
      <c r="E349" s="16"/>
      <c r="F349" s="16"/>
    </row>
    <row r="350" spans="1:6" ht="19.95" customHeight="1" x14ac:dyDescent="0.25">
      <c r="A350" s="14" t="s">
        <v>22</v>
      </c>
      <c r="B350" s="15" t="s">
        <v>14</v>
      </c>
      <c r="C350" s="15"/>
      <c r="D350" s="15">
        <v>1972</v>
      </c>
      <c r="E350" s="16"/>
      <c r="F350" s="16"/>
    </row>
    <row r="351" spans="1:6" ht="19.95" customHeight="1" x14ac:dyDescent="0.25">
      <c r="A351" s="14" t="s">
        <v>23</v>
      </c>
      <c r="B351" s="15" t="s">
        <v>14</v>
      </c>
      <c r="C351" s="15">
        <v>74.654059516759105</v>
      </c>
      <c r="D351" s="15">
        <v>1972</v>
      </c>
      <c r="E351" s="16"/>
      <c r="F351" s="16"/>
    </row>
    <row r="352" spans="1:6" ht="19.95" customHeight="1" x14ac:dyDescent="0.25">
      <c r="A352" s="14" t="s">
        <v>24</v>
      </c>
      <c r="B352" s="15" t="s">
        <v>14</v>
      </c>
      <c r="C352" s="15">
        <v>14.262974393354799</v>
      </c>
      <c r="D352" s="15">
        <v>1972</v>
      </c>
      <c r="E352" s="16"/>
      <c r="F352" s="16"/>
    </row>
    <row r="353" spans="1:6" ht="19.95" customHeight="1" x14ac:dyDescent="0.25">
      <c r="A353" s="14" t="s">
        <v>25</v>
      </c>
      <c r="B353" s="15" t="s">
        <v>14</v>
      </c>
      <c r="C353" s="15">
        <v>23.287250384024599</v>
      </c>
      <c r="D353" s="15">
        <v>1972</v>
      </c>
      <c r="E353" s="16"/>
      <c r="F353" s="16"/>
    </row>
    <row r="354" spans="1:6" ht="19.95" customHeight="1" x14ac:dyDescent="0.25">
      <c r="A354" s="14" t="s">
        <v>26</v>
      </c>
      <c r="B354" s="15" t="s">
        <v>14</v>
      </c>
      <c r="C354" s="15">
        <v>10.029272804745901</v>
      </c>
      <c r="D354" s="15">
        <v>1972</v>
      </c>
      <c r="E354" s="16"/>
      <c r="F354" s="16"/>
    </row>
    <row r="355" spans="1:6" ht="19.95" customHeight="1" x14ac:dyDescent="0.25">
      <c r="A355" s="14" t="s">
        <v>27</v>
      </c>
      <c r="B355" s="15" t="s">
        <v>14</v>
      </c>
      <c r="C355" s="15"/>
      <c r="D355" s="15">
        <v>1972</v>
      </c>
      <c r="E355" s="16"/>
      <c r="F355" s="16"/>
    </row>
    <row r="356" spans="1:6" ht="19.95" customHeight="1" x14ac:dyDescent="0.25">
      <c r="A356" s="14" t="s">
        <v>28</v>
      </c>
      <c r="B356" s="15" t="s">
        <v>14</v>
      </c>
      <c r="C356" s="15"/>
      <c r="D356" s="15">
        <v>1972</v>
      </c>
      <c r="E356" s="16"/>
      <c r="F356" s="16"/>
    </row>
    <row r="357" spans="1:6" ht="19.95" customHeight="1" x14ac:dyDescent="0.25">
      <c r="A357" s="14" t="s">
        <v>29</v>
      </c>
      <c r="B357" s="15" t="s">
        <v>14</v>
      </c>
      <c r="C357" s="15"/>
      <c r="D357" s="15">
        <v>1972</v>
      </c>
      <c r="E357" s="16"/>
      <c r="F357" s="16"/>
    </row>
    <row r="358" spans="1:6" ht="19.95" customHeight="1" x14ac:dyDescent="0.25">
      <c r="A358" s="14" t="s">
        <v>31</v>
      </c>
      <c r="B358" s="15" t="s">
        <v>14</v>
      </c>
      <c r="C358" s="15">
        <v>5.6611049990893996</v>
      </c>
      <c r="D358" s="15">
        <v>1972</v>
      </c>
      <c r="E358" s="16"/>
      <c r="F358" s="16"/>
    </row>
    <row r="359" spans="1:6" ht="19.95" customHeight="1" x14ac:dyDescent="0.25">
      <c r="A359" s="14" t="s">
        <v>32</v>
      </c>
      <c r="B359" s="15" t="s">
        <v>14</v>
      </c>
      <c r="C359" s="15">
        <v>35.289251539244503</v>
      </c>
      <c r="D359" s="15">
        <v>1972</v>
      </c>
      <c r="E359" s="16"/>
      <c r="F359" s="16"/>
    </row>
    <row r="360" spans="1:6" ht="19.95" customHeight="1" x14ac:dyDescent="0.25">
      <c r="A360" s="14" t="s">
        <v>33</v>
      </c>
      <c r="B360" s="15" t="s">
        <v>14</v>
      </c>
      <c r="C360" s="15">
        <v>14.2137063199685</v>
      </c>
      <c r="D360" s="15">
        <v>1972</v>
      </c>
      <c r="E360" s="16"/>
      <c r="F360" s="16"/>
    </row>
    <row r="361" spans="1:6" ht="19.95" customHeight="1" x14ac:dyDescent="0.25">
      <c r="A361" s="14" t="s">
        <v>34</v>
      </c>
      <c r="B361" s="15" t="s">
        <v>14</v>
      </c>
      <c r="C361" s="15">
        <v>8.2819386178656806</v>
      </c>
      <c r="D361" s="15">
        <v>1972</v>
      </c>
      <c r="E361" s="16"/>
      <c r="F361" s="16"/>
    </row>
    <row r="362" spans="1:6" ht="19.95" customHeight="1" x14ac:dyDescent="0.25">
      <c r="A362" s="14" t="s">
        <v>35</v>
      </c>
      <c r="B362" s="15" t="s">
        <v>14</v>
      </c>
      <c r="C362" s="15"/>
      <c r="D362" s="15">
        <v>1972</v>
      </c>
      <c r="E362" s="16"/>
      <c r="F362" s="16"/>
    </row>
    <row r="363" spans="1:6" ht="19.95" customHeight="1" x14ac:dyDescent="0.25">
      <c r="A363" s="14" t="s">
        <v>2</v>
      </c>
      <c r="B363" s="15" t="s">
        <v>14</v>
      </c>
      <c r="C363" s="15">
        <v>22.325703417065601</v>
      </c>
      <c r="D363" s="15">
        <v>1972</v>
      </c>
      <c r="E363" s="16"/>
      <c r="F363" s="16"/>
    </row>
    <row r="364" spans="1:6" ht="19.95" customHeight="1" x14ac:dyDescent="0.25">
      <c r="A364" s="14" t="s">
        <v>36</v>
      </c>
      <c r="B364" s="15" t="s">
        <v>14</v>
      </c>
      <c r="C364" s="15"/>
      <c r="D364" s="15">
        <v>1972</v>
      </c>
      <c r="E364" s="16"/>
      <c r="F364" s="16"/>
    </row>
    <row r="365" spans="1:6" ht="19.95" customHeight="1" x14ac:dyDescent="0.25">
      <c r="A365" s="14" t="s">
        <v>37</v>
      </c>
      <c r="B365" s="15" t="s">
        <v>14</v>
      </c>
      <c r="C365" s="15"/>
      <c r="D365" s="15">
        <v>1972</v>
      </c>
      <c r="E365" s="16"/>
      <c r="F365" s="16"/>
    </row>
    <row r="366" spans="1:6" ht="19.95" customHeight="1" x14ac:dyDescent="0.25">
      <c r="A366" s="14" t="s">
        <v>38</v>
      </c>
      <c r="B366" s="15" t="s">
        <v>14</v>
      </c>
      <c r="C366" s="15">
        <v>19.389671361502302</v>
      </c>
      <c r="D366" s="15">
        <v>1972</v>
      </c>
      <c r="E366" s="16"/>
      <c r="F366" s="16"/>
    </row>
    <row r="367" spans="1:6" ht="19.95" customHeight="1" x14ac:dyDescent="0.25">
      <c r="A367" s="14" t="s">
        <v>39</v>
      </c>
      <c r="B367" s="15" t="s">
        <v>14</v>
      </c>
      <c r="C367" s="15"/>
      <c r="D367" s="15">
        <v>1972</v>
      </c>
      <c r="E367" s="16"/>
      <c r="F367" s="16"/>
    </row>
    <row r="368" spans="1:6" ht="19.95" customHeight="1" x14ac:dyDescent="0.25">
      <c r="A368" s="14" t="s">
        <v>40</v>
      </c>
      <c r="B368" s="15" t="s">
        <v>14</v>
      </c>
      <c r="C368" s="15"/>
      <c r="D368" s="15">
        <v>1972</v>
      </c>
      <c r="E368" s="16"/>
      <c r="F368" s="16"/>
    </row>
    <row r="369" spans="1:6" ht="19.95" customHeight="1" x14ac:dyDescent="0.25">
      <c r="A369" s="14" t="s">
        <v>10</v>
      </c>
      <c r="B369" s="15" t="s">
        <v>14</v>
      </c>
      <c r="C369" s="15">
        <v>11.016173203969601</v>
      </c>
      <c r="D369" s="15">
        <v>1973</v>
      </c>
      <c r="E369" s="16"/>
      <c r="F369" s="16"/>
    </row>
    <row r="370" spans="1:6" ht="19.95" customHeight="1" x14ac:dyDescent="0.25">
      <c r="A370" s="14" t="s">
        <v>13</v>
      </c>
      <c r="B370" s="15" t="s">
        <v>14</v>
      </c>
      <c r="C370" s="15">
        <v>20.6937259205293</v>
      </c>
      <c r="D370" s="15">
        <v>1973</v>
      </c>
      <c r="E370" s="16"/>
      <c r="F370" s="16"/>
    </row>
    <row r="371" spans="1:6" ht="19.95" customHeight="1" x14ac:dyDescent="0.25">
      <c r="A371" s="14" t="s">
        <v>16</v>
      </c>
      <c r="B371" s="15" t="s">
        <v>14</v>
      </c>
      <c r="C371" s="15">
        <v>15.7287774480533</v>
      </c>
      <c r="D371" s="15">
        <v>1973</v>
      </c>
      <c r="E371" s="16"/>
      <c r="F371" s="16"/>
    </row>
    <row r="372" spans="1:6" ht="19.95" customHeight="1" x14ac:dyDescent="0.25">
      <c r="A372" s="14" t="s">
        <v>15</v>
      </c>
      <c r="B372" s="15" t="s">
        <v>14</v>
      </c>
      <c r="C372" s="15"/>
      <c r="D372" s="15">
        <v>1973</v>
      </c>
      <c r="E372" s="16"/>
      <c r="F372" s="16"/>
    </row>
    <row r="373" spans="1:6" ht="19.95" customHeight="1" x14ac:dyDescent="0.25">
      <c r="A373" s="14" t="s">
        <v>17</v>
      </c>
      <c r="B373" s="15" t="s">
        <v>14</v>
      </c>
      <c r="C373" s="15"/>
      <c r="D373" s="15">
        <v>1973</v>
      </c>
      <c r="E373" s="16"/>
      <c r="F373" s="16"/>
    </row>
    <row r="374" spans="1:6" ht="19.95" customHeight="1" x14ac:dyDescent="0.25">
      <c r="A374" s="14" t="s">
        <v>18</v>
      </c>
      <c r="B374" s="15" t="s">
        <v>14</v>
      </c>
      <c r="C374" s="15"/>
      <c r="D374" s="15">
        <v>1973</v>
      </c>
      <c r="E374" s="16"/>
      <c r="F374" s="16"/>
    </row>
    <row r="375" spans="1:6" ht="19.95" customHeight="1" x14ac:dyDescent="0.25">
      <c r="A375" s="14" t="s">
        <v>19</v>
      </c>
      <c r="B375" s="15" t="s">
        <v>14</v>
      </c>
      <c r="C375" s="15"/>
      <c r="D375" s="15">
        <v>1973</v>
      </c>
      <c r="E375" s="16"/>
      <c r="F375" s="16"/>
    </row>
    <row r="376" spans="1:6" ht="19.95" customHeight="1" x14ac:dyDescent="0.25">
      <c r="A376" s="14" t="s">
        <v>20</v>
      </c>
      <c r="B376" s="15" t="s">
        <v>14</v>
      </c>
      <c r="C376" s="15"/>
      <c r="D376" s="15">
        <v>1973</v>
      </c>
      <c r="E376" s="16"/>
      <c r="F376" s="16"/>
    </row>
    <row r="377" spans="1:6" ht="19.95" customHeight="1" x14ac:dyDescent="0.25">
      <c r="A377" s="14" t="s">
        <v>21</v>
      </c>
      <c r="B377" s="15" t="s">
        <v>14</v>
      </c>
      <c r="C377" s="15">
        <v>27.393834680632999</v>
      </c>
      <c r="D377" s="15">
        <v>1973</v>
      </c>
      <c r="E377" s="16"/>
      <c r="F377" s="16"/>
    </row>
    <row r="378" spans="1:6" ht="19.95" customHeight="1" x14ac:dyDescent="0.25">
      <c r="A378" s="14" t="s">
        <v>22</v>
      </c>
      <c r="B378" s="15" t="s">
        <v>14</v>
      </c>
      <c r="C378" s="15"/>
      <c r="D378" s="15">
        <v>1973</v>
      </c>
      <c r="E378" s="16"/>
      <c r="F378" s="16"/>
    </row>
    <row r="379" spans="1:6" ht="19.95" customHeight="1" x14ac:dyDescent="0.25">
      <c r="A379" s="14" t="s">
        <v>23</v>
      </c>
      <c r="B379" s="15" t="s">
        <v>14</v>
      </c>
      <c r="C379" s="15">
        <v>85.252409564297693</v>
      </c>
      <c r="D379" s="15">
        <v>1973</v>
      </c>
      <c r="E379" s="16"/>
      <c r="F379" s="16"/>
    </row>
    <row r="380" spans="1:6" ht="19.95" customHeight="1" x14ac:dyDescent="0.25">
      <c r="A380" s="14" t="s">
        <v>24</v>
      </c>
      <c r="B380" s="15" t="s">
        <v>14</v>
      </c>
      <c r="C380" s="15">
        <v>14.2478557674161</v>
      </c>
      <c r="D380" s="15">
        <v>1973</v>
      </c>
      <c r="E380" s="16"/>
      <c r="F380" s="16"/>
    </row>
    <row r="381" spans="1:6" ht="19.95" customHeight="1" x14ac:dyDescent="0.25">
      <c r="A381" s="14" t="s">
        <v>25</v>
      </c>
      <c r="B381" s="15" t="s">
        <v>14</v>
      </c>
      <c r="C381" s="15">
        <v>27.6373626373626</v>
      </c>
      <c r="D381" s="15">
        <v>1973</v>
      </c>
      <c r="E381" s="16"/>
      <c r="F381" s="16"/>
    </row>
    <row r="382" spans="1:6" ht="19.95" customHeight="1" x14ac:dyDescent="0.25">
      <c r="A382" s="14" t="s">
        <v>26</v>
      </c>
      <c r="B382" s="15" t="s">
        <v>14</v>
      </c>
      <c r="C382" s="15">
        <v>10.187919348142</v>
      </c>
      <c r="D382" s="15">
        <v>1973</v>
      </c>
      <c r="E382" s="16"/>
      <c r="F382" s="16"/>
    </row>
    <row r="383" spans="1:6" ht="19.95" customHeight="1" x14ac:dyDescent="0.25">
      <c r="A383" s="14" t="s">
        <v>27</v>
      </c>
      <c r="B383" s="15" t="s">
        <v>14</v>
      </c>
      <c r="C383" s="15"/>
      <c r="D383" s="15">
        <v>1973</v>
      </c>
      <c r="E383" s="16"/>
      <c r="F383" s="16"/>
    </row>
    <row r="384" spans="1:6" ht="19.95" customHeight="1" x14ac:dyDescent="0.25">
      <c r="A384" s="14" t="s">
        <v>28</v>
      </c>
      <c r="B384" s="15" t="s">
        <v>14</v>
      </c>
      <c r="C384" s="15"/>
      <c r="D384" s="15">
        <v>1973</v>
      </c>
      <c r="E384" s="16"/>
      <c r="F384" s="16"/>
    </row>
    <row r="385" spans="1:6" ht="19.95" customHeight="1" x14ac:dyDescent="0.25">
      <c r="A385" s="14" t="s">
        <v>29</v>
      </c>
      <c r="B385" s="15" t="s">
        <v>14</v>
      </c>
      <c r="C385" s="15"/>
      <c r="D385" s="15">
        <v>1973</v>
      </c>
      <c r="E385" s="16"/>
      <c r="F385" s="16"/>
    </row>
    <row r="386" spans="1:6" ht="19.95" customHeight="1" x14ac:dyDescent="0.25">
      <c r="A386" s="14" t="s">
        <v>31</v>
      </c>
      <c r="B386" s="15" t="s">
        <v>14</v>
      </c>
      <c r="C386" s="15">
        <v>6.61049226159124</v>
      </c>
      <c r="D386" s="15">
        <v>1973</v>
      </c>
      <c r="E386" s="16"/>
      <c r="F386" s="16"/>
    </row>
    <row r="387" spans="1:6" ht="19.95" customHeight="1" x14ac:dyDescent="0.25">
      <c r="A387" s="14" t="s">
        <v>32</v>
      </c>
      <c r="B387" s="15" t="s">
        <v>14</v>
      </c>
      <c r="C387" s="15">
        <v>28.210319366030799</v>
      </c>
      <c r="D387" s="15">
        <v>1973</v>
      </c>
      <c r="E387" s="16"/>
      <c r="F387" s="16"/>
    </row>
    <row r="388" spans="1:6" ht="19.95" customHeight="1" x14ac:dyDescent="0.25">
      <c r="A388" s="14" t="s">
        <v>33</v>
      </c>
      <c r="B388" s="15" t="s">
        <v>14</v>
      </c>
      <c r="C388" s="15">
        <v>15.5147694594512</v>
      </c>
      <c r="D388" s="15">
        <v>1973</v>
      </c>
      <c r="E388" s="16"/>
      <c r="F388" s="16"/>
    </row>
    <row r="389" spans="1:6" ht="19.95" customHeight="1" x14ac:dyDescent="0.25">
      <c r="A389" s="14" t="s">
        <v>34</v>
      </c>
      <c r="B389" s="15" t="s">
        <v>14</v>
      </c>
      <c r="C389" s="15">
        <v>11.5983615409165</v>
      </c>
      <c r="D389" s="15">
        <v>1973</v>
      </c>
      <c r="E389" s="16"/>
      <c r="F389" s="16"/>
    </row>
    <row r="390" spans="1:6" ht="19.95" customHeight="1" x14ac:dyDescent="0.25">
      <c r="A390" s="14" t="s">
        <v>35</v>
      </c>
      <c r="B390" s="15" t="s">
        <v>14</v>
      </c>
      <c r="C390" s="15"/>
      <c r="D390" s="15">
        <v>1973</v>
      </c>
      <c r="E390" s="16"/>
      <c r="F390" s="16"/>
    </row>
    <row r="391" spans="1:6" ht="19.95" customHeight="1" x14ac:dyDescent="0.25">
      <c r="A391" s="14" t="s">
        <v>2</v>
      </c>
      <c r="B391" s="15" t="s">
        <v>14</v>
      </c>
      <c r="C391" s="15">
        <v>24.3479678330798</v>
      </c>
      <c r="D391" s="15">
        <v>1973</v>
      </c>
      <c r="E391" s="16"/>
      <c r="F391" s="16"/>
    </row>
    <row r="392" spans="1:6" ht="19.95" customHeight="1" x14ac:dyDescent="0.25">
      <c r="A392" s="14" t="s">
        <v>36</v>
      </c>
      <c r="B392" s="15" t="s">
        <v>14</v>
      </c>
      <c r="C392" s="15"/>
      <c r="D392" s="15">
        <v>1973</v>
      </c>
      <c r="E392" s="16"/>
      <c r="F392" s="16"/>
    </row>
    <row r="393" spans="1:6" ht="19.95" customHeight="1" x14ac:dyDescent="0.25">
      <c r="A393" s="14" t="s">
        <v>37</v>
      </c>
      <c r="B393" s="15" t="s">
        <v>14</v>
      </c>
      <c r="C393" s="15"/>
      <c r="D393" s="15">
        <v>1973</v>
      </c>
      <c r="E393" s="16"/>
      <c r="F393" s="16"/>
    </row>
    <row r="394" spans="1:6" ht="19.95" customHeight="1" x14ac:dyDescent="0.25">
      <c r="A394" s="14" t="s">
        <v>38</v>
      </c>
      <c r="B394" s="15" t="s">
        <v>14</v>
      </c>
      <c r="C394" s="15">
        <v>16.551497203027299</v>
      </c>
      <c r="D394" s="15">
        <v>1973</v>
      </c>
      <c r="E394" s="16"/>
      <c r="F394" s="16"/>
    </row>
    <row r="395" spans="1:6" ht="19.95" customHeight="1" x14ac:dyDescent="0.25">
      <c r="A395" s="14" t="s">
        <v>39</v>
      </c>
      <c r="B395" s="15" t="s">
        <v>14</v>
      </c>
      <c r="C395" s="15"/>
      <c r="D395" s="15">
        <v>1973</v>
      </c>
      <c r="E395" s="16"/>
      <c r="F395" s="16"/>
    </row>
    <row r="396" spans="1:6" ht="19.95" customHeight="1" x14ac:dyDescent="0.25">
      <c r="A396" s="14" t="s">
        <v>40</v>
      </c>
      <c r="B396" s="15" t="s">
        <v>14</v>
      </c>
      <c r="C396" s="15"/>
      <c r="D396" s="15">
        <v>1973</v>
      </c>
      <c r="E396" s="16"/>
      <c r="F396" s="16"/>
    </row>
    <row r="397" spans="1:6" ht="19.95" customHeight="1" x14ac:dyDescent="0.25">
      <c r="A397" s="14" t="s">
        <v>10</v>
      </c>
      <c r="B397" s="15" t="s">
        <v>14</v>
      </c>
      <c r="C397" s="15">
        <v>9.7533974512219803</v>
      </c>
      <c r="D397" s="15">
        <v>1974</v>
      </c>
      <c r="E397" s="16"/>
      <c r="F397" s="16"/>
    </row>
    <row r="398" spans="1:6" ht="19.95" customHeight="1" x14ac:dyDescent="0.25">
      <c r="A398" s="14" t="s">
        <v>13</v>
      </c>
      <c r="B398" s="15" t="s">
        <v>14</v>
      </c>
      <c r="C398" s="15">
        <v>25.438089807625499</v>
      </c>
      <c r="D398" s="15">
        <v>1974</v>
      </c>
      <c r="E398" s="16"/>
      <c r="F398" s="16"/>
    </row>
    <row r="399" spans="1:6" ht="19.95" customHeight="1" x14ac:dyDescent="0.25">
      <c r="A399" s="14" t="s">
        <v>16</v>
      </c>
      <c r="B399" s="15" t="s">
        <v>14</v>
      </c>
      <c r="C399" s="15">
        <v>18.391080709713201</v>
      </c>
      <c r="D399" s="15">
        <v>1974</v>
      </c>
      <c r="E399" s="16"/>
      <c r="F399" s="16"/>
    </row>
    <row r="400" spans="1:6" ht="19.95" customHeight="1" x14ac:dyDescent="0.25">
      <c r="A400" s="14" t="s">
        <v>15</v>
      </c>
      <c r="B400" s="15" t="s">
        <v>14</v>
      </c>
      <c r="C400" s="15"/>
      <c r="D400" s="15">
        <v>1974</v>
      </c>
      <c r="E400" s="16"/>
      <c r="F400" s="16"/>
    </row>
    <row r="401" spans="1:6" ht="19.95" customHeight="1" x14ac:dyDescent="0.25">
      <c r="A401" s="14" t="s">
        <v>17</v>
      </c>
      <c r="B401" s="15" t="s">
        <v>14</v>
      </c>
      <c r="C401" s="15"/>
      <c r="D401" s="15">
        <v>1974</v>
      </c>
      <c r="E401" s="16"/>
      <c r="F401" s="16"/>
    </row>
    <row r="402" spans="1:6" ht="19.95" customHeight="1" x14ac:dyDescent="0.25">
      <c r="A402" s="14" t="s">
        <v>18</v>
      </c>
      <c r="B402" s="15" t="s">
        <v>14</v>
      </c>
      <c r="C402" s="15"/>
      <c r="D402" s="15">
        <v>1974</v>
      </c>
      <c r="E402" s="16"/>
      <c r="F402" s="16"/>
    </row>
    <row r="403" spans="1:6" ht="19.95" customHeight="1" x14ac:dyDescent="0.25">
      <c r="A403" s="14" t="s">
        <v>19</v>
      </c>
      <c r="B403" s="15" t="s">
        <v>14</v>
      </c>
      <c r="C403" s="15"/>
      <c r="D403" s="15">
        <v>1974</v>
      </c>
      <c r="E403" s="16"/>
      <c r="F403" s="16"/>
    </row>
    <row r="404" spans="1:6" ht="19.95" customHeight="1" x14ac:dyDescent="0.25">
      <c r="A404" s="14" t="s">
        <v>20</v>
      </c>
      <c r="B404" s="15" t="s">
        <v>14</v>
      </c>
      <c r="C404" s="15"/>
      <c r="D404" s="15">
        <v>1974</v>
      </c>
      <c r="E404" s="16"/>
      <c r="F404" s="16"/>
    </row>
    <row r="405" spans="1:6" ht="19.95" customHeight="1" x14ac:dyDescent="0.25">
      <c r="A405" s="14" t="s">
        <v>21</v>
      </c>
      <c r="B405" s="15" t="s">
        <v>14</v>
      </c>
      <c r="C405" s="15">
        <v>33.675883850287498</v>
      </c>
      <c r="D405" s="15">
        <v>1974</v>
      </c>
      <c r="E405" s="16"/>
      <c r="F405" s="16"/>
    </row>
    <row r="406" spans="1:6" ht="19.95" customHeight="1" x14ac:dyDescent="0.25">
      <c r="A406" s="14" t="s">
        <v>22</v>
      </c>
      <c r="B406" s="15" t="s">
        <v>14</v>
      </c>
      <c r="C406" s="15"/>
      <c r="D406" s="15">
        <v>1974</v>
      </c>
      <c r="E406" s="16"/>
      <c r="F406" s="16"/>
    </row>
    <row r="407" spans="1:6" ht="19.95" customHeight="1" x14ac:dyDescent="0.25">
      <c r="A407" s="14" t="s">
        <v>23</v>
      </c>
      <c r="B407" s="15" t="s">
        <v>14</v>
      </c>
      <c r="C407" s="15">
        <v>83.621689889209506</v>
      </c>
      <c r="D407" s="15">
        <v>1974</v>
      </c>
      <c r="E407" s="16"/>
      <c r="F407" s="16"/>
    </row>
    <row r="408" spans="1:6" ht="19.95" customHeight="1" x14ac:dyDescent="0.25">
      <c r="A408" s="14" t="s">
        <v>24</v>
      </c>
      <c r="B408" s="15" t="s">
        <v>14</v>
      </c>
      <c r="C408" s="15">
        <v>15.5261612545993</v>
      </c>
      <c r="D408" s="15">
        <v>1974</v>
      </c>
      <c r="E408" s="16"/>
      <c r="F408" s="16"/>
    </row>
    <row r="409" spans="1:6" ht="19.95" customHeight="1" x14ac:dyDescent="0.25">
      <c r="A409" s="14" t="s">
        <v>25</v>
      </c>
      <c r="B409" s="15" t="s">
        <v>14</v>
      </c>
      <c r="C409" s="15">
        <v>28.017334777898199</v>
      </c>
      <c r="D409" s="15">
        <v>1974</v>
      </c>
      <c r="E409" s="16"/>
      <c r="F409" s="16"/>
    </row>
    <row r="410" spans="1:6" ht="19.95" customHeight="1" x14ac:dyDescent="0.25">
      <c r="A410" s="14" t="s">
        <v>26</v>
      </c>
      <c r="B410" s="15" t="s">
        <v>14</v>
      </c>
      <c r="C410" s="15">
        <v>12.7237253147348</v>
      </c>
      <c r="D410" s="15">
        <v>1974</v>
      </c>
      <c r="E410" s="16"/>
      <c r="F410" s="16"/>
    </row>
    <row r="411" spans="1:6" ht="19.95" customHeight="1" x14ac:dyDescent="0.25">
      <c r="A411" s="14" t="s">
        <v>27</v>
      </c>
      <c r="B411" s="15" t="s">
        <v>14</v>
      </c>
      <c r="C411" s="15"/>
      <c r="D411" s="15">
        <v>1974</v>
      </c>
      <c r="E411" s="16"/>
      <c r="F411" s="16"/>
    </row>
    <row r="412" spans="1:6" ht="19.95" customHeight="1" x14ac:dyDescent="0.25">
      <c r="A412" s="14" t="s">
        <v>28</v>
      </c>
      <c r="B412" s="15" t="s">
        <v>14</v>
      </c>
      <c r="C412" s="15"/>
      <c r="D412" s="15">
        <v>1974</v>
      </c>
      <c r="E412" s="16"/>
      <c r="F412" s="16"/>
    </row>
    <row r="413" spans="1:6" ht="19.95" customHeight="1" x14ac:dyDescent="0.25">
      <c r="A413" s="14" t="s">
        <v>29</v>
      </c>
      <c r="B413" s="15" t="s">
        <v>14</v>
      </c>
      <c r="C413" s="15"/>
      <c r="D413" s="15">
        <v>1974</v>
      </c>
      <c r="E413" s="16"/>
      <c r="F413" s="16"/>
    </row>
    <row r="414" spans="1:6" ht="19.95" customHeight="1" x14ac:dyDescent="0.25">
      <c r="A414" s="14" t="s">
        <v>31</v>
      </c>
      <c r="B414" s="15" t="s">
        <v>14</v>
      </c>
      <c r="C414" s="15">
        <v>5.44971913841814</v>
      </c>
      <c r="D414" s="15">
        <v>1974</v>
      </c>
      <c r="E414" s="16"/>
      <c r="F414" s="16"/>
    </row>
    <row r="415" spans="1:6" ht="19.95" customHeight="1" x14ac:dyDescent="0.25">
      <c r="A415" s="14" t="s">
        <v>32</v>
      </c>
      <c r="B415" s="15" t="s">
        <v>14</v>
      </c>
      <c r="C415" s="15">
        <v>29.074889338299201</v>
      </c>
      <c r="D415" s="15">
        <v>1974</v>
      </c>
      <c r="E415" s="16"/>
      <c r="F415" s="16"/>
    </row>
    <row r="416" spans="1:6" ht="19.95" customHeight="1" x14ac:dyDescent="0.25">
      <c r="A416" s="14" t="s">
        <v>33</v>
      </c>
      <c r="B416" s="15" t="s">
        <v>14</v>
      </c>
      <c r="C416" s="15">
        <v>12.270563048803099</v>
      </c>
      <c r="D416" s="15">
        <v>1974</v>
      </c>
      <c r="E416" s="16"/>
      <c r="F416" s="16"/>
    </row>
    <row r="417" spans="1:6" ht="19.95" customHeight="1" x14ac:dyDescent="0.25">
      <c r="A417" s="14" t="s">
        <v>34</v>
      </c>
      <c r="B417" s="15" t="s">
        <v>14</v>
      </c>
      <c r="C417" s="15">
        <v>12.1687577317595</v>
      </c>
      <c r="D417" s="15">
        <v>1974</v>
      </c>
      <c r="E417" s="16"/>
      <c r="F417" s="16"/>
    </row>
    <row r="418" spans="1:6" ht="19.95" customHeight="1" x14ac:dyDescent="0.25">
      <c r="A418" s="14" t="s">
        <v>35</v>
      </c>
      <c r="B418" s="15" t="s">
        <v>14</v>
      </c>
      <c r="C418" s="15"/>
      <c r="D418" s="15">
        <v>1974</v>
      </c>
      <c r="E418" s="16"/>
      <c r="F418" s="16"/>
    </row>
    <row r="419" spans="1:6" ht="19.95" customHeight="1" x14ac:dyDescent="0.25">
      <c r="A419" s="14" t="s">
        <v>2</v>
      </c>
      <c r="B419" s="15" t="s">
        <v>14</v>
      </c>
      <c r="C419" s="15">
        <v>26.431365950107299</v>
      </c>
      <c r="D419" s="15">
        <v>1974</v>
      </c>
      <c r="E419" s="16"/>
      <c r="F419" s="16"/>
    </row>
    <row r="420" spans="1:6" ht="19.95" customHeight="1" x14ac:dyDescent="0.25">
      <c r="A420" s="14" t="s">
        <v>36</v>
      </c>
      <c r="B420" s="15" t="s">
        <v>14</v>
      </c>
      <c r="C420" s="15"/>
      <c r="D420" s="15">
        <v>1974</v>
      </c>
      <c r="E420" s="16"/>
      <c r="F420" s="16"/>
    </row>
    <row r="421" spans="1:6" ht="19.95" customHeight="1" x14ac:dyDescent="0.25">
      <c r="A421" s="14" t="s">
        <v>37</v>
      </c>
      <c r="B421" s="15" t="s">
        <v>14</v>
      </c>
      <c r="C421" s="15"/>
      <c r="D421" s="15">
        <v>1974</v>
      </c>
      <c r="E421" s="16"/>
      <c r="F421" s="16"/>
    </row>
    <row r="422" spans="1:6" ht="19.95" customHeight="1" x14ac:dyDescent="0.25">
      <c r="A422" s="14" t="s">
        <v>38</v>
      </c>
      <c r="B422" s="15" t="s">
        <v>14</v>
      </c>
      <c r="C422" s="15">
        <v>14.7194674636598</v>
      </c>
      <c r="D422" s="15">
        <v>1974</v>
      </c>
      <c r="E422" s="16"/>
      <c r="F422" s="16"/>
    </row>
    <row r="423" spans="1:6" ht="19.95" customHeight="1" x14ac:dyDescent="0.25">
      <c r="A423" s="14" t="s">
        <v>39</v>
      </c>
      <c r="B423" s="15" t="s">
        <v>14</v>
      </c>
      <c r="C423" s="15"/>
      <c r="D423" s="15">
        <v>1974</v>
      </c>
      <c r="E423" s="16"/>
      <c r="F423" s="16"/>
    </row>
    <row r="424" spans="1:6" ht="19.95" customHeight="1" x14ac:dyDescent="0.25">
      <c r="A424" s="14" t="s">
        <v>40</v>
      </c>
      <c r="B424" s="15" t="s">
        <v>14</v>
      </c>
      <c r="C424" s="15"/>
      <c r="D424" s="15">
        <v>1974</v>
      </c>
      <c r="E424" s="16"/>
      <c r="F424" s="16"/>
    </row>
    <row r="425" spans="1:6" ht="19.95" customHeight="1" x14ac:dyDescent="0.25">
      <c r="A425" s="14" t="s">
        <v>10</v>
      </c>
      <c r="B425" s="15" t="s">
        <v>14</v>
      </c>
      <c r="C425" s="15">
        <v>8.2756457241793306</v>
      </c>
      <c r="D425" s="15">
        <v>1975</v>
      </c>
      <c r="E425" s="16"/>
      <c r="F425" s="16"/>
    </row>
    <row r="426" spans="1:6" ht="19.95" customHeight="1" x14ac:dyDescent="0.25">
      <c r="A426" s="14" t="s">
        <v>13</v>
      </c>
      <c r="B426" s="15" t="s">
        <v>14</v>
      </c>
      <c r="C426" s="15">
        <v>22.684959133732701</v>
      </c>
      <c r="D426" s="15">
        <v>1975</v>
      </c>
      <c r="E426" s="16"/>
      <c r="F426" s="16"/>
    </row>
    <row r="427" spans="1:6" ht="19.95" customHeight="1" x14ac:dyDescent="0.25">
      <c r="A427" s="14" t="s">
        <v>16</v>
      </c>
      <c r="B427" s="15" t="s">
        <v>14</v>
      </c>
      <c r="C427" s="15">
        <v>14.4026671718867</v>
      </c>
      <c r="D427" s="15">
        <v>1975</v>
      </c>
      <c r="E427" s="16"/>
      <c r="F427" s="16"/>
    </row>
    <row r="428" spans="1:6" ht="19.95" customHeight="1" x14ac:dyDescent="0.25">
      <c r="A428" s="14" t="s">
        <v>15</v>
      </c>
      <c r="B428" s="15" t="s">
        <v>14</v>
      </c>
      <c r="C428" s="15"/>
      <c r="D428" s="15">
        <v>1975</v>
      </c>
      <c r="E428" s="16"/>
      <c r="F428" s="16"/>
    </row>
    <row r="429" spans="1:6" ht="19.95" customHeight="1" x14ac:dyDescent="0.25">
      <c r="A429" s="14" t="s">
        <v>17</v>
      </c>
      <c r="B429" s="15" t="s">
        <v>14</v>
      </c>
      <c r="C429" s="15"/>
      <c r="D429" s="15">
        <v>1975</v>
      </c>
      <c r="E429" s="16"/>
      <c r="F429" s="16"/>
    </row>
    <row r="430" spans="1:6" ht="19.95" customHeight="1" x14ac:dyDescent="0.25">
      <c r="A430" s="14" t="s">
        <v>18</v>
      </c>
      <c r="B430" s="15" t="s">
        <v>14</v>
      </c>
      <c r="C430" s="15"/>
      <c r="D430" s="15">
        <v>1975</v>
      </c>
      <c r="E430" s="16"/>
      <c r="F430" s="16"/>
    </row>
    <row r="431" spans="1:6" ht="19.95" customHeight="1" x14ac:dyDescent="0.25">
      <c r="A431" s="14" t="s">
        <v>19</v>
      </c>
      <c r="B431" s="15" t="s">
        <v>14</v>
      </c>
      <c r="C431" s="15"/>
      <c r="D431" s="15">
        <v>1975</v>
      </c>
      <c r="E431" s="16"/>
      <c r="F431" s="16"/>
    </row>
    <row r="432" spans="1:6" ht="19.95" customHeight="1" x14ac:dyDescent="0.25">
      <c r="A432" s="14" t="s">
        <v>20</v>
      </c>
      <c r="B432" s="15" t="s">
        <v>14</v>
      </c>
      <c r="C432" s="15"/>
      <c r="D432" s="15">
        <v>1975</v>
      </c>
      <c r="E432" s="16"/>
      <c r="F432" s="16"/>
    </row>
    <row r="433" spans="1:6" ht="19.95" customHeight="1" x14ac:dyDescent="0.25">
      <c r="A433" s="14" t="s">
        <v>21</v>
      </c>
      <c r="B433" s="15" t="s">
        <v>14</v>
      </c>
      <c r="C433" s="15">
        <v>29.823685969750201</v>
      </c>
      <c r="D433" s="15">
        <v>1975</v>
      </c>
      <c r="E433" s="16"/>
      <c r="F433" s="16"/>
    </row>
    <row r="434" spans="1:6" ht="19.95" customHeight="1" x14ac:dyDescent="0.25">
      <c r="A434" s="14" t="s">
        <v>22</v>
      </c>
      <c r="B434" s="15" t="s">
        <v>14</v>
      </c>
      <c r="C434" s="15"/>
      <c r="D434" s="15">
        <v>1975</v>
      </c>
      <c r="E434" s="16"/>
      <c r="F434" s="16"/>
    </row>
    <row r="435" spans="1:6" ht="19.95" customHeight="1" x14ac:dyDescent="0.25">
      <c r="A435" s="14" t="s">
        <v>23</v>
      </c>
      <c r="B435" s="15" t="s">
        <v>14</v>
      </c>
      <c r="C435" s="15">
        <v>69.898794786869303</v>
      </c>
      <c r="D435" s="15">
        <v>1975</v>
      </c>
      <c r="E435" s="16"/>
      <c r="F435" s="16"/>
    </row>
    <row r="436" spans="1:6" ht="19.95" customHeight="1" x14ac:dyDescent="0.25">
      <c r="A436" s="14" t="s">
        <v>24</v>
      </c>
      <c r="B436" s="15" t="s">
        <v>14</v>
      </c>
      <c r="C436" s="15">
        <v>15.8595183896258</v>
      </c>
      <c r="D436" s="15">
        <v>1975</v>
      </c>
      <c r="E436" s="16"/>
      <c r="F436" s="16"/>
    </row>
    <row r="437" spans="1:6" ht="19.95" customHeight="1" x14ac:dyDescent="0.25">
      <c r="A437" s="14" t="s">
        <v>25</v>
      </c>
      <c r="B437" s="15" t="s">
        <v>14</v>
      </c>
      <c r="C437" s="15">
        <v>29.129696054370399</v>
      </c>
      <c r="D437" s="15">
        <v>1975</v>
      </c>
      <c r="E437" s="16"/>
      <c r="F437" s="16"/>
    </row>
    <row r="438" spans="1:6" ht="19.95" customHeight="1" x14ac:dyDescent="0.25">
      <c r="A438" s="14" t="s">
        <v>26</v>
      </c>
      <c r="B438" s="15" t="s">
        <v>14</v>
      </c>
      <c r="C438" s="15">
        <v>9.6611850135864099</v>
      </c>
      <c r="D438" s="15">
        <v>1975</v>
      </c>
      <c r="E438" s="16"/>
      <c r="F438" s="16"/>
    </row>
    <row r="439" spans="1:6" ht="19.95" customHeight="1" x14ac:dyDescent="0.25">
      <c r="A439" s="14" t="s">
        <v>27</v>
      </c>
      <c r="B439" s="15" t="s">
        <v>14</v>
      </c>
      <c r="C439" s="15"/>
      <c r="D439" s="15">
        <v>1975</v>
      </c>
      <c r="E439" s="16"/>
      <c r="F439" s="16"/>
    </row>
    <row r="440" spans="1:6" ht="19.95" customHeight="1" x14ac:dyDescent="0.25">
      <c r="A440" s="14" t="s">
        <v>28</v>
      </c>
      <c r="B440" s="15" t="s">
        <v>14</v>
      </c>
      <c r="C440" s="15"/>
      <c r="D440" s="15">
        <v>1975</v>
      </c>
      <c r="E440" s="16"/>
      <c r="F440" s="16"/>
    </row>
    <row r="441" spans="1:6" ht="19.95" customHeight="1" x14ac:dyDescent="0.25">
      <c r="A441" s="14" t="s">
        <v>29</v>
      </c>
      <c r="B441" s="15" t="s">
        <v>14</v>
      </c>
      <c r="C441" s="15"/>
      <c r="D441" s="15">
        <v>1975</v>
      </c>
      <c r="E441" s="16"/>
      <c r="F441" s="16"/>
    </row>
    <row r="442" spans="1:6" ht="19.95" customHeight="1" x14ac:dyDescent="0.25">
      <c r="A442" s="14" t="s">
        <v>31</v>
      </c>
      <c r="B442" s="15" t="s">
        <v>14</v>
      </c>
      <c r="C442" s="15">
        <v>8.9010929805213106</v>
      </c>
      <c r="D442" s="15">
        <v>1975</v>
      </c>
      <c r="E442" s="16"/>
      <c r="F442" s="16"/>
    </row>
    <row r="443" spans="1:6" ht="19.95" customHeight="1" x14ac:dyDescent="0.25">
      <c r="A443" s="14" t="s">
        <v>32</v>
      </c>
      <c r="B443" s="15" t="s">
        <v>14</v>
      </c>
      <c r="C443" s="15">
        <v>28.042757516087502</v>
      </c>
      <c r="D443" s="15">
        <v>1975</v>
      </c>
      <c r="E443" s="16"/>
      <c r="F443" s="16"/>
    </row>
    <row r="444" spans="1:6" ht="19.95" customHeight="1" x14ac:dyDescent="0.25">
      <c r="A444" s="14" t="s">
        <v>33</v>
      </c>
      <c r="B444" s="15" t="s">
        <v>14</v>
      </c>
      <c r="C444" s="15">
        <v>19.246529376492798</v>
      </c>
      <c r="D444" s="15">
        <v>1975</v>
      </c>
      <c r="E444" s="16"/>
      <c r="F444" s="16"/>
    </row>
    <row r="445" spans="1:6" ht="19.95" customHeight="1" x14ac:dyDescent="0.25">
      <c r="A445" s="14" t="s">
        <v>34</v>
      </c>
      <c r="B445" s="15" t="s">
        <v>14</v>
      </c>
      <c r="C445" s="15">
        <v>9.1718815945671093</v>
      </c>
      <c r="D445" s="15">
        <v>1975</v>
      </c>
      <c r="E445" s="16"/>
      <c r="F445" s="16"/>
    </row>
    <row r="446" spans="1:6" ht="19.95" customHeight="1" x14ac:dyDescent="0.25">
      <c r="A446" s="14" t="s">
        <v>35</v>
      </c>
      <c r="B446" s="15" t="s">
        <v>14</v>
      </c>
      <c r="C446" s="15"/>
      <c r="D446" s="15">
        <v>1975</v>
      </c>
      <c r="E446" s="16"/>
      <c r="F446" s="16"/>
    </row>
    <row r="447" spans="1:6" ht="19.95" customHeight="1" x14ac:dyDescent="0.25">
      <c r="A447" s="14" t="s">
        <v>2</v>
      </c>
      <c r="B447" s="15" t="s">
        <v>14</v>
      </c>
      <c r="C447" s="15">
        <v>27.4899349061218</v>
      </c>
      <c r="D447" s="15">
        <v>1975</v>
      </c>
      <c r="E447" s="16"/>
      <c r="F447" s="16"/>
    </row>
    <row r="448" spans="1:6" ht="19.95" customHeight="1" x14ac:dyDescent="0.25">
      <c r="A448" s="14" t="s">
        <v>36</v>
      </c>
      <c r="B448" s="15" t="s">
        <v>14</v>
      </c>
      <c r="C448" s="15"/>
      <c r="D448" s="15">
        <v>1975</v>
      </c>
      <c r="E448" s="16"/>
      <c r="F448" s="16"/>
    </row>
    <row r="449" spans="1:6" ht="19.95" customHeight="1" x14ac:dyDescent="0.25">
      <c r="A449" s="14" t="s">
        <v>37</v>
      </c>
      <c r="B449" s="15" t="s">
        <v>14</v>
      </c>
      <c r="C449" s="15"/>
      <c r="D449" s="15">
        <v>1975</v>
      </c>
      <c r="E449" s="16"/>
      <c r="F449" s="16"/>
    </row>
    <row r="450" spans="1:6" ht="19.95" customHeight="1" x14ac:dyDescent="0.25">
      <c r="A450" s="14" t="s">
        <v>38</v>
      </c>
      <c r="B450" s="15" t="s">
        <v>14</v>
      </c>
      <c r="C450" s="15">
        <v>8.6504049726878893</v>
      </c>
      <c r="D450" s="15">
        <v>1975</v>
      </c>
      <c r="E450" s="16"/>
      <c r="F450" s="16"/>
    </row>
    <row r="451" spans="1:6" ht="19.95" customHeight="1" x14ac:dyDescent="0.25">
      <c r="A451" s="14" t="s">
        <v>39</v>
      </c>
      <c r="B451" s="15" t="s">
        <v>14</v>
      </c>
      <c r="C451" s="15"/>
      <c r="D451" s="15">
        <v>1975</v>
      </c>
      <c r="E451" s="16"/>
      <c r="F451" s="16"/>
    </row>
    <row r="452" spans="1:6" ht="19.95" customHeight="1" x14ac:dyDescent="0.25">
      <c r="A452" s="14" t="s">
        <v>40</v>
      </c>
      <c r="B452" s="15" t="s">
        <v>14</v>
      </c>
      <c r="C452" s="15">
        <v>22.764979311535399</v>
      </c>
      <c r="D452" s="15">
        <v>1975</v>
      </c>
      <c r="E452" s="16"/>
      <c r="F452" s="16"/>
    </row>
    <row r="453" spans="1:6" ht="19.95" customHeight="1" x14ac:dyDescent="0.25">
      <c r="A453" s="14" t="s">
        <v>10</v>
      </c>
      <c r="B453" s="15" t="s">
        <v>14</v>
      </c>
      <c r="C453" s="15">
        <v>13.7264838813102</v>
      </c>
      <c r="D453" s="15">
        <v>1976</v>
      </c>
      <c r="E453" s="16"/>
      <c r="F453" s="16"/>
    </row>
    <row r="454" spans="1:6" ht="19.95" customHeight="1" x14ac:dyDescent="0.25">
      <c r="A454" s="14" t="s">
        <v>13</v>
      </c>
      <c r="B454" s="15" t="s">
        <v>14</v>
      </c>
      <c r="C454" s="15">
        <v>22.642596864459701</v>
      </c>
      <c r="D454" s="15">
        <v>1976</v>
      </c>
      <c r="E454" s="16"/>
      <c r="F454" s="16"/>
    </row>
    <row r="455" spans="1:6" ht="19.95" customHeight="1" x14ac:dyDescent="0.25">
      <c r="A455" s="14" t="s">
        <v>16</v>
      </c>
      <c r="B455" s="15" t="s">
        <v>14</v>
      </c>
      <c r="C455" s="15">
        <v>16.083928186568102</v>
      </c>
      <c r="D455" s="15">
        <v>1976</v>
      </c>
      <c r="E455" s="16"/>
      <c r="F455" s="16"/>
    </row>
    <row r="456" spans="1:6" ht="19.95" customHeight="1" x14ac:dyDescent="0.25">
      <c r="A456" s="14" t="s">
        <v>15</v>
      </c>
      <c r="B456" s="15" t="s">
        <v>14</v>
      </c>
      <c r="C456" s="15"/>
      <c r="D456" s="15">
        <v>1976</v>
      </c>
      <c r="E456" s="16"/>
      <c r="F456" s="16"/>
    </row>
    <row r="457" spans="1:6" ht="19.95" customHeight="1" x14ac:dyDescent="0.25">
      <c r="A457" s="14" t="s">
        <v>17</v>
      </c>
      <c r="B457" s="15" t="s">
        <v>14</v>
      </c>
      <c r="C457" s="15"/>
      <c r="D457" s="15">
        <v>1976</v>
      </c>
      <c r="E457" s="16"/>
      <c r="F457" s="16"/>
    </row>
    <row r="458" spans="1:6" ht="19.95" customHeight="1" x14ac:dyDescent="0.25">
      <c r="A458" s="14" t="s">
        <v>18</v>
      </c>
      <c r="B458" s="15" t="s">
        <v>14</v>
      </c>
      <c r="C458" s="15"/>
      <c r="D458" s="15">
        <v>1976</v>
      </c>
      <c r="E458" s="16"/>
      <c r="F458" s="16"/>
    </row>
    <row r="459" spans="1:6" ht="19.95" customHeight="1" x14ac:dyDescent="0.25">
      <c r="A459" s="14" t="s">
        <v>19</v>
      </c>
      <c r="B459" s="15" t="s">
        <v>14</v>
      </c>
      <c r="C459" s="15"/>
      <c r="D459" s="15">
        <v>1976</v>
      </c>
      <c r="E459" s="16"/>
      <c r="F459" s="16"/>
    </row>
    <row r="460" spans="1:6" ht="19.95" customHeight="1" x14ac:dyDescent="0.25">
      <c r="A460" s="14" t="s">
        <v>20</v>
      </c>
      <c r="B460" s="15" t="s">
        <v>14</v>
      </c>
      <c r="C460" s="15"/>
      <c r="D460" s="15">
        <v>1976</v>
      </c>
      <c r="E460" s="16"/>
      <c r="F460" s="16"/>
    </row>
    <row r="461" spans="1:6" ht="19.95" customHeight="1" x14ac:dyDescent="0.25">
      <c r="A461" s="14" t="s">
        <v>21</v>
      </c>
      <c r="B461" s="15" t="s">
        <v>14</v>
      </c>
      <c r="C461" s="15">
        <v>32.450471243808501</v>
      </c>
      <c r="D461" s="15">
        <v>1976</v>
      </c>
      <c r="E461" s="16"/>
      <c r="F461" s="16"/>
    </row>
    <row r="462" spans="1:6" ht="19.95" customHeight="1" x14ac:dyDescent="0.25">
      <c r="A462" s="14" t="s">
        <v>22</v>
      </c>
      <c r="B462" s="15" t="s">
        <v>14</v>
      </c>
      <c r="C462" s="15"/>
      <c r="D462" s="15">
        <v>1976</v>
      </c>
      <c r="E462" s="16"/>
      <c r="F462" s="16"/>
    </row>
    <row r="463" spans="1:6" ht="19.95" customHeight="1" x14ac:dyDescent="0.25">
      <c r="A463" s="14" t="s">
        <v>23</v>
      </c>
      <c r="B463" s="15" t="s">
        <v>14</v>
      </c>
      <c r="C463" s="15">
        <v>78.2837645307158</v>
      </c>
      <c r="D463" s="15">
        <v>1976</v>
      </c>
      <c r="E463" s="16"/>
      <c r="F463" s="16"/>
    </row>
    <row r="464" spans="1:6" ht="19.95" customHeight="1" x14ac:dyDescent="0.25">
      <c r="A464" s="14" t="s">
        <v>24</v>
      </c>
      <c r="B464" s="15" t="s">
        <v>14</v>
      </c>
      <c r="C464" s="15">
        <v>15.1637418440442</v>
      </c>
      <c r="D464" s="15">
        <v>1976</v>
      </c>
      <c r="E464" s="16"/>
      <c r="F464" s="16"/>
    </row>
    <row r="465" spans="1:6" ht="19.95" customHeight="1" x14ac:dyDescent="0.25">
      <c r="A465" s="14" t="s">
        <v>25</v>
      </c>
      <c r="B465" s="15" t="s">
        <v>14</v>
      </c>
      <c r="C465" s="15">
        <v>30.4411764705882</v>
      </c>
      <c r="D465" s="15">
        <v>1976</v>
      </c>
      <c r="E465" s="16"/>
      <c r="F465" s="16"/>
    </row>
    <row r="466" spans="1:6" ht="19.95" customHeight="1" x14ac:dyDescent="0.25">
      <c r="A466" s="14" t="s">
        <v>26</v>
      </c>
      <c r="B466" s="15" t="s">
        <v>14</v>
      </c>
      <c r="C466" s="15">
        <v>11.0057080159312</v>
      </c>
      <c r="D466" s="15">
        <v>1976</v>
      </c>
      <c r="E466" s="16"/>
      <c r="F466" s="16"/>
    </row>
    <row r="467" spans="1:6" ht="19.95" customHeight="1" x14ac:dyDescent="0.25">
      <c r="A467" s="14" t="s">
        <v>27</v>
      </c>
      <c r="B467" s="15" t="s">
        <v>14</v>
      </c>
      <c r="C467" s="15"/>
      <c r="D467" s="15">
        <v>1976</v>
      </c>
      <c r="E467" s="16"/>
      <c r="F467" s="16"/>
    </row>
    <row r="468" spans="1:6" ht="19.95" customHeight="1" x14ac:dyDescent="0.25">
      <c r="A468" s="14" t="s">
        <v>28</v>
      </c>
      <c r="B468" s="15" t="s">
        <v>14</v>
      </c>
      <c r="C468" s="15"/>
      <c r="D468" s="15">
        <v>1976</v>
      </c>
      <c r="E468" s="16"/>
      <c r="F468" s="16"/>
    </row>
    <row r="469" spans="1:6" ht="19.95" customHeight="1" x14ac:dyDescent="0.25">
      <c r="A469" s="14" t="s">
        <v>29</v>
      </c>
      <c r="B469" s="15" t="s">
        <v>14</v>
      </c>
      <c r="C469" s="15"/>
      <c r="D469" s="15">
        <v>1976</v>
      </c>
      <c r="E469" s="16"/>
      <c r="F469" s="16"/>
    </row>
    <row r="470" spans="1:6" ht="19.95" customHeight="1" x14ac:dyDescent="0.25">
      <c r="A470" s="14" t="s">
        <v>31</v>
      </c>
      <c r="B470" s="15" t="s">
        <v>14</v>
      </c>
      <c r="C470" s="15">
        <v>10.7738301182812</v>
      </c>
      <c r="D470" s="15">
        <v>1976</v>
      </c>
      <c r="E470" s="16"/>
      <c r="F470" s="16"/>
    </row>
    <row r="471" spans="1:6" ht="19.95" customHeight="1" x14ac:dyDescent="0.25">
      <c r="A471" s="14" t="s">
        <v>32</v>
      </c>
      <c r="B471" s="15" t="s">
        <v>14</v>
      </c>
      <c r="C471" s="15">
        <v>32.994720731335597</v>
      </c>
      <c r="D471" s="15">
        <v>1976</v>
      </c>
      <c r="E471" s="16"/>
      <c r="F471" s="16"/>
    </row>
    <row r="472" spans="1:6" ht="19.95" customHeight="1" x14ac:dyDescent="0.25">
      <c r="A472" s="14" t="s">
        <v>33</v>
      </c>
      <c r="B472" s="15" t="s">
        <v>14</v>
      </c>
      <c r="C472" s="15">
        <v>22.2636539756868</v>
      </c>
      <c r="D472" s="15">
        <v>1976</v>
      </c>
      <c r="E472" s="16"/>
      <c r="F472" s="16"/>
    </row>
    <row r="473" spans="1:6" ht="19.95" customHeight="1" x14ac:dyDescent="0.25">
      <c r="A473" s="14" t="s">
        <v>34</v>
      </c>
      <c r="B473" s="15" t="s">
        <v>14</v>
      </c>
      <c r="C473" s="15">
        <v>14.578953413609399</v>
      </c>
      <c r="D473" s="15">
        <v>1976</v>
      </c>
      <c r="E473" s="16"/>
      <c r="F473" s="16"/>
    </row>
    <row r="474" spans="1:6" ht="19.95" customHeight="1" x14ac:dyDescent="0.25">
      <c r="A474" s="14" t="s">
        <v>35</v>
      </c>
      <c r="B474" s="15" t="s">
        <v>14</v>
      </c>
      <c r="C474" s="15"/>
      <c r="D474" s="15">
        <v>1976</v>
      </c>
      <c r="E474" s="16"/>
      <c r="F474" s="16"/>
    </row>
    <row r="475" spans="1:6" ht="19.95" customHeight="1" x14ac:dyDescent="0.25">
      <c r="A475" s="14" t="s">
        <v>2</v>
      </c>
      <c r="B475" s="15" t="s">
        <v>14</v>
      </c>
      <c r="C475" s="15">
        <v>29.0467834321094</v>
      </c>
      <c r="D475" s="15">
        <v>1976</v>
      </c>
      <c r="E475" s="16"/>
      <c r="F475" s="16"/>
    </row>
    <row r="476" spans="1:6" ht="19.95" customHeight="1" x14ac:dyDescent="0.25">
      <c r="A476" s="14" t="s">
        <v>36</v>
      </c>
      <c r="B476" s="15" t="s">
        <v>14</v>
      </c>
      <c r="C476" s="15"/>
      <c r="D476" s="15">
        <v>1976</v>
      </c>
      <c r="E476" s="16"/>
      <c r="F476" s="16"/>
    </row>
    <row r="477" spans="1:6" ht="19.95" customHeight="1" x14ac:dyDescent="0.25">
      <c r="A477" s="14" t="s">
        <v>37</v>
      </c>
      <c r="B477" s="15" t="s">
        <v>14</v>
      </c>
      <c r="C477" s="15"/>
      <c r="D477" s="15">
        <v>1976</v>
      </c>
      <c r="E477" s="16"/>
      <c r="F477" s="16"/>
    </row>
    <row r="478" spans="1:6" ht="19.95" customHeight="1" x14ac:dyDescent="0.25">
      <c r="A478" s="14" t="s">
        <v>38</v>
      </c>
      <c r="B478" s="15" t="s">
        <v>14</v>
      </c>
      <c r="C478" s="15">
        <v>11.3880603113635</v>
      </c>
      <c r="D478" s="15">
        <v>1976</v>
      </c>
      <c r="E478" s="16"/>
      <c r="F478" s="16"/>
    </row>
    <row r="479" spans="1:6" ht="19.95" customHeight="1" x14ac:dyDescent="0.25">
      <c r="A479" s="14" t="s">
        <v>39</v>
      </c>
      <c r="B479" s="15" t="s">
        <v>14</v>
      </c>
      <c r="C479" s="15"/>
      <c r="D479" s="15">
        <v>1976</v>
      </c>
      <c r="E479" s="16"/>
      <c r="F479" s="16"/>
    </row>
    <row r="480" spans="1:6" ht="19.95" customHeight="1" x14ac:dyDescent="0.25">
      <c r="A480" s="14" t="s">
        <v>40</v>
      </c>
      <c r="B480" s="15" t="s">
        <v>14</v>
      </c>
      <c r="C480" s="15">
        <v>21.9602479823415</v>
      </c>
      <c r="D480" s="15">
        <v>1976</v>
      </c>
      <c r="E480" s="16"/>
      <c r="F480" s="16"/>
    </row>
    <row r="481" spans="1:6" ht="19.95" customHeight="1" x14ac:dyDescent="0.25">
      <c r="A481" s="14" t="s">
        <v>10</v>
      </c>
      <c r="B481" s="15" t="s">
        <v>14</v>
      </c>
      <c r="C481" s="15">
        <v>17.595610229269699</v>
      </c>
      <c r="D481" s="15">
        <v>1977</v>
      </c>
      <c r="E481" s="16"/>
      <c r="F481" s="16"/>
    </row>
    <row r="482" spans="1:6" ht="19.95" customHeight="1" x14ac:dyDescent="0.25">
      <c r="A482" s="14" t="s">
        <v>13</v>
      </c>
      <c r="B482" s="15" t="s">
        <v>14</v>
      </c>
      <c r="C482" s="15">
        <v>25.0599528630765</v>
      </c>
      <c r="D482" s="15">
        <v>1977</v>
      </c>
      <c r="E482" s="16"/>
      <c r="F482" s="16"/>
    </row>
    <row r="483" spans="1:6" ht="19.95" customHeight="1" x14ac:dyDescent="0.25">
      <c r="A483" s="14" t="s">
        <v>16</v>
      </c>
      <c r="B483" s="15" t="s">
        <v>14</v>
      </c>
      <c r="C483" s="15">
        <v>15.354041503933701</v>
      </c>
      <c r="D483" s="15">
        <v>1977</v>
      </c>
      <c r="E483" s="16"/>
      <c r="F483" s="16"/>
    </row>
    <row r="484" spans="1:6" ht="19.95" customHeight="1" x14ac:dyDescent="0.25">
      <c r="A484" s="14" t="s">
        <v>15</v>
      </c>
      <c r="B484" s="15" t="s">
        <v>14</v>
      </c>
      <c r="C484" s="15"/>
      <c r="D484" s="15">
        <v>1977</v>
      </c>
      <c r="E484" s="16"/>
      <c r="F484" s="16"/>
    </row>
    <row r="485" spans="1:6" ht="19.95" customHeight="1" x14ac:dyDescent="0.25">
      <c r="A485" s="14" t="s">
        <v>17</v>
      </c>
      <c r="B485" s="15" t="s">
        <v>14</v>
      </c>
      <c r="C485" s="15"/>
      <c r="D485" s="15">
        <v>1977</v>
      </c>
      <c r="E485" s="16"/>
      <c r="F485" s="16"/>
    </row>
    <row r="486" spans="1:6" ht="19.95" customHeight="1" x14ac:dyDescent="0.25">
      <c r="A486" s="14" t="s">
        <v>18</v>
      </c>
      <c r="B486" s="15" t="s">
        <v>14</v>
      </c>
      <c r="C486" s="15"/>
      <c r="D486" s="15">
        <v>1977</v>
      </c>
      <c r="E486" s="16"/>
      <c r="F486" s="16"/>
    </row>
    <row r="487" spans="1:6" ht="19.95" customHeight="1" x14ac:dyDescent="0.25">
      <c r="A487" s="14" t="s">
        <v>19</v>
      </c>
      <c r="B487" s="15" t="s">
        <v>14</v>
      </c>
      <c r="C487" s="15"/>
      <c r="D487" s="15">
        <v>1977</v>
      </c>
      <c r="E487" s="16"/>
      <c r="F487" s="16"/>
    </row>
    <row r="488" spans="1:6" ht="19.95" customHeight="1" x14ac:dyDescent="0.25">
      <c r="A488" s="14" t="s">
        <v>20</v>
      </c>
      <c r="B488" s="15" t="s">
        <v>14</v>
      </c>
      <c r="C488" s="15"/>
      <c r="D488" s="15">
        <v>1977</v>
      </c>
      <c r="E488" s="16"/>
      <c r="F488" s="16"/>
    </row>
    <row r="489" spans="1:6" ht="19.95" customHeight="1" x14ac:dyDescent="0.25">
      <c r="A489" s="14" t="s">
        <v>21</v>
      </c>
      <c r="B489" s="15" t="s">
        <v>14</v>
      </c>
      <c r="C489" s="15">
        <v>34.958868756384803</v>
      </c>
      <c r="D489" s="15">
        <v>1977</v>
      </c>
      <c r="E489" s="16"/>
      <c r="F489" s="16"/>
    </row>
    <row r="490" spans="1:6" ht="19.95" customHeight="1" x14ac:dyDescent="0.25">
      <c r="A490" s="14" t="s">
        <v>22</v>
      </c>
      <c r="B490" s="15" t="s">
        <v>14</v>
      </c>
      <c r="C490" s="15"/>
      <c r="D490" s="15">
        <v>1977</v>
      </c>
      <c r="E490" s="16"/>
      <c r="F490" s="16"/>
    </row>
    <row r="491" spans="1:6" ht="19.95" customHeight="1" x14ac:dyDescent="0.25">
      <c r="A491" s="14" t="s">
        <v>23</v>
      </c>
      <c r="B491" s="15" t="s">
        <v>14</v>
      </c>
      <c r="C491" s="15">
        <v>68.201020905168505</v>
      </c>
      <c r="D491" s="15">
        <v>1977</v>
      </c>
      <c r="E491" s="16"/>
      <c r="F491" s="16"/>
    </row>
    <row r="492" spans="1:6" ht="19.95" customHeight="1" x14ac:dyDescent="0.25">
      <c r="A492" s="14" t="s">
        <v>24</v>
      </c>
      <c r="B492" s="15" t="s">
        <v>14</v>
      </c>
      <c r="C492" s="15">
        <v>16.444991262526202</v>
      </c>
      <c r="D492" s="15">
        <v>1977</v>
      </c>
      <c r="E492" s="16"/>
      <c r="F492" s="16"/>
    </row>
    <row r="493" spans="1:6" ht="19.95" customHeight="1" x14ac:dyDescent="0.25">
      <c r="A493" s="14" t="s">
        <v>25</v>
      </c>
      <c r="B493" s="15" t="s">
        <v>14</v>
      </c>
      <c r="C493" s="15">
        <v>30</v>
      </c>
      <c r="D493" s="15">
        <v>1977</v>
      </c>
      <c r="E493" s="16"/>
      <c r="F493" s="16"/>
    </row>
    <row r="494" spans="1:6" ht="19.95" customHeight="1" x14ac:dyDescent="0.25">
      <c r="A494" s="14" t="s">
        <v>26</v>
      </c>
      <c r="B494" s="15" t="s">
        <v>14</v>
      </c>
      <c r="C494" s="15">
        <v>12.755695068087499</v>
      </c>
      <c r="D494" s="15">
        <v>1977</v>
      </c>
      <c r="E494" s="16"/>
      <c r="F494" s="16"/>
    </row>
    <row r="495" spans="1:6" ht="19.95" customHeight="1" x14ac:dyDescent="0.25">
      <c r="A495" s="14" t="s">
        <v>27</v>
      </c>
      <c r="B495" s="15" t="s">
        <v>14</v>
      </c>
      <c r="C495" s="15"/>
      <c r="D495" s="15">
        <v>1977</v>
      </c>
      <c r="E495" s="16"/>
      <c r="F495" s="16"/>
    </row>
    <row r="496" spans="1:6" ht="19.95" customHeight="1" x14ac:dyDescent="0.25">
      <c r="A496" s="14" t="s">
        <v>28</v>
      </c>
      <c r="B496" s="15" t="s">
        <v>14</v>
      </c>
      <c r="C496" s="15"/>
      <c r="D496" s="15">
        <v>1977</v>
      </c>
      <c r="E496" s="16"/>
      <c r="F496" s="16"/>
    </row>
    <row r="497" spans="1:6" ht="19.95" customHeight="1" x14ac:dyDescent="0.25">
      <c r="A497" s="14" t="s">
        <v>29</v>
      </c>
      <c r="B497" s="15" t="s">
        <v>14</v>
      </c>
      <c r="C497" s="15"/>
      <c r="D497" s="15">
        <v>1977</v>
      </c>
      <c r="E497" s="16"/>
      <c r="F497" s="16"/>
    </row>
    <row r="498" spans="1:6" ht="19.95" customHeight="1" x14ac:dyDescent="0.25">
      <c r="A498" s="14" t="s">
        <v>31</v>
      </c>
      <c r="B498" s="15" t="s">
        <v>14</v>
      </c>
      <c r="C498" s="15">
        <v>11.7881938657407</v>
      </c>
      <c r="D498" s="15">
        <v>1977</v>
      </c>
      <c r="E498" s="16"/>
      <c r="F498" s="16"/>
    </row>
    <row r="499" spans="1:6" ht="19.95" customHeight="1" x14ac:dyDescent="0.25">
      <c r="A499" s="14" t="s">
        <v>32</v>
      </c>
      <c r="B499" s="15" t="s">
        <v>14</v>
      </c>
      <c r="C499" s="15">
        <v>32.091333524753402</v>
      </c>
      <c r="D499" s="15">
        <v>1977</v>
      </c>
      <c r="E499" s="16"/>
      <c r="F499" s="16"/>
    </row>
    <row r="500" spans="1:6" ht="19.95" customHeight="1" x14ac:dyDescent="0.25">
      <c r="A500" s="14" t="s">
        <v>33</v>
      </c>
      <c r="B500" s="15" t="s">
        <v>14</v>
      </c>
      <c r="C500" s="15">
        <v>19.6425919430317</v>
      </c>
      <c r="D500" s="15">
        <v>1977</v>
      </c>
      <c r="E500" s="16"/>
      <c r="F500" s="16"/>
    </row>
    <row r="501" spans="1:6" ht="19.95" customHeight="1" x14ac:dyDescent="0.25">
      <c r="A501" s="14" t="s">
        <v>34</v>
      </c>
      <c r="B501" s="15" t="s">
        <v>14</v>
      </c>
      <c r="C501" s="15">
        <v>14.2677661185406</v>
      </c>
      <c r="D501" s="15">
        <v>1977</v>
      </c>
      <c r="E501" s="16"/>
      <c r="F501" s="16"/>
    </row>
    <row r="502" spans="1:6" ht="19.95" customHeight="1" x14ac:dyDescent="0.25">
      <c r="A502" s="14" t="s">
        <v>35</v>
      </c>
      <c r="B502" s="15" t="s">
        <v>14</v>
      </c>
      <c r="C502" s="15"/>
      <c r="D502" s="15">
        <v>1977</v>
      </c>
      <c r="E502" s="16"/>
      <c r="F502" s="16"/>
    </row>
    <row r="503" spans="1:6" ht="19.95" customHeight="1" x14ac:dyDescent="0.25">
      <c r="A503" s="14" t="s">
        <v>2</v>
      </c>
      <c r="B503" s="15" t="s">
        <v>14</v>
      </c>
      <c r="C503" s="15">
        <v>33.814925701101402</v>
      </c>
      <c r="D503" s="15">
        <v>1977</v>
      </c>
      <c r="E503" s="16"/>
      <c r="F503" s="16"/>
    </row>
    <row r="504" spans="1:6" ht="19.95" customHeight="1" x14ac:dyDescent="0.25">
      <c r="A504" s="14" t="s">
        <v>36</v>
      </c>
      <c r="B504" s="15" t="s">
        <v>14</v>
      </c>
      <c r="C504" s="15"/>
      <c r="D504" s="15">
        <v>1977</v>
      </c>
      <c r="E504" s="16"/>
      <c r="F504" s="16"/>
    </row>
    <row r="505" spans="1:6" ht="19.95" customHeight="1" x14ac:dyDescent="0.25">
      <c r="A505" s="14" t="s">
        <v>37</v>
      </c>
      <c r="B505" s="15" t="s">
        <v>14</v>
      </c>
      <c r="C505" s="15"/>
      <c r="D505" s="15">
        <v>1977</v>
      </c>
      <c r="E505" s="16"/>
      <c r="F505" s="16"/>
    </row>
    <row r="506" spans="1:6" ht="19.95" customHeight="1" x14ac:dyDescent="0.25">
      <c r="A506" s="17" t="s">
        <v>38</v>
      </c>
      <c r="B506" s="18" t="s">
        <v>14</v>
      </c>
      <c r="C506" s="18">
        <v>9.1526442307692299</v>
      </c>
      <c r="D506" s="18">
        <v>1977</v>
      </c>
      <c r="E506" s="19"/>
      <c r="F506" s="19"/>
    </row>
    <row r="507" spans="1:6" ht="19.95" customHeight="1" x14ac:dyDescent="0.25">
      <c r="A507" s="17" t="s">
        <v>39</v>
      </c>
      <c r="B507" s="18" t="s">
        <v>14</v>
      </c>
      <c r="C507" s="18"/>
      <c r="D507" s="18">
        <v>1977</v>
      </c>
      <c r="E507" s="19"/>
      <c r="F507" s="19"/>
    </row>
    <row r="508" spans="1:6" ht="19.95" customHeight="1" x14ac:dyDescent="0.25">
      <c r="A508" s="17" t="s">
        <v>40</v>
      </c>
      <c r="B508" s="18" t="s">
        <v>14</v>
      </c>
      <c r="C508" s="18">
        <v>21.3950286341794</v>
      </c>
      <c r="D508" s="18">
        <v>1977</v>
      </c>
      <c r="E508" s="19"/>
      <c r="F508" s="19"/>
    </row>
    <row r="509" spans="1:6" ht="19.95" customHeight="1" x14ac:dyDescent="0.25">
      <c r="A509" s="17" t="s">
        <v>10</v>
      </c>
      <c r="B509" s="18" t="s">
        <v>14</v>
      </c>
      <c r="C509" s="18">
        <v>11.7076927839069</v>
      </c>
      <c r="D509" s="18">
        <v>1978</v>
      </c>
      <c r="E509" s="19"/>
      <c r="F509" s="19"/>
    </row>
    <row r="510" spans="1:6" ht="19.95" customHeight="1" x14ac:dyDescent="0.25">
      <c r="A510" s="17" t="s">
        <v>13</v>
      </c>
      <c r="B510" s="18" t="s">
        <v>14</v>
      </c>
      <c r="C510" s="18">
        <v>23.6551978051174</v>
      </c>
      <c r="D510" s="18">
        <v>1978</v>
      </c>
      <c r="E510" s="19"/>
      <c r="F510" s="19"/>
    </row>
    <row r="511" spans="1:6" ht="19.95" customHeight="1" x14ac:dyDescent="0.25">
      <c r="A511" s="17" t="s">
        <v>16</v>
      </c>
      <c r="B511" s="18" t="s">
        <v>14</v>
      </c>
      <c r="C511" s="18">
        <v>16.422741221328899</v>
      </c>
      <c r="D511" s="18">
        <v>1978</v>
      </c>
      <c r="E511" s="19"/>
      <c r="F511" s="19"/>
    </row>
    <row r="512" spans="1:6" ht="19.95" customHeight="1" x14ac:dyDescent="0.25">
      <c r="A512" s="17" t="s">
        <v>15</v>
      </c>
      <c r="B512" s="18" t="s">
        <v>14</v>
      </c>
      <c r="C512" s="18"/>
      <c r="D512" s="18">
        <v>1978</v>
      </c>
      <c r="E512" s="19"/>
      <c r="F512" s="19"/>
    </row>
    <row r="513" spans="1:6" ht="19.95" customHeight="1" x14ac:dyDescent="0.25">
      <c r="A513" s="17" t="s">
        <v>17</v>
      </c>
      <c r="B513" s="18" t="s">
        <v>14</v>
      </c>
      <c r="C513" s="18"/>
      <c r="D513" s="18">
        <v>1978</v>
      </c>
      <c r="E513" s="19"/>
      <c r="F513" s="19"/>
    </row>
    <row r="514" spans="1:6" ht="19.95" customHeight="1" x14ac:dyDescent="0.25">
      <c r="A514" s="17" t="s">
        <v>18</v>
      </c>
      <c r="B514" s="18" t="s">
        <v>14</v>
      </c>
      <c r="C514" s="18"/>
      <c r="D514" s="18">
        <v>1978</v>
      </c>
      <c r="E514" s="19"/>
      <c r="F514" s="19"/>
    </row>
    <row r="515" spans="1:6" ht="19.95" customHeight="1" x14ac:dyDescent="0.25">
      <c r="A515" s="17" t="s">
        <v>19</v>
      </c>
      <c r="B515" s="18" t="s">
        <v>14</v>
      </c>
      <c r="C515" s="18"/>
      <c r="D515" s="18">
        <v>1978</v>
      </c>
      <c r="E515" s="19"/>
      <c r="F515" s="19"/>
    </row>
    <row r="516" spans="1:6" ht="19.95" customHeight="1" x14ac:dyDescent="0.25">
      <c r="A516" s="17" t="s">
        <v>20</v>
      </c>
      <c r="B516" s="18" t="s">
        <v>14</v>
      </c>
      <c r="C516" s="18"/>
      <c r="D516" s="18">
        <v>1978</v>
      </c>
      <c r="E516" s="19"/>
      <c r="F516" s="19"/>
    </row>
    <row r="517" spans="1:6" ht="19.95" customHeight="1" x14ac:dyDescent="0.25">
      <c r="A517" s="17" t="s">
        <v>21</v>
      </c>
      <c r="B517" s="18" t="s">
        <v>14</v>
      </c>
      <c r="C517" s="18">
        <v>28.935518336561401</v>
      </c>
      <c r="D517" s="18">
        <v>1978</v>
      </c>
      <c r="E517" s="19"/>
      <c r="F517" s="19"/>
    </row>
    <row r="518" spans="1:6" ht="19.95" customHeight="1" x14ac:dyDescent="0.25">
      <c r="A518" s="17" t="s">
        <v>22</v>
      </c>
      <c r="B518" s="18" t="s">
        <v>14</v>
      </c>
      <c r="C518" s="18"/>
      <c r="D518" s="18">
        <v>1978</v>
      </c>
      <c r="E518" s="19"/>
      <c r="F518" s="19"/>
    </row>
    <row r="519" spans="1:6" ht="19.95" customHeight="1" x14ac:dyDescent="0.25">
      <c r="A519" s="17" t="s">
        <v>23</v>
      </c>
      <c r="B519" s="18" t="s">
        <v>14</v>
      </c>
      <c r="C519" s="18">
        <v>69.711633644730597</v>
      </c>
      <c r="D519" s="18">
        <v>1978</v>
      </c>
      <c r="E519" s="19"/>
      <c r="F519" s="19"/>
    </row>
    <row r="520" spans="1:6" ht="19.95" customHeight="1" x14ac:dyDescent="0.25">
      <c r="A520" s="17" t="s">
        <v>24</v>
      </c>
      <c r="B520" s="18" t="s">
        <v>14</v>
      </c>
      <c r="C520" s="18">
        <v>17.151038309536101</v>
      </c>
      <c r="D520" s="18">
        <v>1978</v>
      </c>
      <c r="E520" s="19"/>
      <c r="F520" s="19"/>
    </row>
    <row r="521" spans="1:6" ht="19.95" customHeight="1" x14ac:dyDescent="0.25">
      <c r="A521" s="17" t="s">
        <v>25</v>
      </c>
      <c r="B521" s="18" t="s">
        <v>14</v>
      </c>
      <c r="C521" s="18">
        <v>23.192206819033299</v>
      </c>
      <c r="D521" s="18">
        <v>1978</v>
      </c>
      <c r="E521" s="19"/>
      <c r="F521" s="19"/>
    </row>
    <row r="522" spans="1:6" ht="19.95" customHeight="1" x14ac:dyDescent="0.25">
      <c r="A522" s="17" t="s">
        <v>26</v>
      </c>
      <c r="B522" s="18" t="s">
        <v>14</v>
      </c>
      <c r="C522" s="18">
        <v>11.5979848249111</v>
      </c>
      <c r="D522" s="18">
        <v>1978</v>
      </c>
      <c r="E522" s="19"/>
      <c r="F522" s="19"/>
    </row>
    <row r="523" spans="1:6" ht="19.95" customHeight="1" x14ac:dyDescent="0.25">
      <c r="A523" s="17" t="s">
        <v>27</v>
      </c>
      <c r="B523" s="18" t="s">
        <v>14</v>
      </c>
      <c r="C523" s="18"/>
      <c r="D523" s="18">
        <v>1978</v>
      </c>
      <c r="E523" s="19"/>
      <c r="F523" s="19"/>
    </row>
    <row r="524" spans="1:6" ht="19.95" customHeight="1" x14ac:dyDescent="0.25">
      <c r="A524" s="17" t="s">
        <v>28</v>
      </c>
      <c r="B524" s="18" t="s">
        <v>14</v>
      </c>
      <c r="C524" s="18"/>
      <c r="D524" s="18">
        <v>1978</v>
      </c>
      <c r="E524" s="19"/>
      <c r="F524" s="19"/>
    </row>
    <row r="525" spans="1:6" ht="19.95" customHeight="1" x14ac:dyDescent="0.25">
      <c r="A525" s="17" t="s">
        <v>29</v>
      </c>
      <c r="B525" s="18" t="s">
        <v>14</v>
      </c>
      <c r="C525" s="18"/>
      <c r="D525" s="18">
        <v>1978</v>
      </c>
      <c r="E525" s="19"/>
      <c r="F525" s="19"/>
    </row>
    <row r="526" spans="1:6" ht="19.95" customHeight="1" x14ac:dyDescent="0.25">
      <c r="A526" s="17" t="s">
        <v>31</v>
      </c>
      <c r="B526" s="18" t="s">
        <v>14</v>
      </c>
      <c r="C526" s="18">
        <v>10.5716598187042</v>
      </c>
      <c r="D526" s="18">
        <v>1978</v>
      </c>
      <c r="E526" s="19"/>
      <c r="F526" s="19"/>
    </row>
    <row r="527" spans="1:6" ht="19.95" customHeight="1" x14ac:dyDescent="0.25">
      <c r="A527" s="17" t="s">
        <v>32</v>
      </c>
      <c r="B527" s="18" t="s">
        <v>14</v>
      </c>
      <c r="C527" s="18">
        <v>34.4096982244766</v>
      </c>
      <c r="D527" s="18">
        <v>1978</v>
      </c>
      <c r="E527" s="19"/>
      <c r="F527" s="19"/>
    </row>
    <row r="528" spans="1:6" ht="19.95" customHeight="1" x14ac:dyDescent="0.25">
      <c r="A528" s="17" t="s">
        <v>33</v>
      </c>
      <c r="B528" s="18" t="s">
        <v>14</v>
      </c>
      <c r="C528" s="18">
        <v>22.530647872260101</v>
      </c>
      <c r="D528" s="18">
        <v>1978</v>
      </c>
      <c r="E528" s="19"/>
      <c r="F528" s="19"/>
    </row>
    <row r="529" spans="1:6" ht="19.95" customHeight="1" x14ac:dyDescent="0.25">
      <c r="A529" s="17" t="s">
        <v>34</v>
      </c>
      <c r="B529" s="18" t="s">
        <v>14</v>
      </c>
      <c r="C529" s="18">
        <v>14.780998002497499</v>
      </c>
      <c r="D529" s="18">
        <v>1978</v>
      </c>
      <c r="E529" s="19"/>
      <c r="F529" s="19"/>
    </row>
    <row r="530" spans="1:6" ht="19.95" customHeight="1" x14ac:dyDescent="0.25">
      <c r="A530" s="17" t="s">
        <v>35</v>
      </c>
      <c r="B530" s="18" t="s">
        <v>14</v>
      </c>
      <c r="C530" s="18"/>
      <c r="D530" s="18">
        <v>1978</v>
      </c>
      <c r="E530" s="19"/>
      <c r="F530" s="19"/>
    </row>
    <row r="531" spans="1:6" ht="19.95" customHeight="1" x14ac:dyDescent="0.25">
      <c r="A531" s="17" t="s">
        <v>2</v>
      </c>
      <c r="B531" s="18" t="s">
        <v>14</v>
      </c>
      <c r="C531" s="18">
        <v>34.770889487870598</v>
      </c>
      <c r="D531" s="18">
        <v>1978</v>
      </c>
      <c r="E531" s="19"/>
      <c r="F531" s="19"/>
    </row>
    <row r="532" spans="1:6" ht="19.95" customHeight="1" x14ac:dyDescent="0.25">
      <c r="A532" s="17" t="s">
        <v>36</v>
      </c>
      <c r="B532" s="18" t="s">
        <v>14</v>
      </c>
      <c r="C532" s="18"/>
      <c r="D532" s="18">
        <v>1978</v>
      </c>
      <c r="E532" s="19"/>
      <c r="F532" s="19"/>
    </row>
    <row r="533" spans="1:6" ht="19.95" customHeight="1" x14ac:dyDescent="0.25">
      <c r="A533" s="17" t="s">
        <v>37</v>
      </c>
      <c r="B533" s="18" t="s">
        <v>14</v>
      </c>
      <c r="C533" s="18"/>
      <c r="D533" s="18">
        <v>1978</v>
      </c>
      <c r="E533" s="19"/>
      <c r="F533" s="19"/>
    </row>
    <row r="534" spans="1:6" ht="19.95" customHeight="1" x14ac:dyDescent="0.25">
      <c r="A534" s="17" t="s">
        <v>38</v>
      </c>
      <c r="B534" s="18" t="s">
        <v>14</v>
      </c>
      <c r="C534" s="18">
        <v>13.6528581180613</v>
      </c>
      <c r="D534" s="18">
        <v>1978</v>
      </c>
      <c r="E534" s="19"/>
      <c r="F534" s="19"/>
    </row>
    <row r="535" spans="1:6" ht="19.95" customHeight="1" x14ac:dyDescent="0.25">
      <c r="A535" s="17" t="s">
        <v>39</v>
      </c>
      <c r="B535" s="18" t="s">
        <v>14</v>
      </c>
      <c r="C535" s="18"/>
      <c r="D535" s="18">
        <v>1978</v>
      </c>
      <c r="E535" s="19"/>
      <c r="F535" s="19"/>
    </row>
    <row r="536" spans="1:6" ht="19.95" customHeight="1" x14ac:dyDescent="0.25">
      <c r="A536" s="17" t="s">
        <v>40</v>
      </c>
      <c r="B536" s="18" t="s">
        <v>14</v>
      </c>
      <c r="C536" s="18">
        <v>22.021695236040198</v>
      </c>
      <c r="D536" s="18">
        <v>1978</v>
      </c>
      <c r="E536" s="19"/>
      <c r="F536" s="19"/>
    </row>
    <row r="537" spans="1:6" ht="19.95" customHeight="1" x14ac:dyDescent="0.25">
      <c r="A537" s="17" t="s">
        <v>10</v>
      </c>
      <c r="B537" s="18" t="s">
        <v>14</v>
      </c>
      <c r="C537" s="18">
        <v>14.1626446403038</v>
      </c>
      <c r="D537" s="18">
        <v>1979</v>
      </c>
      <c r="E537" s="19"/>
      <c r="F537" s="19"/>
    </row>
    <row r="538" spans="1:6" ht="19.95" customHeight="1" x14ac:dyDescent="0.25">
      <c r="A538" s="17" t="s">
        <v>13</v>
      </c>
      <c r="B538" s="18" t="s">
        <v>14</v>
      </c>
      <c r="C538" s="18">
        <v>21.078546799413701</v>
      </c>
      <c r="D538" s="18">
        <v>1979</v>
      </c>
      <c r="E538" s="19"/>
      <c r="F538" s="19"/>
    </row>
    <row r="539" spans="1:6" ht="19.95" customHeight="1" x14ac:dyDescent="0.25">
      <c r="A539" s="17" t="s">
        <v>16</v>
      </c>
      <c r="B539" s="18" t="s">
        <v>14</v>
      </c>
      <c r="C539" s="18">
        <v>17.7786010417657</v>
      </c>
      <c r="D539" s="18">
        <v>1979</v>
      </c>
      <c r="E539" s="19"/>
      <c r="F539" s="19"/>
    </row>
    <row r="540" spans="1:6" ht="19.95" customHeight="1" x14ac:dyDescent="0.25">
      <c r="A540" s="17" t="s">
        <v>15</v>
      </c>
      <c r="B540" s="18" t="s">
        <v>14</v>
      </c>
      <c r="C540" s="18"/>
      <c r="D540" s="18">
        <v>1979</v>
      </c>
      <c r="E540" s="19"/>
      <c r="F540" s="19"/>
    </row>
    <row r="541" spans="1:6" ht="19.95" customHeight="1" x14ac:dyDescent="0.25">
      <c r="A541" s="17" t="s">
        <v>17</v>
      </c>
      <c r="B541" s="18" t="s">
        <v>14</v>
      </c>
      <c r="C541" s="18"/>
      <c r="D541" s="18">
        <v>1979</v>
      </c>
      <c r="E541" s="19"/>
      <c r="F541" s="19"/>
    </row>
    <row r="542" spans="1:6" ht="19.95" customHeight="1" x14ac:dyDescent="0.25">
      <c r="A542" s="17" t="s">
        <v>18</v>
      </c>
      <c r="B542" s="18" t="s">
        <v>14</v>
      </c>
      <c r="C542" s="18"/>
      <c r="D542" s="18">
        <v>1979</v>
      </c>
      <c r="E542" s="19"/>
      <c r="F542" s="19"/>
    </row>
    <row r="543" spans="1:6" ht="19.95" customHeight="1" x14ac:dyDescent="0.25">
      <c r="A543" s="17" t="s">
        <v>19</v>
      </c>
      <c r="B543" s="18" t="s">
        <v>14</v>
      </c>
      <c r="C543" s="18"/>
      <c r="D543" s="18">
        <v>1979</v>
      </c>
      <c r="E543" s="19"/>
      <c r="F543" s="19"/>
    </row>
    <row r="544" spans="1:6" ht="19.95" customHeight="1" x14ac:dyDescent="0.25">
      <c r="A544" s="17" t="s">
        <v>20</v>
      </c>
      <c r="B544" s="18" t="s">
        <v>14</v>
      </c>
      <c r="C544" s="18"/>
      <c r="D544" s="18">
        <v>1979</v>
      </c>
      <c r="E544" s="19"/>
      <c r="F544" s="19"/>
    </row>
    <row r="545" spans="1:6" ht="19.95" customHeight="1" x14ac:dyDescent="0.25">
      <c r="A545" s="17" t="s">
        <v>21</v>
      </c>
      <c r="B545" s="18" t="s">
        <v>14</v>
      </c>
      <c r="C545" s="18">
        <v>25.753154235687902</v>
      </c>
      <c r="D545" s="18">
        <v>1979</v>
      </c>
      <c r="E545" s="19"/>
      <c r="F545" s="19"/>
    </row>
    <row r="546" spans="1:6" ht="19.95" customHeight="1" x14ac:dyDescent="0.25">
      <c r="A546" s="17" t="s">
        <v>22</v>
      </c>
      <c r="B546" s="18" t="s">
        <v>14</v>
      </c>
      <c r="C546" s="18"/>
      <c r="D546" s="18">
        <v>1979</v>
      </c>
      <c r="E546" s="19"/>
      <c r="F546" s="19"/>
    </row>
    <row r="547" spans="1:6" ht="19.95" customHeight="1" x14ac:dyDescent="0.25">
      <c r="A547" s="17" t="s">
        <v>23</v>
      </c>
      <c r="B547" s="18" t="s">
        <v>14</v>
      </c>
      <c r="C547" s="18">
        <v>68.004155427329806</v>
      </c>
      <c r="D547" s="18">
        <v>1979</v>
      </c>
      <c r="E547" s="19"/>
      <c r="F547" s="19"/>
    </row>
    <row r="548" spans="1:6" ht="19.95" customHeight="1" x14ac:dyDescent="0.25">
      <c r="A548" s="17" t="s">
        <v>24</v>
      </c>
      <c r="B548" s="18" t="s">
        <v>14</v>
      </c>
      <c r="C548" s="18">
        <v>14.575381808721801</v>
      </c>
      <c r="D548" s="18">
        <v>1979</v>
      </c>
      <c r="E548" s="19"/>
      <c r="F548" s="19"/>
    </row>
    <row r="549" spans="1:6" ht="19.95" customHeight="1" x14ac:dyDescent="0.25">
      <c r="A549" s="17" t="s">
        <v>25</v>
      </c>
      <c r="B549" s="18" t="s">
        <v>14</v>
      </c>
      <c r="C549" s="18">
        <v>23.1925968768074</v>
      </c>
      <c r="D549" s="18">
        <v>1979</v>
      </c>
      <c r="E549" s="19"/>
      <c r="F549" s="19"/>
    </row>
    <row r="550" spans="1:6" ht="19.95" customHeight="1" x14ac:dyDescent="0.25">
      <c r="A550" s="17" t="s">
        <v>26</v>
      </c>
      <c r="B550" s="18" t="s">
        <v>14</v>
      </c>
      <c r="C550" s="18">
        <v>11.992421178423401</v>
      </c>
      <c r="D550" s="18">
        <v>1979</v>
      </c>
      <c r="E550" s="19"/>
      <c r="F550" s="19"/>
    </row>
    <row r="551" spans="1:6" ht="19.95" customHeight="1" x14ac:dyDescent="0.25">
      <c r="A551" s="17" t="s">
        <v>27</v>
      </c>
      <c r="B551" s="18" t="s">
        <v>14</v>
      </c>
      <c r="C551" s="18"/>
      <c r="D551" s="18">
        <v>1979</v>
      </c>
      <c r="E551" s="19"/>
      <c r="F551" s="19"/>
    </row>
    <row r="552" spans="1:6" ht="19.95" customHeight="1" x14ac:dyDescent="0.25">
      <c r="A552" s="17" t="s">
        <v>28</v>
      </c>
      <c r="B552" s="18" t="s">
        <v>14</v>
      </c>
      <c r="C552" s="18"/>
      <c r="D552" s="18">
        <v>1979</v>
      </c>
      <c r="E552" s="19"/>
      <c r="F552" s="19"/>
    </row>
    <row r="553" spans="1:6" ht="19.95" customHeight="1" x14ac:dyDescent="0.25">
      <c r="A553" s="17" t="s">
        <v>29</v>
      </c>
      <c r="B553" s="18" t="s">
        <v>14</v>
      </c>
      <c r="C553" s="18"/>
      <c r="D553" s="18">
        <v>1979</v>
      </c>
      <c r="E553" s="19"/>
      <c r="F553" s="19"/>
    </row>
    <row r="554" spans="1:6" ht="19.95" customHeight="1" x14ac:dyDescent="0.25">
      <c r="A554" s="17" t="s">
        <v>31</v>
      </c>
      <c r="B554" s="18" t="s">
        <v>14</v>
      </c>
      <c r="C554" s="18">
        <v>11.7848295665774</v>
      </c>
      <c r="D554" s="18">
        <v>1979</v>
      </c>
      <c r="E554" s="19"/>
      <c r="F554" s="19"/>
    </row>
    <row r="555" spans="1:6" ht="19.95" customHeight="1" x14ac:dyDescent="0.25">
      <c r="A555" s="17" t="s">
        <v>32</v>
      </c>
      <c r="B555" s="18" t="s">
        <v>14</v>
      </c>
      <c r="C555" s="18">
        <v>42.024580211101501</v>
      </c>
      <c r="D555" s="18">
        <v>1979</v>
      </c>
      <c r="E555" s="19"/>
      <c r="F555" s="19"/>
    </row>
    <row r="556" spans="1:6" ht="19.95" customHeight="1" x14ac:dyDescent="0.25">
      <c r="A556" s="17" t="s">
        <v>33</v>
      </c>
      <c r="B556" s="18" t="s">
        <v>14</v>
      </c>
      <c r="C556" s="18">
        <v>28.541148540586899</v>
      </c>
      <c r="D556" s="18">
        <v>1979</v>
      </c>
      <c r="E556" s="19"/>
      <c r="F556" s="19"/>
    </row>
    <row r="557" spans="1:6" ht="19.95" customHeight="1" x14ac:dyDescent="0.25">
      <c r="A557" s="17" t="s">
        <v>34</v>
      </c>
      <c r="B557" s="18" t="s">
        <v>14</v>
      </c>
      <c r="C557" s="18">
        <v>21.046063133841901</v>
      </c>
      <c r="D557" s="18">
        <v>1979</v>
      </c>
      <c r="E557" s="19"/>
      <c r="F557" s="19"/>
    </row>
    <row r="558" spans="1:6" ht="19.95" customHeight="1" x14ac:dyDescent="0.25">
      <c r="A558" s="17" t="s">
        <v>35</v>
      </c>
      <c r="B558" s="18" t="s">
        <v>14</v>
      </c>
      <c r="C558" s="18"/>
      <c r="D558" s="18">
        <v>1979</v>
      </c>
      <c r="E558" s="19"/>
      <c r="F558" s="19"/>
    </row>
    <row r="559" spans="1:6" ht="19.95" customHeight="1" x14ac:dyDescent="0.25">
      <c r="A559" s="17" t="s">
        <v>2</v>
      </c>
      <c r="B559" s="18" t="s">
        <v>14</v>
      </c>
      <c r="C559" s="18">
        <v>33.7106534063794</v>
      </c>
      <c r="D559" s="18">
        <v>1979</v>
      </c>
      <c r="E559" s="19"/>
      <c r="F559" s="19"/>
    </row>
    <row r="560" spans="1:6" ht="19.95" customHeight="1" x14ac:dyDescent="0.25">
      <c r="A560" s="17" t="s">
        <v>36</v>
      </c>
      <c r="B560" s="18" t="s">
        <v>14</v>
      </c>
      <c r="C560" s="18"/>
      <c r="D560" s="18">
        <v>1979</v>
      </c>
      <c r="E560" s="19"/>
      <c r="F560" s="19"/>
    </row>
    <row r="561" spans="1:6" ht="19.95" customHeight="1" x14ac:dyDescent="0.25">
      <c r="A561" s="17" t="s">
        <v>37</v>
      </c>
      <c r="B561" s="18" t="s">
        <v>14</v>
      </c>
      <c r="C561" s="18"/>
      <c r="D561" s="18">
        <v>1979</v>
      </c>
      <c r="E561" s="19"/>
      <c r="F561" s="19"/>
    </row>
    <row r="562" spans="1:6" ht="19.95" customHeight="1" x14ac:dyDescent="0.25">
      <c r="A562" s="17" t="s">
        <v>38</v>
      </c>
      <c r="B562" s="18" t="s">
        <v>14</v>
      </c>
      <c r="C562" s="18">
        <v>19.401362770421098</v>
      </c>
      <c r="D562" s="18">
        <v>1979</v>
      </c>
      <c r="E562" s="19"/>
      <c r="F562" s="19"/>
    </row>
    <row r="563" spans="1:6" ht="19.95" customHeight="1" x14ac:dyDescent="0.25">
      <c r="A563" s="17" t="s">
        <v>39</v>
      </c>
      <c r="B563" s="18" t="s">
        <v>14</v>
      </c>
      <c r="C563" s="18"/>
      <c r="D563" s="18">
        <v>1979</v>
      </c>
      <c r="E563" s="19"/>
      <c r="F563" s="19"/>
    </row>
    <row r="564" spans="1:6" ht="19.95" customHeight="1" x14ac:dyDescent="0.25">
      <c r="A564" s="17" t="s">
        <v>40</v>
      </c>
      <c r="B564" s="18" t="s">
        <v>14</v>
      </c>
      <c r="C564" s="18">
        <v>21.800002912625398</v>
      </c>
      <c r="D564" s="18">
        <v>1979</v>
      </c>
      <c r="E564" s="19"/>
      <c r="F564" s="19"/>
    </row>
    <row r="565" spans="1:6" ht="19.95" customHeight="1" x14ac:dyDescent="0.25">
      <c r="A565" s="17" t="s">
        <v>10</v>
      </c>
      <c r="B565" s="18" t="s">
        <v>14</v>
      </c>
      <c r="C565" s="18">
        <v>8.8093805647571592</v>
      </c>
      <c r="D565" s="18">
        <v>1980</v>
      </c>
      <c r="E565" s="19"/>
      <c r="F565" s="19"/>
    </row>
    <row r="566" spans="1:6" ht="19.95" customHeight="1" x14ac:dyDescent="0.25">
      <c r="A566" s="17" t="s">
        <v>13</v>
      </c>
      <c r="B566" s="18" t="s">
        <v>14</v>
      </c>
      <c r="C566" s="18">
        <v>27.884748187111398</v>
      </c>
      <c r="D566" s="18">
        <v>1980</v>
      </c>
      <c r="E566" s="19"/>
      <c r="F566" s="19"/>
    </row>
    <row r="567" spans="1:6" ht="19.95" customHeight="1" x14ac:dyDescent="0.25">
      <c r="A567" s="17" t="s">
        <v>16</v>
      </c>
      <c r="B567" s="18" t="s">
        <v>14</v>
      </c>
      <c r="C567" s="18">
        <v>16.944906743021299</v>
      </c>
      <c r="D567" s="18">
        <v>1980</v>
      </c>
      <c r="E567" s="19"/>
      <c r="F567" s="19"/>
    </row>
    <row r="568" spans="1:6" ht="19.95" customHeight="1" x14ac:dyDescent="0.25">
      <c r="A568" s="17" t="s">
        <v>15</v>
      </c>
      <c r="B568" s="18" t="s">
        <v>14</v>
      </c>
      <c r="C568" s="18">
        <v>8.6993182007384107</v>
      </c>
      <c r="D568" s="18">
        <v>1980</v>
      </c>
      <c r="E568" s="19"/>
      <c r="F568" s="19"/>
    </row>
    <row r="569" spans="1:6" ht="19.95" customHeight="1" x14ac:dyDescent="0.25">
      <c r="A569" s="17" t="s">
        <v>17</v>
      </c>
      <c r="B569" s="18" t="s">
        <v>14</v>
      </c>
      <c r="C569" s="18"/>
      <c r="D569" s="18">
        <v>1980</v>
      </c>
      <c r="E569" s="19"/>
      <c r="F569" s="19"/>
    </row>
    <row r="570" spans="1:6" ht="19.95" customHeight="1" x14ac:dyDescent="0.25">
      <c r="A570" s="17" t="s">
        <v>18</v>
      </c>
      <c r="B570" s="18" t="s">
        <v>14</v>
      </c>
      <c r="C570" s="18"/>
      <c r="D570" s="18">
        <v>1980</v>
      </c>
      <c r="E570" s="19"/>
      <c r="F570" s="19"/>
    </row>
    <row r="571" spans="1:6" ht="19.95" customHeight="1" x14ac:dyDescent="0.25">
      <c r="A571" s="17" t="s">
        <v>19</v>
      </c>
      <c r="B571" s="18" t="s">
        <v>14</v>
      </c>
      <c r="C571" s="18"/>
      <c r="D571" s="18">
        <v>1980</v>
      </c>
      <c r="E571" s="19"/>
      <c r="F571" s="19"/>
    </row>
    <row r="572" spans="1:6" ht="19.95" customHeight="1" x14ac:dyDescent="0.25">
      <c r="A572" s="17" t="s">
        <v>20</v>
      </c>
      <c r="B572" s="18" t="s">
        <v>14</v>
      </c>
      <c r="C572" s="18"/>
      <c r="D572" s="18">
        <v>1980</v>
      </c>
      <c r="E572" s="19"/>
      <c r="F572" s="19"/>
    </row>
    <row r="573" spans="1:6" ht="19.95" customHeight="1" x14ac:dyDescent="0.25">
      <c r="A573" s="17" t="s">
        <v>21</v>
      </c>
      <c r="B573" s="18" t="s">
        <v>14</v>
      </c>
      <c r="C573" s="18">
        <v>29.516964217512001</v>
      </c>
      <c r="D573" s="18">
        <v>1980</v>
      </c>
      <c r="E573" s="19"/>
      <c r="F573" s="19"/>
    </row>
    <row r="574" spans="1:6" ht="19.95" customHeight="1" x14ac:dyDescent="0.25">
      <c r="A574" s="17" t="s">
        <v>22</v>
      </c>
      <c r="B574" s="18" t="s">
        <v>14</v>
      </c>
      <c r="C574" s="18"/>
      <c r="D574" s="18">
        <v>1980</v>
      </c>
      <c r="E574" s="19"/>
      <c r="F574" s="19"/>
    </row>
    <row r="575" spans="1:6" ht="19.95" customHeight="1" x14ac:dyDescent="0.25">
      <c r="A575" s="17" t="s">
        <v>23</v>
      </c>
      <c r="B575" s="18" t="s">
        <v>14</v>
      </c>
      <c r="C575" s="18">
        <v>71.778594297607995</v>
      </c>
      <c r="D575" s="18">
        <v>1980</v>
      </c>
      <c r="E575" s="19"/>
      <c r="F575" s="19"/>
    </row>
    <row r="576" spans="1:6" ht="19.95" customHeight="1" x14ac:dyDescent="0.25">
      <c r="A576" s="17" t="s">
        <v>24</v>
      </c>
      <c r="B576" s="18" t="s">
        <v>14</v>
      </c>
      <c r="C576" s="18">
        <v>13.3427556649841</v>
      </c>
      <c r="D576" s="18">
        <v>1980</v>
      </c>
      <c r="E576" s="19"/>
      <c r="F576" s="19"/>
    </row>
    <row r="577" spans="1:6" ht="19.95" customHeight="1" x14ac:dyDescent="0.25">
      <c r="A577" s="17" t="s">
        <v>25</v>
      </c>
      <c r="B577" s="18" t="s">
        <v>14</v>
      </c>
      <c r="C577" s="18">
        <v>24.843299174211499</v>
      </c>
      <c r="D577" s="18">
        <v>1980</v>
      </c>
      <c r="E577" s="19"/>
      <c r="F577" s="19"/>
    </row>
    <row r="578" spans="1:6" ht="19.95" customHeight="1" x14ac:dyDescent="0.25">
      <c r="A578" s="17" t="s">
        <v>26</v>
      </c>
      <c r="B578" s="18" t="s">
        <v>14</v>
      </c>
      <c r="C578" s="18">
        <v>14.806874349387201</v>
      </c>
      <c r="D578" s="18">
        <v>1980</v>
      </c>
      <c r="E578" s="19"/>
      <c r="F578" s="19"/>
    </row>
    <row r="579" spans="1:6" ht="19.95" customHeight="1" x14ac:dyDescent="0.25">
      <c r="A579" s="17" t="s">
        <v>27</v>
      </c>
      <c r="B579" s="18" t="s">
        <v>14</v>
      </c>
      <c r="C579" s="18"/>
      <c r="D579" s="18">
        <v>1980</v>
      </c>
      <c r="E579" s="19"/>
      <c r="F579" s="19"/>
    </row>
    <row r="580" spans="1:6" ht="19.95" customHeight="1" x14ac:dyDescent="0.25">
      <c r="A580" s="17" t="s">
        <v>28</v>
      </c>
      <c r="B580" s="18" t="s">
        <v>14</v>
      </c>
      <c r="C580" s="18">
        <v>10.861895271580201</v>
      </c>
      <c r="D580" s="18">
        <v>1980</v>
      </c>
      <c r="E580" s="19"/>
      <c r="F580" s="19"/>
    </row>
    <row r="581" spans="1:6" ht="19.95" customHeight="1" x14ac:dyDescent="0.25">
      <c r="A581" s="17" t="s">
        <v>29</v>
      </c>
      <c r="B581" s="18" t="s">
        <v>14</v>
      </c>
      <c r="C581" s="18"/>
      <c r="D581" s="18">
        <v>1980</v>
      </c>
      <c r="E581" s="19"/>
      <c r="F581" s="19"/>
    </row>
    <row r="582" spans="1:6" ht="19.95" customHeight="1" x14ac:dyDescent="0.25">
      <c r="A582" s="17" t="s">
        <v>31</v>
      </c>
      <c r="B582" s="18" t="s">
        <v>14</v>
      </c>
      <c r="C582" s="18">
        <v>11.5412625387034</v>
      </c>
      <c r="D582" s="18">
        <v>1980</v>
      </c>
      <c r="E582" s="19"/>
      <c r="F582" s="19"/>
    </row>
    <row r="583" spans="1:6" ht="19.95" customHeight="1" x14ac:dyDescent="0.25">
      <c r="A583" s="17" t="s">
        <v>32</v>
      </c>
      <c r="B583" s="18" t="s">
        <v>14</v>
      </c>
      <c r="C583" s="18">
        <v>24.228800356556398</v>
      </c>
      <c r="D583" s="18">
        <v>1980</v>
      </c>
      <c r="E583" s="19"/>
      <c r="F583" s="19"/>
    </row>
    <row r="584" spans="1:6" ht="19.95" customHeight="1" x14ac:dyDescent="0.25">
      <c r="A584" s="17" t="s">
        <v>33</v>
      </c>
      <c r="B584" s="18" t="s">
        <v>14</v>
      </c>
      <c r="C584" s="18">
        <v>24.584222503717299</v>
      </c>
      <c r="D584" s="18">
        <v>1980</v>
      </c>
      <c r="E584" s="19"/>
      <c r="F584" s="19"/>
    </row>
    <row r="585" spans="1:6" ht="19.95" customHeight="1" x14ac:dyDescent="0.25">
      <c r="A585" s="17" t="s">
        <v>34</v>
      </c>
      <c r="B585" s="18" t="s">
        <v>14</v>
      </c>
      <c r="C585" s="18">
        <v>14.436521583244801</v>
      </c>
      <c r="D585" s="18">
        <v>1980</v>
      </c>
      <c r="E585" s="19"/>
      <c r="F585" s="19"/>
    </row>
    <row r="586" spans="1:6" ht="19.95" customHeight="1" x14ac:dyDescent="0.25">
      <c r="A586" s="17" t="s">
        <v>35</v>
      </c>
      <c r="B586" s="18" t="s">
        <v>14</v>
      </c>
      <c r="C586" s="18"/>
      <c r="D586" s="18">
        <v>1980</v>
      </c>
      <c r="E586" s="19"/>
      <c r="F586" s="19"/>
    </row>
    <row r="587" spans="1:6" ht="19.95" customHeight="1" x14ac:dyDescent="0.25">
      <c r="A587" s="17" t="s">
        <v>2</v>
      </c>
      <c r="B587" s="18" t="s">
        <v>14</v>
      </c>
      <c r="C587" s="18">
        <v>32.218497752792103</v>
      </c>
      <c r="D587" s="18">
        <v>1980</v>
      </c>
      <c r="E587" s="19"/>
      <c r="F587" s="19"/>
    </row>
    <row r="588" spans="1:6" ht="19.95" customHeight="1" x14ac:dyDescent="0.25">
      <c r="A588" s="17" t="s">
        <v>36</v>
      </c>
      <c r="B588" s="18" t="s">
        <v>14</v>
      </c>
      <c r="C588" s="18"/>
      <c r="D588" s="18">
        <v>1980</v>
      </c>
      <c r="E588" s="19"/>
      <c r="F588" s="19"/>
    </row>
    <row r="589" spans="1:6" ht="19.95" customHeight="1" x14ac:dyDescent="0.25">
      <c r="A589" s="17" t="s">
        <v>37</v>
      </c>
      <c r="B589" s="18" t="s">
        <v>14</v>
      </c>
      <c r="C589" s="18"/>
      <c r="D589" s="18">
        <v>1980</v>
      </c>
      <c r="E589" s="19"/>
      <c r="F589" s="19"/>
    </row>
    <row r="590" spans="1:6" ht="19.95" customHeight="1" x14ac:dyDescent="0.25">
      <c r="A590" s="17" t="s">
        <v>38</v>
      </c>
      <c r="B590" s="18" t="s">
        <v>14</v>
      </c>
      <c r="C590" s="18">
        <v>19.443841846040101</v>
      </c>
      <c r="D590" s="18">
        <v>1980</v>
      </c>
      <c r="E590" s="19"/>
      <c r="F590" s="19"/>
    </row>
    <row r="591" spans="1:6" ht="19.95" customHeight="1" x14ac:dyDescent="0.25">
      <c r="A591" s="17" t="s">
        <v>39</v>
      </c>
      <c r="B591" s="18" t="s">
        <v>14</v>
      </c>
      <c r="C591" s="18"/>
      <c r="D591" s="18">
        <v>1980</v>
      </c>
      <c r="E591" s="19"/>
      <c r="F591" s="19"/>
    </row>
    <row r="592" spans="1:6" ht="19.95" customHeight="1" x14ac:dyDescent="0.25">
      <c r="A592" s="17" t="s">
        <v>40</v>
      </c>
      <c r="B592" s="18" t="s">
        <v>14</v>
      </c>
      <c r="C592" s="18">
        <v>23.367391798508599</v>
      </c>
      <c r="D592" s="18">
        <v>1980</v>
      </c>
      <c r="E592" s="19"/>
      <c r="F592" s="19"/>
    </row>
    <row r="593" spans="1:6" ht="19.95" customHeight="1" x14ac:dyDescent="0.25">
      <c r="A593" s="17" t="s">
        <v>10</v>
      </c>
      <c r="B593" s="18" t="s">
        <v>14</v>
      </c>
      <c r="C593" s="18">
        <v>9.1433505094353897</v>
      </c>
      <c r="D593" s="18">
        <v>1981</v>
      </c>
      <c r="E593" s="19"/>
      <c r="F593" s="19"/>
    </row>
    <row r="594" spans="1:6" ht="19.95" customHeight="1" x14ac:dyDescent="0.25">
      <c r="A594" s="17" t="s">
        <v>13</v>
      </c>
      <c r="B594" s="18" t="s">
        <v>14</v>
      </c>
      <c r="C594" s="18">
        <v>21.867053341210401</v>
      </c>
      <c r="D594" s="18">
        <v>1981</v>
      </c>
      <c r="E594" s="19"/>
      <c r="F594" s="19"/>
    </row>
    <row r="595" spans="1:6" ht="19.95" customHeight="1" x14ac:dyDescent="0.25">
      <c r="A595" s="17" t="s">
        <v>16</v>
      </c>
      <c r="B595" s="18" t="s">
        <v>14</v>
      </c>
      <c r="C595" s="18">
        <v>15.1004602128159</v>
      </c>
      <c r="D595" s="18">
        <v>1981</v>
      </c>
      <c r="E595" s="19"/>
      <c r="F595" s="19"/>
    </row>
    <row r="596" spans="1:6" ht="19.95" customHeight="1" x14ac:dyDescent="0.25">
      <c r="A596" s="17" t="s">
        <v>15</v>
      </c>
      <c r="B596" s="18" t="s">
        <v>14</v>
      </c>
      <c r="C596" s="18">
        <v>11.758075822086701</v>
      </c>
      <c r="D596" s="18">
        <v>1981</v>
      </c>
      <c r="E596" s="19"/>
      <c r="F596" s="19"/>
    </row>
    <row r="597" spans="1:6" ht="19.95" customHeight="1" x14ac:dyDescent="0.25">
      <c r="A597" s="17" t="s">
        <v>17</v>
      </c>
      <c r="B597" s="18" t="s">
        <v>14</v>
      </c>
      <c r="C597" s="18"/>
      <c r="D597" s="18">
        <v>1981</v>
      </c>
      <c r="E597" s="19"/>
      <c r="F597" s="19"/>
    </row>
    <row r="598" spans="1:6" ht="19.95" customHeight="1" x14ac:dyDescent="0.25">
      <c r="A598" s="17" t="s">
        <v>18</v>
      </c>
      <c r="B598" s="18" t="s">
        <v>14</v>
      </c>
      <c r="C598" s="18"/>
      <c r="D598" s="18">
        <v>1981</v>
      </c>
      <c r="E598" s="19"/>
      <c r="F598" s="19"/>
    </row>
    <row r="599" spans="1:6" ht="19.95" customHeight="1" x14ac:dyDescent="0.25">
      <c r="A599" s="17" t="s">
        <v>19</v>
      </c>
      <c r="B599" s="18" t="s">
        <v>14</v>
      </c>
      <c r="C599" s="18"/>
      <c r="D599" s="18">
        <v>1981</v>
      </c>
      <c r="E599" s="19"/>
      <c r="F599" s="19"/>
    </row>
    <row r="600" spans="1:6" ht="19.95" customHeight="1" x14ac:dyDescent="0.25">
      <c r="A600" s="17" t="s">
        <v>20</v>
      </c>
      <c r="B600" s="18" t="s">
        <v>14</v>
      </c>
      <c r="C600" s="18"/>
      <c r="D600" s="18">
        <v>1981</v>
      </c>
      <c r="E600" s="19"/>
      <c r="F600" s="19"/>
    </row>
    <row r="601" spans="1:6" ht="19.95" customHeight="1" x14ac:dyDescent="0.25">
      <c r="A601" s="17" t="s">
        <v>21</v>
      </c>
      <c r="B601" s="18" t="s">
        <v>14</v>
      </c>
      <c r="C601" s="18">
        <v>30.4598813209494</v>
      </c>
      <c r="D601" s="18">
        <v>1981</v>
      </c>
      <c r="E601" s="19"/>
      <c r="F601" s="19"/>
    </row>
    <row r="602" spans="1:6" ht="19.95" customHeight="1" x14ac:dyDescent="0.25">
      <c r="A602" s="17" t="s">
        <v>22</v>
      </c>
      <c r="B602" s="18" t="s">
        <v>14</v>
      </c>
      <c r="C602" s="18"/>
      <c r="D602" s="18">
        <v>1981</v>
      </c>
      <c r="E602" s="19"/>
      <c r="F602" s="19"/>
    </row>
    <row r="603" spans="1:6" ht="19.95" customHeight="1" x14ac:dyDescent="0.25">
      <c r="A603" s="17" t="s">
        <v>23</v>
      </c>
      <c r="B603" s="18" t="s">
        <v>14</v>
      </c>
      <c r="C603" s="18">
        <v>69.461302789261097</v>
      </c>
      <c r="D603" s="18">
        <v>1981</v>
      </c>
      <c r="E603" s="19"/>
      <c r="F603" s="19"/>
    </row>
    <row r="604" spans="1:6" ht="19.95" customHeight="1" x14ac:dyDescent="0.25">
      <c r="A604" s="17" t="s">
        <v>24</v>
      </c>
      <c r="B604" s="18" t="s">
        <v>14</v>
      </c>
      <c r="C604" s="18">
        <v>11.5052727797532</v>
      </c>
      <c r="D604" s="18">
        <v>1981</v>
      </c>
      <c r="E604" s="19"/>
      <c r="F604" s="19"/>
    </row>
    <row r="605" spans="1:6" ht="19.95" customHeight="1" x14ac:dyDescent="0.25">
      <c r="A605" s="17" t="s">
        <v>25</v>
      </c>
      <c r="B605" s="18" t="s">
        <v>14</v>
      </c>
      <c r="C605" s="18">
        <v>25.665553650392599</v>
      </c>
      <c r="D605" s="18">
        <v>1981</v>
      </c>
      <c r="E605" s="19"/>
      <c r="F605" s="19"/>
    </row>
    <row r="606" spans="1:6" ht="19.95" customHeight="1" x14ac:dyDescent="0.25">
      <c r="A606" s="17" t="s">
        <v>26</v>
      </c>
      <c r="B606" s="18" t="s">
        <v>14</v>
      </c>
      <c r="C606" s="18">
        <v>13.299784945839599</v>
      </c>
      <c r="D606" s="18">
        <v>1981</v>
      </c>
      <c r="E606" s="19"/>
      <c r="F606" s="19"/>
    </row>
    <row r="607" spans="1:6" ht="19.95" customHeight="1" x14ac:dyDescent="0.25">
      <c r="A607" s="17" t="s">
        <v>27</v>
      </c>
      <c r="B607" s="18" t="s">
        <v>14</v>
      </c>
      <c r="C607" s="18"/>
      <c r="D607" s="18">
        <v>1981</v>
      </c>
      <c r="E607" s="19"/>
      <c r="F607" s="19"/>
    </row>
    <row r="608" spans="1:6" ht="19.95" customHeight="1" x14ac:dyDescent="0.25">
      <c r="A608" s="17" t="s">
        <v>28</v>
      </c>
      <c r="B608" s="18" t="s">
        <v>14</v>
      </c>
      <c r="C608" s="18">
        <v>9.9495753630477708</v>
      </c>
      <c r="D608" s="18">
        <v>1981</v>
      </c>
      <c r="E608" s="19"/>
      <c r="F608" s="19"/>
    </row>
    <row r="609" spans="1:6" ht="19.95" customHeight="1" x14ac:dyDescent="0.25">
      <c r="A609" s="17" t="s">
        <v>29</v>
      </c>
      <c r="B609" s="18" t="s">
        <v>14</v>
      </c>
      <c r="C609" s="18"/>
      <c r="D609" s="18">
        <v>1981</v>
      </c>
      <c r="E609" s="19"/>
      <c r="F609" s="19"/>
    </row>
    <row r="610" spans="1:6" ht="19.95" customHeight="1" x14ac:dyDescent="0.25">
      <c r="A610" s="17" t="s">
        <v>31</v>
      </c>
      <c r="B610" s="18" t="s">
        <v>14</v>
      </c>
      <c r="C610" s="18">
        <v>12.901454300373199</v>
      </c>
      <c r="D610" s="18">
        <v>1981</v>
      </c>
      <c r="E610" s="19"/>
      <c r="F610" s="19"/>
    </row>
    <row r="611" spans="1:6" ht="19.95" customHeight="1" x14ac:dyDescent="0.25">
      <c r="A611" s="17" t="s">
        <v>32</v>
      </c>
      <c r="B611" s="18" t="s">
        <v>14</v>
      </c>
      <c r="C611" s="18">
        <v>22.344165713605101</v>
      </c>
      <c r="D611" s="18">
        <v>1981</v>
      </c>
      <c r="E611" s="19"/>
      <c r="F611" s="19"/>
    </row>
    <row r="612" spans="1:6" ht="19.95" customHeight="1" x14ac:dyDescent="0.25">
      <c r="A612" s="17" t="s">
        <v>33</v>
      </c>
      <c r="B612" s="18" t="s">
        <v>14</v>
      </c>
      <c r="C612" s="18">
        <v>24.155824162405501</v>
      </c>
      <c r="D612" s="18">
        <v>1981</v>
      </c>
      <c r="E612" s="19"/>
      <c r="F612" s="19"/>
    </row>
    <row r="613" spans="1:6" ht="19.95" customHeight="1" x14ac:dyDescent="0.25">
      <c r="A613" s="17" t="s">
        <v>34</v>
      </c>
      <c r="B613" s="18" t="s">
        <v>14</v>
      </c>
      <c r="C613" s="18">
        <v>9.8255055432608103</v>
      </c>
      <c r="D613" s="18">
        <v>1981</v>
      </c>
      <c r="E613" s="19"/>
      <c r="F613" s="19"/>
    </row>
    <row r="614" spans="1:6" ht="19.95" customHeight="1" x14ac:dyDescent="0.25">
      <c r="A614" s="17" t="s">
        <v>35</v>
      </c>
      <c r="B614" s="18" t="s">
        <v>14</v>
      </c>
      <c r="C614" s="18"/>
      <c r="D614" s="18">
        <v>1981</v>
      </c>
      <c r="E614" s="19"/>
      <c r="F614" s="19"/>
    </row>
    <row r="615" spans="1:6" ht="19.95" customHeight="1" x14ac:dyDescent="0.25">
      <c r="A615" s="17" t="s">
        <v>2</v>
      </c>
      <c r="B615" s="18" t="s">
        <v>14</v>
      </c>
      <c r="C615" s="18">
        <v>30.459384742074</v>
      </c>
      <c r="D615" s="18">
        <v>1981</v>
      </c>
      <c r="E615" s="19"/>
      <c r="F615" s="19"/>
    </row>
    <row r="616" spans="1:6" ht="19.95" customHeight="1" x14ac:dyDescent="0.25">
      <c r="A616" s="17" t="s">
        <v>36</v>
      </c>
      <c r="B616" s="18" t="s">
        <v>14</v>
      </c>
      <c r="C616" s="18"/>
      <c r="D616" s="18">
        <v>1981</v>
      </c>
      <c r="E616" s="19"/>
      <c r="F616" s="19"/>
    </row>
    <row r="617" spans="1:6" ht="19.95" customHeight="1" x14ac:dyDescent="0.25">
      <c r="A617" s="17" t="s">
        <v>37</v>
      </c>
      <c r="B617" s="18" t="s">
        <v>14</v>
      </c>
      <c r="C617" s="18"/>
      <c r="D617" s="18">
        <v>1981</v>
      </c>
      <c r="E617" s="19"/>
      <c r="F617" s="19"/>
    </row>
    <row r="618" spans="1:6" ht="19.95" customHeight="1" x14ac:dyDescent="0.25">
      <c r="A618" s="17" t="s">
        <v>38</v>
      </c>
      <c r="B618" s="18" t="s">
        <v>14</v>
      </c>
      <c r="C618" s="18">
        <v>16.0771704180064</v>
      </c>
      <c r="D618" s="18">
        <v>1981</v>
      </c>
      <c r="E618" s="19"/>
      <c r="F618" s="19"/>
    </row>
    <row r="619" spans="1:6" ht="19.95" customHeight="1" x14ac:dyDescent="0.25">
      <c r="A619" s="17" t="s">
        <v>39</v>
      </c>
      <c r="B619" s="18" t="s">
        <v>14</v>
      </c>
      <c r="C619" s="18"/>
      <c r="D619" s="18">
        <v>1981</v>
      </c>
      <c r="E619" s="19"/>
      <c r="F619" s="19"/>
    </row>
    <row r="620" spans="1:6" ht="19.95" customHeight="1" x14ac:dyDescent="0.25">
      <c r="A620" s="17" t="s">
        <v>40</v>
      </c>
      <c r="B620" s="18" t="s">
        <v>14</v>
      </c>
      <c r="C620" s="18">
        <v>19.425226419968102</v>
      </c>
      <c r="D620" s="18">
        <v>1981</v>
      </c>
      <c r="E620" s="19"/>
      <c r="F620" s="19"/>
    </row>
    <row r="621" spans="1:6" ht="19.95" customHeight="1" x14ac:dyDescent="0.25">
      <c r="A621" s="17" t="s">
        <v>10</v>
      </c>
      <c r="B621" s="18" t="s">
        <v>14</v>
      </c>
      <c r="C621" s="18">
        <v>10.211974997258499</v>
      </c>
      <c r="D621" s="18">
        <v>1982</v>
      </c>
      <c r="E621" s="19"/>
      <c r="F621" s="19"/>
    </row>
    <row r="622" spans="1:6" ht="19.95" customHeight="1" x14ac:dyDescent="0.25">
      <c r="A622" s="17" t="s">
        <v>13</v>
      </c>
      <c r="B622" s="18" t="s">
        <v>14</v>
      </c>
      <c r="C622" s="18">
        <v>33.214337860807603</v>
      </c>
      <c r="D622" s="18">
        <v>1982</v>
      </c>
      <c r="E622" s="19"/>
      <c r="F622" s="19"/>
    </row>
    <row r="623" spans="1:6" ht="19.95" customHeight="1" x14ac:dyDescent="0.25">
      <c r="A623" s="17" t="s">
        <v>16</v>
      </c>
      <c r="B623" s="18" t="s">
        <v>14</v>
      </c>
      <c r="C623" s="18">
        <v>6.5619714664725297</v>
      </c>
      <c r="D623" s="18">
        <v>1982</v>
      </c>
      <c r="E623" s="19"/>
      <c r="F623" s="19"/>
    </row>
    <row r="624" spans="1:6" ht="19.95" customHeight="1" x14ac:dyDescent="0.25">
      <c r="A624" s="17" t="s">
        <v>15</v>
      </c>
      <c r="B624" s="18" t="s">
        <v>14</v>
      </c>
      <c r="C624" s="18">
        <v>15.686270910296701</v>
      </c>
      <c r="D624" s="18">
        <v>1982</v>
      </c>
      <c r="E624" s="19"/>
      <c r="F624" s="19"/>
    </row>
    <row r="625" spans="1:6" ht="19.95" customHeight="1" x14ac:dyDescent="0.25">
      <c r="A625" s="17" t="s">
        <v>17</v>
      </c>
      <c r="B625" s="18" t="s">
        <v>14</v>
      </c>
      <c r="C625" s="18"/>
      <c r="D625" s="18">
        <v>1982</v>
      </c>
      <c r="E625" s="19"/>
      <c r="F625" s="19"/>
    </row>
    <row r="626" spans="1:6" ht="19.95" customHeight="1" x14ac:dyDescent="0.25">
      <c r="A626" s="17" t="s">
        <v>18</v>
      </c>
      <c r="B626" s="18" t="s">
        <v>14</v>
      </c>
      <c r="C626" s="18"/>
      <c r="D626" s="18">
        <v>1982</v>
      </c>
      <c r="E626" s="19"/>
      <c r="F626" s="19"/>
    </row>
    <row r="627" spans="1:6" ht="19.95" customHeight="1" x14ac:dyDescent="0.25">
      <c r="A627" s="17" t="s">
        <v>19</v>
      </c>
      <c r="B627" s="18" t="s">
        <v>14</v>
      </c>
      <c r="C627" s="18"/>
      <c r="D627" s="18">
        <v>1982</v>
      </c>
      <c r="E627" s="19"/>
      <c r="F627" s="19"/>
    </row>
    <row r="628" spans="1:6" ht="19.95" customHeight="1" x14ac:dyDescent="0.25">
      <c r="A628" s="17" t="s">
        <v>20</v>
      </c>
      <c r="B628" s="18" t="s">
        <v>14</v>
      </c>
      <c r="C628" s="18"/>
      <c r="D628" s="18">
        <v>1982</v>
      </c>
      <c r="E628" s="19"/>
      <c r="F628" s="19"/>
    </row>
    <row r="629" spans="1:6" ht="19.95" customHeight="1" x14ac:dyDescent="0.25">
      <c r="A629" s="17" t="s">
        <v>21</v>
      </c>
      <c r="B629" s="18" t="s">
        <v>14</v>
      </c>
      <c r="C629" s="18">
        <v>26.657465998935201</v>
      </c>
      <c r="D629" s="18">
        <v>1982</v>
      </c>
      <c r="E629" s="19"/>
      <c r="F629" s="19"/>
    </row>
    <row r="630" spans="1:6" ht="19.95" customHeight="1" x14ac:dyDescent="0.25">
      <c r="A630" s="17" t="s">
        <v>22</v>
      </c>
      <c r="B630" s="18" t="s">
        <v>14</v>
      </c>
      <c r="C630" s="18"/>
      <c r="D630" s="18">
        <v>1982</v>
      </c>
      <c r="E630" s="19"/>
      <c r="F630" s="19"/>
    </row>
    <row r="631" spans="1:6" ht="19.95" customHeight="1" x14ac:dyDescent="0.25">
      <c r="A631" s="17" t="s">
        <v>23</v>
      </c>
      <c r="B631" s="18" t="s">
        <v>14</v>
      </c>
      <c r="C631" s="18">
        <v>62.389094434615998</v>
      </c>
      <c r="D631" s="18">
        <v>1982</v>
      </c>
      <c r="E631" s="19"/>
      <c r="F631" s="19"/>
    </row>
    <row r="632" spans="1:6" ht="19.95" customHeight="1" x14ac:dyDescent="0.25">
      <c r="A632" s="17" t="s">
        <v>24</v>
      </c>
      <c r="B632" s="18" t="s">
        <v>14</v>
      </c>
      <c r="C632" s="18">
        <v>11.2246900150919</v>
      </c>
      <c r="D632" s="18">
        <v>1982</v>
      </c>
      <c r="E632" s="19"/>
      <c r="F632" s="19"/>
    </row>
    <row r="633" spans="1:6" ht="19.95" customHeight="1" x14ac:dyDescent="0.25">
      <c r="A633" s="17" t="s">
        <v>25</v>
      </c>
      <c r="B633" s="18" t="s">
        <v>14</v>
      </c>
      <c r="C633" s="18">
        <v>22.495183044316001</v>
      </c>
      <c r="D633" s="18">
        <v>1982</v>
      </c>
      <c r="E633" s="19"/>
      <c r="F633" s="19"/>
    </row>
    <row r="634" spans="1:6" ht="19.95" customHeight="1" x14ac:dyDescent="0.25">
      <c r="A634" s="17" t="s">
        <v>26</v>
      </c>
      <c r="B634" s="18" t="s">
        <v>14</v>
      </c>
      <c r="C634" s="18">
        <v>14.255043144415501</v>
      </c>
      <c r="D634" s="18">
        <v>1982</v>
      </c>
      <c r="E634" s="19"/>
      <c r="F634" s="19"/>
    </row>
    <row r="635" spans="1:6" ht="19.95" customHeight="1" x14ac:dyDescent="0.25">
      <c r="A635" s="17" t="s">
        <v>27</v>
      </c>
      <c r="B635" s="18" t="s">
        <v>14</v>
      </c>
      <c r="C635" s="18"/>
      <c r="D635" s="18">
        <v>1982</v>
      </c>
      <c r="E635" s="19"/>
      <c r="F635" s="19"/>
    </row>
    <row r="636" spans="1:6" ht="19.95" customHeight="1" x14ac:dyDescent="0.25">
      <c r="A636" s="17" t="s">
        <v>28</v>
      </c>
      <c r="B636" s="18" t="s">
        <v>14</v>
      </c>
      <c r="C636" s="18">
        <v>8.3136748837887193</v>
      </c>
      <c r="D636" s="18">
        <v>1982</v>
      </c>
      <c r="E636" s="19"/>
      <c r="F636" s="19"/>
    </row>
    <row r="637" spans="1:6" ht="19.95" customHeight="1" x14ac:dyDescent="0.25">
      <c r="A637" s="17" t="s">
        <v>29</v>
      </c>
      <c r="B637" s="18" t="s">
        <v>14</v>
      </c>
      <c r="C637" s="18"/>
      <c r="D637" s="18">
        <v>1982</v>
      </c>
      <c r="E637" s="19"/>
      <c r="F637" s="19"/>
    </row>
    <row r="638" spans="1:6" ht="19.95" customHeight="1" x14ac:dyDescent="0.25">
      <c r="A638" s="17" t="s">
        <v>31</v>
      </c>
      <c r="B638" s="18" t="s">
        <v>14</v>
      </c>
      <c r="C638" s="18">
        <v>11.5915841381589</v>
      </c>
      <c r="D638" s="18">
        <v>1982</v>
      </c>
      <c r="E638" s="19"/>
      <c r="F638" s="19"/>
    </row>
    <row r="639" spans="1:6" ht="19.95" customHeight="1" x14ac:dyDescent="0.25">
      <c r="A639" s="17" t="s">
        <v>32</v>
      </c>
      <c r="B639" s="18" t="s">
        <v>14</v>
      </c>
      <c r="C639" s="18">
        <v>15.978821506868499</v>
      </c>
      <c r="D639" s="18">
        <v>1982</v>
      </c>
      <c r="E639" s="19"/>
      <c r="F639" s="19"/>
    </row>
    <row r="640" spans="1:6" ht="19.95" customHeight="1" x14ac:dyDescent="0.25">
      <c r="A640" s="17" t="s">
        <v>33</v>
      </c>
      <c r="B640" s="18" t="s">
        <v>14</v>
      </c>
      <c r="C640" s="18">
        <v>20.9705721016811</v>
      </c>
      <c r="D640" s="18">
        <v>1982</v>
      </c>
      <c r="E640" s="19"/>
      <c r="F640" s="19"/>
    </row>
    <row r="641" spans="1:6" ht="19.95" customHeight="1" x14ac:dyDescent="0.25">
      <c r="A641" s="17" t="s">
        <v>34</v>
      </c>
      <c r="B641" s="18" t="s">
        <v>14</v>
      </c>
      <c r="C641" s="18">
        <v>11.552558750475299</v>
      </c>
      <c r="D641" s="18">
        <v>1982</v>
      </c>
      <c r="E641" s="19"/>
      <c r="F641" s="19"/>
    </row>
    <row r="642" spans="1:6" ht="19.95" customHeight="1" x14ac:dyDescent="0.25">
      <c r="A642" s="17" t="s">
        <v>35</v>
      </c>
      <c r="B642" s="18" t="s">
        <v>14</v>
      </c>
      <c r="C642" s="18"/>
      <c r="D642" s="18">
        <v>1982</v>
      </c>
      <c r="E642" s="19"/>
      <c r="F642" s="19"/>
    </row>
    <row r="643" spans="1:6" ht="19.95" customHeight="1" x14ac:dyDescent="0.25">
      <c r="A643" s="17" t="s">
        <v>2</v>
      </c>
      <c r="B643" s="18" t="s">
        <v>14</v>
      </c>
      <c r="C643" s="18">
        <v>27.356456196215198</v>
      </c>
      <c r="D643" s="18">
        <v>1982</v>
      </c>
      <c r="E643" s="19"/>
      <c r="F643" s="19"/>
    </row>
    <row r="644" spans="1:6" ht="19.95" customHeight="1" x14ac:dyDescent="0.25">
      <c r="A644" s="17" t="s">
        <v>36</v>
      </c>
      <c r="B644" s="18" t="s">
        <v>14</v>
      </c>
      <c r="C644" s="18"/>
      <c r="D644" s="18">
        <v>1982</v>
      </c>
      <c r="E644" s="19"/>
      <c r="F644" s="19"/>
    </row>
    <row r="645" spans="1:6" ht="19.95" customHeight="1" x14ac:dyDescent="0.25">
      <c r="A645" s="17" t="s">
        <v>37</v>
      </c>
      <c r="B645" s="18" t="s">
        <v>14</v>
      </c>
      <c r="C645" s="18"/>
      <c r="D645" s="18">
        <v>1982</v>
      </c>
      <c r="E645" s="19"/>
      <c r="F645" s="19"/>
    </row>
    <row r="646" spans="1:6" ht="19.95" customHeight="1" x14ac:dyDescent="0.25">
      <c r="A646" s="17" t="s">
        <v>38</v>
      </c>
      <c r="B646" s="18" t="s">
        <v>14</v>
      </c>
      <c r="C646" s="18">
        <v>8.3811710677382294</v>
      </c>
      <c r="D646" s="18">
        <v>1982</v>
      </c>
      <c r="E646" s="19"/>
      <c r="F646" s="19"/>
    </row>
    <row r="647" spans="1:6" ht="19.95" customHeight="1" x14ac:dyDescent="0.25">
      <c r="A647" s="17" t="s">
        <v>39</v>
      </c>
      <c r="B647" s="18" t="s">
        <v>14</v>
      </c>
      <c r="C647" s="18"/>
      <c r="D647" s="18">
        <v>1982</v>
      </c>
      <c r="E647" s="19"/>
      <c r="F647" s="19"/>
    </row>
    <row r="648" spans="1:6" ht="19.95" customHeight="1" x14ac:dyDescent="0.25">
      <c r="A648" s="17" t="s">
        <v>40</v>
      </c>
      <c r="B648" s="18" t="s">
        <v>14</v>
      </c>
      <c r="C648" s="18">
        <v>16.925580307515901</v>
      </c>
      <c r="D648" s="18">
        <v>1982</v>
      </c>
      <c r="E648" s="19"/>
      <c r="F648" s="19"/>
    </row>
    <row r="649" spans="1:6" ht="19.95" customHeight="1" x14ac:dyDescent="0.25">
      <c r="A649" s="17" t="s">
        <v>10</v>
      </c>
      <c r="B649" s="18" t="s">
        <v>14</v>
      </c>
      <c r="C649" s="18">
        <v>9.04558008305351</v>
      </c>
      <c r="D649" s="18">
        <v>1983</v>
      </c>
      <c r="E649" s="19"/>
      <c r="F649" s="19"/>
    </row>
    <row r="650" spans="1:6" ht="19.95" customHeight="1" x14ac:dyDescent="0.25">
      <c r="A650" s="17" t="s">
        <v>13</v>
      </c>
      <c r="B650" s="18" t="s">
        <v>14</v>
      </c>
      <c r="C650" s="18">
        <v>30.397603276165999</v>
      </c>
      <c r="D650" s="18">
        <v>1983</v>
      </c>
      <c r="E650" s="19"/>
      <c r="F650" s="19"/>
    </row>
    <row r="651" spans="1:6" ht="19.95" customHeight="1" x14ac:dyDescent="0.25">
      <c r="A651" s="17" t="s">
        <v>16</v>
      </c>
      <c r="B651" s="18" t="s">
        <v>14</v>
      </c>
      <c r="C651" s="18">
        <v>16.418876600336699</v>
      </c>
      <c r="D651" s="18">
        <v>1983</v>
      </c>
      <c r="E651" s="19"/>
      <c r="F651" s="19"/>
    </row>
    <row r="652" spans="1:6" ht="19.95" customHeight="1" x14ac:dyDescent="0.25">
      <c r="A652" s="17" t="s">
        <v>15</v>
      </c>
      <c r="B652" s="18" t="s">
        <v>14</v>
      </c>
      <c r="C652" s="18">
        <v>19.8277482586596</v>
      </c>
      <c r="D652" s="18">
        <v>1983</v>
      </c>
      <c r="E652" s="19"/>
      <c r="F652" s="19"/>
    </row>
    <row r="653" spans="1:6" ht="19.95" customHeight="1" x14ac:dyDescent="0.25">
      <c r="A653" s="17" t="s">
        <v>17</v>
      </c>
      <c r="B653" s="18" t="s">
        <v>14</v>
      </c>
      <c r="C653" s="18"/>
      <c r="D653" s="18">
        <v>1983</v>
      </c>
      <c r="E653" s="19"/>
      <c r="F653" s="19"/>
    </row>
    <row r="654" spans="1:6" ht="19.95" customHeight="1" x14ac:dyDescent="0.25">
      <c r="A654" s="17" t="s">
        <v>18</v>
      </c>
      <c r="B654" s="18" t="s">
        <v>14</v>
      </c>
      <c r="C654" s="18"/>
      <c r="D654" s="18">
        <v>1983</v>
      </c>
      <c r="E654" s="19"/>
      <c r="F654" s="19"/>
    </row>
    <row r="655" spans="1:6" ht="19.95" customHeight="1" x14ac:dyDescent="0.25">
      <c r="A655" s="17" t="s">
        <v>19</v>
      </c>
      <c r="B655" s="18" t="s">
        <v>14</v>
      </c>
      <c r="C655" s="18"/>
      <c r="D655" s="18">
        <v>1983</v>
      </c>
      <c r="E655" s="19"/>
      <c r="F655" s="19"/>
    </row>
    <row r="656" spans="1:6" ht="19.95" customHeight="1" x14ac:dyDescent="0.25">
      <c r="A656" s="17" t="s">
        <v>20</v>
      </c>
      <c r="B656" s="18" t="s">
        <v>14</v>
      </c>
      <c r="C656" s="18"/>
      <c r="D656" s="18">
        <v>1983</v>
      </c>
      <c r="E656" s="19"/>
      <c r="F656" s="19"/>
    </row>
    <row r="657" spans="1:6" ht="19.95" customHeight="1" x14ac:dyDescent="0.25">
      <c r="A657" s="17" t="s">
        <v>21</v>
      </c>
      <c r="B657" s="18" t="s">
        <v>14</v>
      </c>
      <c r="C657" s="18">
        <v>25.949932405436702</v>
      </c>
      <c r="D657" s="18">
        <v>1983</v>
      </c>
      <c r="E657" s="19"/>
      <c r="F657" s="19"/>
    </row>
    <row r="658" spans="1:6" ht="19.95" customHeight="1" x14ac:dyDescent="0.25">
      <c r="A658" s="17" t="s">
        <v>22</v>
      </c>
      <c r="B658" s="18" t="s">
        <v>14</v>
      </c>
      <c r="C658" s="18"/>
      <c r="D658" s="18">
        <v>1983</v>
      </c>
      <c r="E658" s="19"/>
      <c r="F658" s="19"/>
    </row>
    <row r="659" spans="1:6" ht="19.95" customHeight="1" x14ac:dyDescent="0.25">
      <c r="A659" s="17" t="s">
        <v>23</v>
      </c>
      <c r="B659" s="18" t="s">
        <v>14</v>
      </c>
      <c r="C659" s="18">
        <v>59.1468236401182</v>
      </c>
      <c r="D659" s="18">
        <v>1983</v>
      </c>
      <c r="E659" s="19"/>
      <c r="F659" s="19"/>
    </row>
    <row r="660" spans="1:6" ht="19.95" customHeight="1" x14ac:dyDescent="0.25">
      <c r="A660" s="17" t="s">
        <v>24</v>
      </c>
      <c r="B660" s="18" t="s">
        <v>14</v>
      </c>
      <c r="C660" s="18">
        <v>10.570551504478599</v>
      </c>
      <c r="D660" s="18">
        <v>1983</v>
      </c>
      <c r="E660" s="19"/>
      <c r="F660" s="19"/>
    </row>
    <row r="661" spans="1:6" ht="19.95" customHeight="1" x14ac:dyDescent="0.25">
      <c r="A661" s="17" t="s">
        <v>25</v>
      </c>
      <c r="B661" s="18" t="s">
        <v>14</v>
      </c>
      <c r="C661" s="18">
        <v>20.751567206093799</v>
      </c>
      <c r="D661" s="18">
        <v>1983</v>
      </c>
      <c r="E661" s="19"/>
      <c r="F661" s="19"/>
    </row>
    <row r="662" spans="1:6" ht="19.95" customHeight="1" x14ac:dyDescent="0.25">
      <c r="A662" s="17" t="s">
        <v>26</v>
      </c>
      <c r="B662" s="18" t="s">
        <v>14</v>
      </c>
      <c r="C662" s="18">
        <v>15.9260948830904</v>
      </c>
      <c r="D662" s="18">
        <v>1983</v>
      </c>
      <c r="E662" s="19"/>
      <c r="F662" s="19"/>
    </row>
    <row r="663" spans="1:6" ht="19.95" customHeight="1" x14ac:dyDescent="0.25">
      <c r="A663" s="17" t="s">
        <v>27</v>
      </c>
      <c r="B663" s="18" t="s">
        <v>14</v>
      </c>
      <c r="C663" s="18"/>
      <c r="D663" s="18">
        <v>1983</v>
      </c>
      <c r="E663" s="19"/>
      <c r="F663" s="19"/>
    </row>
    <row r="664" spans="1:6" ht="19.95" customHeight="1" x14ac:dyDescent="0.25">
      <c r="A664" s="17" t="s">
        <v>28</v>
      </c>
      <c r="B664" s="18" t="s">
        <v>14</v>
      </c>
      <c r="C664" s="18">
        <v>6.1170828065132303</v>
      </c>
      <c r="D664" s="18">
        <v>1983</v>
      </c>
      <c r="E664" s="19"/>
      <c r="F664" s="19"/>
    </row>
    <row r="665" spans="1:6" ht="19.95" customHeight="1" x14ac:dyDescent="0.25">
      <c r="A665" s="17" t="s">
        <v>29</v>
      </c>
      <c r="B665" s="18" t="s">
        <v>14</v>
      </c>
      <c r="C665" s="18"/>
      <c r="D665" s="18">
        <v>1983</v>
      </c>
      <c r="E665" s="19"/>
      <c r="F665" s="19"/>
    </row>
    <row r="666" spans="1:6" ht="19.95" customHeight="1" x14ac:dyDescent="0.25">
      <c r="A666" s="17" t="s">
        <v>31</v>
      </c>
      <c r="B666" s="18" t="s">
        <v>14</v>
      </c>
      <c r="C666" s="18">
        <v>10.231042950237001</v>
      </c>
      <c r="D666" s="18">
        <v>1983</v>
      </c>
      <c r="E666" s="19"/>
      <c r="F666" s="19"/>
    </row>
    <row r="667" spans="1:6" ht="19.95" customHeight="1" x14ac:dyDescent="0.25">
      <c r="A667" s="17" t="s">
        <v>32</v>
      </c>
      <c r="B667" s="18" t="s">
        <v>14</v>
      </c>
      <c r="C667" s="18">
        <v>19.400305598500299</v>
      </c>
      <c r="D667" s="18">
        <v>1983</v>
      </c>
      <c r="E667" s="19"/>
      <c r="F667" s="19"/>
    </row>
    <row r="668" spans="1:6" ht="19.95" customHeight="1" x14ac:dyDescent="0.25">
      <c r="A668" s="17" t="s">
        <v>33</v>
      </c>
      <c r="B668" s="18" t="s">
        <v>14</v>
      </c>
      <c r="C668" s="18">
        <v>20.8249206114142</v>
      </c>
      <c r="D668" s="18">
        <v>1983</v>
      </c>
      <c r="E668" s="19"/>
      <c r="F668" s="19"/>
    </row>
    <row r="669" spans="1:6" ht="19.95" customHeight="1" x14ac:dyDescent="0.25">
      <c r="A669" s="17" t="s">
        <v>34</v>
      </c>
      <c r="B669" s="18" t="s">
        <v>14</v>
      </c>
      <c r="C669" s="18">
        <v>11.581767489545999</v>
      </c>
      <c r="D669" s="18">
        <v>1983</v>
      </c>
      <c r="E669" s="19"/>
      <c r="F669" s="19"/>
    </row>
    <row r="670" spans="1:6" ht="19.95" customHeight="1" x14ac:dyDescent="0.25">
      <c r="A670" s="17" t="s">
        <v>35</v>
      </c>
      <c r="B670" s="18" t="s">
        <v>14</v>
      </c>
      <c r="C670" s="18"/>
      <c r="D670" s="18">
        <v>1983</v>
      </c>
      <c r="E670" s="19"/>
      <c r="F670" s="19"/>
    </row>
    <row r="671" spans="1:6" ht="19.95" customHeight="1" x14ac:dyDescent="0.25">
      <c r="A671" s="17" t="s">
        <v>2</v>
      </c>
      <c r="B671" s="18" t="s">
        <v>14</v>
      </c>
      <c r="C671" s="18">
        <v>26.328730849252899</v>
      </c>
      <c r="D671" s="18">
        <v>1983</v>
      </c>
      <c r="E671" s="19"/>
      <c r="F671" s="19"/>
    </row>
    <row r="672" spans="1:6" ht="19.95" customHeight="1" x14ac:dyDescent="0.25">
      <c r="A672" s="17" t="s">
        <v>36</v>
      </c>
      <c r="B672" s="18" t="s">
        <v>14</v>
      </c>
      <c r="C672" s="18"/>
      <c r="D672" s="18">
        <v>1983</v>
      </c>
      <c r="E672" s="19"/>
      <c r="F672" s="19"/>
    </row>
    <row r="673" spans="1:6" ht="19.95" customHeight="1" x14ac:dyDescent="0.25">
      <c r="A673" s="17" t="s">
        <v>37</v>
      </c>
      <c r="B673" s="18" t="s">
        <v>14</v>
      </c>
      <c r="C673" s="18"/>
      <c r="D673" s="18">
        <v>1983</v>
      </c>
      <c r="E673" s="19"/>
      <c r="F673" s="19"/>
    </row>
    <row r="674" spans="1:6" ht="19.95" customHeight="1" x14ac:dyDescent="0.25">
      <c r="A674" s="17" t="s">
        <v>38</v>
      </c>
      <c r="B674" s="18" t="s">
        <v>14</v>
      </c>
      <c r="C674" s="18">
        <v>8.6594256807022791</v>
      </c>
      <c r="D674" s="18">
        <v>1983</v>
      </c>
      <c r="E674" s="19"/>
      <c r="F674" s="19"/>
    </row>
    <row r="675" spans="1:6" ht="19.95" customHeight="1" x14ac:dyDescent="0.25">
      <c r="A675" s="17" t="s">
        <v>39</v>
      </c>
      <c r="B675" s="18" t="s">
        <v>14</v>
      </c>
      <c r="C675" s="18"/>
      <c r="D675" s="18">
        <v>1983</v>
      </c>
      <c r="E675" s="19"/>
      <c r="F675" s="19"/>
    </row>
    <row r="676" spans="1:6" ht="19.95" customHeight="1" x14ac:dyDescent="0.25">
      <c r="A676" s="17" t="s">
        <v>40</v>
      </c>
      <c r="B676" s="18" t="s">
        <v>14</v>
      </c>
      <c r="C676" s="18">
        <v>16.442924822776501</v>
      </c>
      <c r="D676" s="18">
        <v>1983</v>
      </c>
      <c r="E676" s="19"/>
      <c r="F676" s="19"/>
    </row>
    <row r="677" spans="1:6" ht="19.95" customHeight="1" x14ac:dyDescent="0.25">
      <c r="A677" s="17" t="s">
        <v>10</v>
      </c>
      <c r="B677" s="18" t="s">
        <v>14</v>
      </c>
      <c r="C677" s="18">
        <v>11.5040069052475</v>
      </c>
      <c r="D677" s="18">
        <v>1984</v>
      </c>
      <c r="E677" s="19"/>
      <c r="F677" s="19"/>
    </row>
    <row r="678" spans="1:6" ht="19.95" customHeight="1" x14ac:dyDescent="0.25">
      <c r="A678" s="17" t="s">
        <v>13</v>
      </c>
      <c r="B678" s="18" t="s">
        <v>14</v>
      </c>
      <c r="C678" s="18">
        <v>33.4785941985375</v>
      </c>
      <c r="D678" s="18">
        <v>1984</v>
      </c>
      <c r="E678" s="19"/>
      <c r="F678" s="19"/>
    </row>
    <row r="679" spans="1:6" ht="19.95" customHeight="1" x14ac:dyDescent="0.25">
      <c r="A679" s="17" t="s">
        <v>16</v>
      </c>
      <c r="B679" s="18" t="s">
        <v>14</v>
      </c>
      <c r="C679" s="18">
        <v>18.0178072509275</v>
      </c>
      <c r="D679" s="18">
        <v>1984</v>
      </c>
      <c r="E679" s="19"/>
      <c r="F679" s="19"/>
    </row>
    <row r="680" spans="1:6" ht="19.95" customHeight="1" x14ac:dyDescent="0.25">
      <c r="A680" s="17" t="s">
        <v>15</v>
      </c>
      <c r="B680" s="18" t="s">
        <v>14</v>
      </c>
      <c r="C680" s="18">
        <v>9.0189063935135998</v>
      </c>
      <c r="D680" s="18">
        <v>1984</v>
      </c>
      <c r="E680" s="19"/>
      <c r="F680" s="19"/>
    </row>
    <row r="681" spans="1:6" ht="19.95" customHeight="1" x14ac:dyDescent="0.25">
      <c r="A681" s="17" t="s">
        <v>17</v>
      </c>
      <c r="B681" s="18" t="s">
        <v>14</v>
      </c>
      <c r="C681" s="18"/>
      <c r="D681" s="18">
        <v>1984</v>
      </c>
      <c r="E681" s="19"/>
      <c r="F681" s="19"/>
    </row>
    <row r="682" spans="1:6" ht="19.95" customHeight="1" x14ac:dyDescent="0.25">
      <c r="A682" s="17" t="s">
        <v>18</v>
      </c>
      <c r="B682" s="18" t="s">
        <v>14</v>
      </c>
      <c r="C682" s="18"/>
      <c r="D682" s="18">
        <v>1984</v>
      </c>
      <c r="E682" s="19"/>
      <c r="F682" s="19"/>
    </row>
    <row r="683" spans="1:6" ht="19.95" customHeight="1" x14ac:dyDescent="0.25">
      <c r="A683" s="17" t="s">
        <v>19</v>
      </c>
      <c r="B683" s="18" t="s">
        <v>14</v>
      </c>
      <c r="C683" s="18"/>
      <c r="D683" s="18">
        <v>1984</v>
      </c>
      <c r="E683" s="19"/>
      <c r="F683" s="19"/>
    </row>
    <row r="684" spans="1:6" ht="19.95" customHeight="1" x14ac:dyDescent="0.25">
      <c r="A684" s="17" t="s">
        <v>20</v>
      </c>
      <c r="B684" s="18" t="s">
        <v>14</v>
      </c>
      <c r="C684" s="18"/>
      <c r="D684" s="18">
        <v>1984</v>
      </c>
      <c r="E684" s="19"/>
      <c r="F684" s="19"/>
    </row>
    <row r="685" spans="1:6" ht="19.95" customHeight="1" x14ac:dyDescent="0.25">
      <c r="A685" s="17" t="s">
        <v>21</v>
      </c>
      <c r="B685" s="18" t="s">
        <v>14</v>
      </c>
      <c r="C685" s="18">
        <v>26.749892652163901</v>
      </c>
      <c r="D685" s="18">
        <v>1984</v>
      </c>
      <c r="E685" s="19"/>
      <c r="F685" s="19"/>
    </row>
    <row r="686" spans="1:6" ht="19.95" customHeight="1" x14ac:dyDescent="0.25">
      <c r="A686" s="17" t="s">
        <v>22</v>
      </c>
      <c r="B686" s="18" t="s">
        <v>14</v>
      </c>
      <c r="C686" s="18"/>
      <c r="D686" s="18">
        <v>1984</v>
      </c>
      <c r="E686" s="19"/>
      <c r="F686" s="19"/>
    </row>
    <row r="687" spans="1:6" ht="19.95" customHeight="1" x14ac:dyDescent="0.25">
      <c r="A687" s="17" t="s">
        <v>23</v>
      </c>
      <c r="B687" s="18" t="s">
        <v>14</v>
      </c>
      <c r="C687" s="18">
        <v>55.511154498588802</v>
      </c>
      <c r="D687" s="18">
        <v>1984</v>
      </c>
      <c r="E687" s="19"/>
      <c r="F687" s="19"/>
    </row>
    <row r="688" spans="1:6" ht="19.95" customHeight="1" x14ac:dyDescent="0.25">
      <c r="A688" s="17" t="s">
        <v>24</v>
      </c>
      <c r="B688" s="18" t="s">
        <v>14</v>
      </c>
      <c r="C688" s="18">
        <v>13.282972366288</v>
      </c>
      <c r="D688" s="18">
        <v>1984</v>
      </c>
      <c r="E688" s="19"/>
      <c r="F688" s="19"/>
    </row>
    <row r="689" spans="1:6" ht="19.95" customHeight="1" x14ac:dyDescent="0.25">
      <c r="A689" s="17" t="s">
        <v>25</v>
      </c>
      <c r="B689" s="18" t="s">
        <v>14</v>
      </c>
      <c r="C689" s="18">
        <v>28.370623659987299</v>
      </c>
      <c r="D689" s="18">
        <v>1984</v>
      </c>
      <c r="E689" s="19"/>
      <c r="F689" s="19"/>
    </row>
    <row r="690" spans="1:6" ht="19.95" customHeight="1" x14ac:dyDescent="0.25">
      <c r="A690" s="17" t="s">
        <v>26</v>
      </c>
      <c r="B690" s="18" t="s">
        <v>14</v>
      </c>
      <c r="C690" s="18">
        <v>19.064372433231501</v>
      </c>
      <c r="D690" s="18">
        <v>1984</v>
      </c>
      <c r="E690" s="19"/>
      <c r="F690" s="19"/>
    </row>
    <row r="691" spans="1:6" ht="19.95" customHeight="1" x14ac:dyDescent="0.25">
      <c r="A691" s="17" t="s">
        <v>27</v>
      </c>
      <c r="B691" s="18" t="s">
        <v>14</v>
      </c>
      <c r="C691" s="18"/>
      <c r="D691" s="18">
        <v>1984</v>
      </c>
      <c r="E691" s="19"/>
      <c r="F691" s="19"/>
    </row>
    <row r="692" spans="1:6" ht="19.95" customHeight="1" x14ac:dyDescent="0.25">
      <c r="A692" s="17" t="s">
        <v>28</v>
      </c>
      <c r="B692" s="18" t="s">
        <v>14</v>
      </c>
      <c r="C692" s="18">
        <v>4.1456601026757296</v>
      </c>
      <c r="D692" s="18">
        <v>1984</v>
      </c>
      <c r="E692" s="19"/>
      <c r="F692" s="19"/>
    </row>
    <row r="693" spans="1:6" ht="19.95" customHeight="1" x14ac:dyDescent="0.25">
      <c r="A693" s="17" t="s">
        <v>29</v>
      </c>
      <c r="B693" s="18" t="s">
        <v>14</v>
      </c>
      <c r="C693" s="18"/>
      <c r="D693" s="18">
        <v>1984</v>
      </c>
      <c r="E693" s="19"/>
      <c r="F693" s="19"/>
    </row>
    <row r="694" spans="1:6" ht="19.95" customHeight="1" x14ac:dyDescent="0.25">
      <c r="A694" s="17" t="s">
        <v>31</v>
      </c>
      <c r="B694" s="18" t="s">
        <v>14</v>
      </c>
      <c r="C694" s="18">
        <v>10.652450103762501</v>
      </c>
      <c r="D694" s="18">
        <v>1984</v>
      </c>
      <c r="E694" s="19"/>
      <c r="F694" s="19"/>
    </row>
    <row r="695" spans="1:6" ht="19.95" customHeight="1" x14ac:dyDescent="0.25">
      <c r="A695" s="17" t="s">
        <v>32</v>
      </c>
      <c r="B695" s="18" t="s">
        <v>14</v>
      </c>
      <c r="C695" s="18">
        <v>16.4430387120894</v>
      </c>
      <c r="D695" s="18">
        <v>1984</v>
      </c>
      <c r="E695" s="19"/>
      <c r="F695" s="19"/>
    </row>
    <row r="696" spans="1:6" ht="19.95" customHeight="1" x14ac:dyDescent="0.25">
      <c r="A696" s="17" t="s">
        <v>33</v>
      </c>
      <c r="B696" s="18" t="s">
        <v>14</v>
      </c>
      <c r="C696" s="18">
        <v>22.905326429343901</v>
      </c>
      <c r="D696" s="18">
        <v>1984</v>
      </c>
      <c r="E696" s="19"/>
      <c r="F696" s="19"/>
    </row>
    <row r="697" spans="1:6" ht="19.95" customHeight="1" x14ac:dyDescent="0.25">
      <c r="A697" s="17" t="s">
        <v>34</v>
      </c>
      <c r="B697" s="18" t="s">
        <v>14</v>
      </c>
      <c r="C697" s="18">
        <v>12.631433634054099</v>
      </c>
      <c r="D697" s="18">
        <v>1984</v>
      </c>
      <c r="E697" s="19"/>
      <c r="F697" s="19"/>
    </row>
    <row r="698" spans="1:6" ht="19.95" customHeight="1" x14ac:dyDescent="0.25">
      <c r="A698" s="17" t="s">
        <v>35</v>
      </c>
      <c r="B698" s="18" t="s">
        <v>14</v>
      </c>
      <c r="C698" s="18"/>
      <c r="D698" s="18">
        <v>1984</v>
      </c>
      <c r="E698" s="19"/>
      <c r="F698" s="19"/>
    </row>
    <row r="699" spans="1:6" ht="19.95" customHeight="1" x14ac:dyDescent="0.25">
      <c r="A699" s="17" t="s">
        <v>2</v>
      </c>
      <c r="B699" s="18" t="s">
        <v>14</v>
      </c>
      <c r="C699" s="18">
        <v>28.804001404914601</v>
      </c>
      <c r="D699" s="18">
        <v>1984</v>
      </c>
      <c r="E699" s="19"/>
      <c r="F699" s="19"/>
    </row>
    <row r="700" spans="1:6" ht="19.95" customHeight="1" x14ac:dyDescent="0.25">
      <c r="A700" s="17" t="s">
        <v>36</v>
      </c>
      <c r="B700" s="18" t="s">
        <v>14</v>
      </c>
      <c r="C700" s="18"/>
      <c r="D700" s="18">
        <v>1984</v>
      </c>
      <c r="E700" s="19"/>
      <c r="F700" s="19"/>
    </row>
    <row r="701" spans="1:6" ht="19.95" customHeight="1" x14ac:dyDescent="0.25">
      <c r="A701" s="17" t="s">
        <v>37</v>
      </c>
      <c r="B701" s="18" t="s">
        <v>14</v>
      </c>
      <c r="C701" s="18"/>
      <c r="D701" s="18">
        <v>1984</v>
      </c>
      <c r="E701" s="19"/>
      <c r="F701" s="19"/>
    </row>
    <row r="702" spans="1:6" ht="19.95" customHeight="1" x14ac:dyDescent="0.25">
      <c r="A702" s="17" t="s">
        <v>38</v>
      </c>
      <c r="B702" s="18" t="s">
        <v>14</v>
      </c>
      <c r="C702" s="18">
        <v>12.692422639177501</v>
      </c>
      <c r="D702" s="18">
        <v>1984</v>
      </c>
      <c r="E702" s="19"/>
      <c r="F702" s="19"/>
    </row>
    <row r="703" spans="1:6" ht="19.95" customHeight="1" x14ac:dyDescent="0.25">
      <c r="A703" s="17" t="s">
        <v>39</v>
      </c>
      <c r="B703" s="18" t="s">
        <v>14</v>
      </c>
      <c r="C703" s="18"/>
      <c r="D703" s="18">
        <v>1984</v>
      </c>
      <c r="E703" s="19"/>
      <c r="F703" s="19"/>
    </row>
    <row r="704" spans="1:6" ht="19.95" customHeight="1" x14ac:dyDescent="0.25">
      <c r="A704" s="17" t="s">
        <v>40</v>
      </c>
      <c r="B704" s="18" t="s">
        <v>14</v>
      </c>
      <c r="C704" s="18">
        <v>20.561138437133302</v>
      </c>
      <c r="D704" s="18">
        <v>1984</v>
      </c>
      <c r="E704" s="19"/>
      <c r="F704" s="19"/>
    </row>
    <row r="705" spans="1:6" ht="19.95" customHeight="1" x14ac:dyDescent="0.25">
      <c r="A705" s="17" t="s">
        <v>10</v>
      </c>
      <c r="B705" s="18" t="s">
        <v>14</v>
      </c>
      <c r="C705" s="18">
        <v>11.026619161184801</v>
      </c>
      <c r="D705" s="18">
        <v>1985</v>
      </c>
      <c r="E705" s="19"/>
      <c r="F705" s="19"/>
    </row>
    <row r="706" spans="1:6" ht="19.95" customHeight="1" x14ac:dyDescent="0.25">
      <c r="A706" s="17" t="s">
        <v>13</v>
      </c>
      <c r="B706" s="18" t="s">
        <v>14</v>
      </c>
      <c r="C706" s="18">
        <v>33.448771058462199</v>
      </c>
      <c r="D706" s="18">
        <v>1985</v>
      </c>
      <c r="E706" s="19"/>
      <c r="F706" s="19"/>
    </row>
    <row r="707" spans="1:6" ht="19.95" customHeight="1" x14ac:dyDescent="0.25">
      <c r="A707" s="17" t="s">
        <v>16</v>
      </c>
      <c r="B707" s="18" t="s">
        <v>14</v>
      </c>
      <c r="C707" s="18">
        <v>11.906635100695301</v>
      </c>
      <c r="D707" s="18">
        <v>1985</v>
      </c>
      <c r="E707" s="19"/>
      <c r="F707" s="19"/>
    </row>
    <row r="708" spans="1:6" ht="19.95" customHeight="1" x14ac:dyDescent="0.25">
      <c r="A708" s="17" t="s">
        <v>15</v>
      </c>
      <c r="B708" s="18" t="s">
        <v>14</v>
      </c>
      <c r="C708" s="18">
        <v>16.9978189127898</v>
      </c>
      <c r="D708" s="18">
        <v>1985</v>
      </c>
      <c r="E708" s="19"/>
      <c r="F708" s="19"/>
    </row>
    <row r="709" spans="1:6" ht="19.95" customHeight="1" x14ac:dyDescent="0.25">
      <c r="A709" s="17" t="s">
        <v>17</v>
      </c>
      <c r="B709" s="18" t="s">
        <v>14</v>
      </c>
      <c r="C709" s="18"/>
      <c r="D709" s="18">
        <v>1985</v>
      </c>
      <c r="E709" s="19"/>
      <c r="F709" s="19"/>
    </row>
    <row r="710" spans="1:6" ht="19.95" customHeight="1" x14ac:dyDescent="0.25">
      <c r="A710" s="17" t="s">
        <v>18</v>
      </c>
      <c r="B710" s="18" t="s">
        <v>14</v>
      </c>
      <c r="C710" s="18"/>
      <c r="D710" s="18">
        <v>1985</v>
      </c>
      <c r="E710" s="19"/>
      <c r="F710" s="19"/>
    </row>
    <row r="711" spans="1:6" ht="19.95" customHeight="1" x14ac:dyDescent="0.25">
      <c r="A711" s="17" t="s">
        <v>19</v>
      </c>
      <c r="B711" s="18" t="s">
        <v>14</v>
      </c>
      <c r="C711" s="18"/>
      <c r="D711" s="18">
        <v>1985</v>
      </c>
      <c r="E711" s="19"/>
      <c r="F711" s="19"/>
    </row>
    <row r="712" spans="1:6" ht="19.95" customHeight="1" x14ac:dyDescent="0.25">
      <c r="A712" s="17" t="s">
        <v>20</v>
      </c>
      <c r="B712" s="18" t="s">
        <v>14</v>
      </c>
      <c r="C712" s="18"/>
      <c r="D712" s="18">
        <v>1985</v>
      </c>
      <c r="E712" s="19"/>
      <c r="F712" s="19"/>
    </row>
    <row r="713" spans="1:6" ht="19.95" customHeight="1" x14ac:dyDescent="0.25">
      <c r="A713" s="17" t="s">
        <v>21</v>
      </c>
      <c r="B713" s="18" t="s">
        <v>14</v>
      </c>
      <c r="C713" s="18">
        <v>25.2989329600959</v>
      </c>
      <c r="D713" s="18">
        <v>1985</v>
      </c>
      <c r="E713" s="19"/>
      <c r="F713" s="19"/>
    </row>
    <row r="714" spans="1:6" ht="19.95" customHeight="1" x14ac:dyDescent="0.25">
      <c r="A714" s="17" t="s">
        <v>22</v>
      </c>
      <c r="B714" s="18" t="s">
        <v>14</v>
      </c>
      <c r="C714" s="18"/>
      <c r="D714" s="18">
        <v>1985</v>
      </c>
      <c r="E714" s="19"/>
      <c r="F714" s="19"/>
    </row>
    <row r="715" spans="1:6" ht="19.95" customHeight="1" x14ac:dyDescent="0.25">
      <c r="A715" s="17" t="s">
        <v>23</v>
      </c>
      <c r="B715" s="18" t="s">
        <v>14</v>
      </c>
      <c r="C715" s="18">
        <v>54.8575401672814</v>
      </c>
      <c r="D715" s="18">
        <v>1985</v>
      </c>
      <c r="E715" s="19"/>
      <c r="F715" s="19"/>
    </row>
    <row r="716" spans="1:6" ht="19.95" customHeight="1" x14ac:dyDescent="0.25">
      <c r="A716" s="17" t="s">
        <v>24</v>
      </c>
      <c r="B716" s="18" t="s">
        <v>14</v>
      </c>
      <c r="C716" s="18">
        <v>12.2416548115918</v>
      </c>
      <c r="D716" s="18">
        <v>1985</v>
      </c>
      <c r="E716" s="19"/>
      <c r="F716" s="19"/>
    </row>
    <row r="717" spans="1:6" ht="19.95" customHeight="1" x14ac:dyDescent="0.25">
      <c r="A717" s="17" t="s">
        <v>25</v>
      </c>
      <c r="B717" s="18" t="s">
        <v>14</v>
      </c>
      <c r="C717" s="18">
        <v>24.191475140110001</v>
      </c>
      <c r="D717" s="18">
        <v>1985</v>
      </c>
      <c r="E717" s="19"/>
      <c r="F717" s="19"/>
    </row>
    <row r="718" spans="1:6" ht="19.95" customHeight="1" x14ac:dyDescent="0.25">
      <c r="A718" s="17" t="s">
        <v>26</v>
      </c>
      <c r="B718" s="18" t="s">
        <v>14</v>
      </c>
      <c r="C718" s="18">
        <v>17.0165380643252</v>
      </c>
      <c r="D718" s="18">
        <v>1985</v>
      </c>
      <c r="E718" s="19"/>
      <c r="F718" s="19"/>
    </row>
    <row r="719" spans="1:6" ht="19.95" customHeight="1" x14ac:dyDescent="0.25">
      <c r="A719" s="17" t="s">
        <v>27</v>
      </c>
      <c r="B719" s="18" t="s">
        <v>14</v>
      </c>
      <c r="C719" s="18"/>
      <c r="D719" s="18">
        <v>1985</v>
      </c>
      <c r="E719" s="19"/>
      <c r="F719" s="19"/>
    </row>
    <row r="720" spans="1:6" ht="19.95" customHeight="1" x14ac:dyDescent="0.25">
      <c r="A720" s="17" t="s">
        <v>28</v>
      </c>
      <c r="B720" s="18" t="s">
        <v>14</v>
      </c>
      <c r="C720" s="18">
        <v>2.85959765123402</v>
      </c>
      <c r="D720" s="18">
        <v>1985</v>
      </c>
      <c r="E720" s="19"/>
      <c r="F720" s="19"/>
    </row>
    <row r="721" spans="1:6" ht="19.95" customHeight="1" x14ac:dyDescent="0.25">
      <c r="A721" s="17" t="s">
        <v>29</v>
      </c>
      <c r="B721" s="18" t="s">
        <v>14</v>
      </c>
      <c r="C721" s="18"/>
      <c r="D721" s="18">
        <v>1985</v>
      </c>
      <c r="E721" s="19"/>
      <c r="F721" s="19"/>
    </row>
    <row r="722" spans="1:6" ht="19.95" customHeight="1" x14ac:dyDescent="0.25">
      <c r="A722" s="17" t="s">
        <v>31</v>
      </c>
      <c r="B722" s="18" t="s">
        <v>14</v>
      </c>
      <c r="C722" s="18">
        <v>11.529214356244401</v>
      </c>
      <c r="D722" s="18">
        <v>1985</v>
      </c>
      <c r="E722" s="19"/>
      <c r="F722" s="19"/>
    </row>
    <row r="723" spans="1:6" ht="19.95" customHeight="1" x14ac:dyDescent="0.25">
      <c r="A723" s="17" t="s">
        <v>32</v>
      </c>
      <c r="B723" s="18" t="s">
        <v>14</v>
      </c>
      <c r="C723" s="18">
        <v>14.7661996361284</v>
      </c>
      <c r="D723" s="18">
        <v>1985</v>
      </c>
      <c r="E723" s="19"/>
      <c r="F723" s="19"/>
    </row>
    <row r="724" spans="1:6" ht="19.95" customHeight="1" x14ac:dyDescent="0.25">
      <c r="A724" s="17" t="s">
        <v>33</v>
      </c>
      <c r="B724" s="18" t="s">
        <v>14</v>
      </c>
      <c r="C724" s="18">
        <v>20.685952380441201</v>
      </c>
      <c r="D724" s="18">
        <v>1985</v>
      </c>
      <c r="E724" s="19"/>
      <c r="F724" s="19"/>
    </row>
    <row r="725" spans="1:6" ht="19.95" customHeight="1" x14ac:dyDescent="0.25">
      <c r="A725" s="17" t="s">
        <v>34</v>
      </c>
      <c r="B725" s="18" t="s">
        <v>14</v>
      </c>
      <c r="C725" s="18">
        <v>10.782506693740499</v>
      </c>
      <c r="D725" s="18">
        <v>1985</v>
      </c>
      <c r="E725" s="19"/>
      <c r="F725" s="19"/>
    </row>
    <row r="726" spans="1:6" ht="19.95" customHeight="1" x14ac:dyDescent="0.25">
      <c r="A726" s="17" t="s">
        <v>35</v>
      </c>
      <c r="B726" s="18" t="s">
        <v>14</v>
      </c>
      <c r="C726" s="18"/>
      <c r="D726" s="18">
        <v>1985</v>
      </c>
      <c r="E726" s="19"/>
      <c r="F726" s="19"/>
    </row>
    <row r="727" spans="1:6" ht="19.95" customHeight="1" x14ac:dyDescent="0.25">
      <c r="A727" s="17" t="s">
        <v>2</v>
      </c>
      <c r="B727" s="18" t="s">
        <v>14</v>
      </c>
      <c r="C727" s="18">
        <v>26.012009237875301</v>
      </c>
      <c r="D727" s="18">
        <v>1985</v>
      </c>
      <c r="E727" s="19"/>
      <c r="F727" s="19"/>
    </row>
    <row r="728" spans="1:6" ht="19.95" customHeight="1" x14ac:dyDescent="0.25">
      <c r="A728" s="17" t="s">
        <v>36</v>
      </c>
      <c r="B728" s="18" t="s">
        <v>14</v>
      </c>
      <c r="C728" s="18"/>
      <c r="D728" s="18">
        <v>1985</v>
      </c>
      <c r="E728" s="19"/>
      <c r="F728" s="19"/>
    </row>
    <row r="729" spans="1:6" ht="19.95" customHeight="1" x14ac:dyDescent="0.25">
      <c r="A729" s="17" t="s">
        <v>37</v>
      </c>
      <c r="B729" s="18" t="s">
        <v>14</v>
      </c>
      <c r="C729" s="18"/>
      <c r="D729" s="18">
        <v>1985</v>
      </c>
      <c r="E729" s="19"/>
      <c r="F729" s="19"/>
    </row>
    <row r="730" spans="1:6" ht="19.95" customHeight="1" x14ac:dyDescent="0.25">
      <c r="A730" s="17" t="s">
        <v>38</v>
      </c>
      <c r="B730" s="18" t="s">
        <v>14</v>
      </c>
      <c r="C730" s="18">
        <v>13.738524870531</v>
      </c>
      <c r="D730" s="18">
        <v>1985</v>
      </c>
      <c r="E730" s="19"/>
      <c r="F730" s="19"/>
    </row>
    <row r="731" spans="1:6" ht="19.95" customHeight="1" x14ac:dyDescent="0.25">
      <c r="A731" s="17" t="s">
        <v>39</v>
      </c>
      <c r="B731" s="18" t="s">
        <v>14</v>
      </c>
      <c r="C731" s="18"/>
      <c r="D731" s="18">
        <v>1985</v>
      </c>
      <c r="E731" s="19"/>
      <c r="F731" s="19"/>
    </row>
    <row r="732" spans="1:6" ht="19.95" customHeight="1" x14ac:dyDescent="0.25">
      <c r="A732" s="17" t="s">
        <v>40</v>
      </c>
      <c r="B732" s="18" t="s">
        <v>14</v>
      </c>
      <c r="C732" s="18">
        <v>22.205774710416499</v>
      </c>
      <c r="D732" s="18">
        <v>1985</v>
      </c>
      <c r="E732" s="19"/>
      <c r="F732" s="19"/>
    </row>
    <row r="733" spans="1:6" ht="19.95" customHeight="1" x14ac:dyDescent="0.25">
      <c r="A733" s="17" t="s">
        <v>10</v>
      </c>
      <c r="B733" s="18" t="s">
        <v>14</v>
      </c>
      <c r="C733" s="18">
        <v>11.7232284021254</v>
      </c>
      <c r="D733" s="18">
        <v>1986</v>
      </c>
      <c r="E733" s="19"/>
      <c r="F733" s="19"/>
    </row>
    <row r="734" spans="1:6" ht="19.95" customHeight="1" x14ac:dyDescent="0.25">
      <c r="A734" s="17" t="s">
        <v>13</v>
      </c>
      <c r="B734" s="18" t="s">
        <v>14</v>
      </c>
      <c r="C734" s="18">
        <v>23.281370600862001</v>
      </c>
      <c r="D734" s="18">
        <v>1986</v>
      </c>
      <c r="E734" s="19"/>
      <c r="F734" s="19"/>
    </row>
    <row r="735" spans="1:6" ht="19.95" customHeight="1" x14ac:dyDescent="0.25">
      <c r="A735" s="17" t="s">
        <v>16</v>
      </c>
      <c r="B735" s="18" t="s">
        <v>14</v>
      </c>
      <c r="C735" s="18">
        <v>13.394104417129499</v>
      </c>
      <c r="D735" s="18">
        <v>1986</v>
      </c>
      <c r="E735" s="19"/>
      <c r="F735" s="19"/>
    </row>
    <row r="736" spans="1:6" ht="19.95" customHeight="1" x14ac:dyDescent="0.25">
      <c r="A736" s="17" t="s">
        <v>15</v>
      </c>
      <c r="B736" s="18" t="s">
        <v>14</v>
      </c>
      <c r="C736" s="18">
        <v>16.440377258858401</v>
      </c>
      <c r="D736" s="18">
        <v>1986</v>
      </c>
      <c r="E736" s="19"/>
      <c r="F736" s="19"/>
    </row>
    <row r="737" spans="1:6" ht="19.95" customHeight="1" x14ac:dyDescent="0.25">
      <c r="A737" s="17" t="s">
        <v>17</v>
      </c>
      <c r="B737" s="18" t="s">
        <v>14</v>
      </c>
      <c r="C737" s="18"/>
      <c r="D737" s="18">
        <v>1986</v>
      </c>
      <c r="E737" s="19"/>
      <c r="F737" s="19"/>
    </row>
    <row r="738" spans="1:6" ht="19.95" customHeight="1" x14ac:dyDescent="0.25">
      <c r="A738" s="17" t="s">
        <v>18</v>
      </c>
      <c r="B738" s="18" t="s">
        <v>14</v>
      </c>
      <c r="C738" s="18"/>
      <c r="D738" s="18">
        <v>1986</v>
      </c>
      <c r="E738" s="19"/>
      <c r="F738" s="19"/>
    </row>
    <row r="739" spans="1:6" ht="19.95" customHeight="1" x14ac:dyDescent="0.25">
      <c r="A739" s="17" t="s">
        <v>19</v>
      </c>
      <c r="B739" s="18" t="s">
        <v>14</v>
      </c>
      <c r="C739" s="18">
        <v>31.091899879753498</v>
      </c>
      <c r="D739" s="18">
        <v>1986</v>
      </c>
      <c r="E739" s="19"/>
      <c r="F739" s="19"/>
    </row>
    <row r="740" spans="1:6" ht="19.95" customHeight="1" x14ac:dyDescent="0.25">
      <c r="A740" s="17" t="s">
        <v>20</v>
      </c>
      <c r="B740" s="18" t="s">
        <v>14</v>
      </c>
      <c r="C740" s="18"/>
      <c r="D740" s="18">
        <v>1986</v>
      </c>
      <c r="E740" s="19"/>
      <c r="F740" s="19"/>
    </row>
    <row r="741" spans="1:6" ht="19.95" customHeight="1" x14ac:dyDescent="0.25">
      <c r="A741" s="17" t="s">
        <v>21</v>
      </c>
      <c r="B741" s="18" t="s">
        <v>14</v>
      </c>
      <c r="C741" s="18">
        <v>25.848355272679601</v>
      </c>
      <c r="D741" s="18">
        <v>1986</v>
      </c>
      <c r="E741" s="19"/>
      <c r="F741" s="19"/>
    </row>
    <row r="742" spans="1:6" ht="19.95" customHeight="1" x14ac:dyDescent="0.25">
      <c r="A742" s="17" t="s">
        <v>22</v>
      </c>
      <c r="B742" s="18" t="s">
        <v>14</v>
      </c>
      <c r="C742" s="18"/>
      <c r="D742" s="18">
        <v>1986</v>
      </c>
      <c r="E742" s="19"/>
      <c r="F742" s="19"/>
    </row>
    <row r="743" spans="1:6" ht="19.95" customHeight="1" x14ac:dyDescent="0.25">
      <c r="A743" s="17" t="s">
        <v>23</v>
      </c>
      <c r="B743" s="18" t="s">
        <v>14</v>
      </c>
      <c r="C743" s="18">
        <v>55.174749371079201</v>
      </c>
      <c r="D743" s="18">
        <v>1986</v>
      </c>
      <c r="E743" s="19"/>
      <c r="F743" s="19"/>
    </row>
    <row r="744" spans="1:6" ht="19.95" customHeight="1" x14ac:dyDescent="0.25">
      <c r="A744" s="17" t="s">
        <v>24</v>
      </c>
      <c r="B744" s="18" t="s">
        <v>14</v>
      </c>
      <c r="C744" s="18">
        <v>12.1485579091572</v>
      </c>
      <c r="D744" s="18">
        <v>1986</v>
      </c>
      <c r="E744" s="19"/>
      <c r="F744" s="19"/>
    </row>
    <row r="745" spans="1:6" ht="19.95" customHeight="1" x14ac:dyDescent="0.25">
      <c r="A745" s="17" t="s">
        <v>25</v>
      </c>
      <c r="B745" s="18" t="s">
        <v>14</v>
      </c>
      <c r="C745" s="18">
        <v>22.910708611375899</v>
      </c>
      <c r="D745" s="18">
        <v>1986</v>
      </c>
      <c r="E745" s="19"/>
      <c r="F745" s="19"/>
    </row>
    <row r="746" spans="1:6" ht="19.95" customHeight="1" x14ac:dyDescent="0.25">
      <c r="A746" s="17" t="s">
        <v>26</v>
      </c>
      <c r="B746" s="18" t="s">
        <v>14</v>
      </c>
      <c r="C746" s="18">
        <v>14.4912388792245</v>
      </c>
      <c r="D746" s="18">
        <v>1986</v>
      </c>
      <c r="E746" s="19"/>
      <c r="F746" s="19"/>
    </row>
    <row r="747" spans="1:6" ht="19.95" customHeight="1" x14ac:dyDescent="0.25">
      <c r="A747" s="17" t="s">
        <v>27</v>
      </c>
      <c r="B747" s="18" t="s">
        <v>14</v>
      </c>
      <c r="C747" s="18"/>
      <c r="D747" s="18">
        <v>1986</v>
      </c>
      <c r="E747" s="19"/>
      <c r="F747" s="19"/>
    </row>
    <row r="748" spans="1:6" ht="19.95" customHeight="1" x14ac:dyDescent="0.25">
      <c r="A748" s="17" t="s">
        <v>28</v>
      </c>
      <c r="B748" s="18" t="s">
        <v>14</v>
      </c>
      <c r="C748" s="18">
        <v>2.5246878812151299</v>
      </c>
      <c r="D748" s="18">
        <v>1986</v>
      </c>
      <c r="E748" s="19"/>
      <c r="F748" s="19"/>
    </row>
    <row r="749" spans="1:6" ht="19.95" customHeight="1" x14ac:dyDescent="0.25">
      <c r="A749" s="17" t="s">
        <v>29</v>
      </c>
      <c r="B749" s="18" t="s">
        <v>14</v>
      </c>
      <c r="C749" s="18"/>
      <c r="D749" s="18">
        <v>1986</v>
      </c>
      <c r="E749" s="19"/>
      <c r="F749" s="19"/>
    </row>
    <row r="750" spans="1:6" ht="19.95" customHeight="1" x14ac:dyDescent="0.25">
      <c r="A750" s="17" t="s">
        <v>31</v>
      </c>
      <c r="B750" s="18" t="s">
        <v>14</v>
      </c>
      <c r="C750" s="18">
        <v>11.6622999066829</v>
      </c>
      <c r="D750" s="18">
        <v>1986</v>
      </c>
      <c r="E750" s="19"/>
      <c r="F750" s="19"/>
    </row>
    <row r="751" spans="1:6" ht="19.95" customHeight="1" x14ac:dyDescent="0.25">
      <c r="A751" s="17" t="s">
        <v>32</v>
      </c>
      <c r="B751" s="18" t="s">
        <v>14</v>
      </c>
      <c r="C751" s="18">
        <v>12.7763132748443</v>
      </c>
      <c r="D751" s="18">
        <v>1986</v>
      </c>
      <c r="E751" s="19"/>
      <c r="F751" s="19"/>
    </row>
    <row r="752" spans="1:6" ht="19.95" customHeight="1" x14ac:dyDescent="0.25">
      <c r="A752" s="17" t="s">
        <v>33</v>
      </c>
      <c r="B752" s="18" t="s">
        <v>14</v>
      </c>
      <c r="C752" s="18">
        <v>20.000424634495399</v>
      </c>
      <c r="D752" s="18">
        <v>1986</v>
      </c>
      <c r="E752" s="19"/>
      <c r="F752" s="19"/>
    </row>
    <row r="753" spans="1:6" ht="19.95" customHeight="1" x14ac:dyDescent="0.25">
      <c r="A753" s="17" t="s">
        <v>34</v>
      </c>
      <c r="B753" s="18" t="s">
        <v>14</v>
      </c>
      <c r="C753" s="18">
        <v>12.584317915545499</v>
      </c>
      <c r="D753" s="18">
        <v>1986</v>
      </c>
      <c r="E753" s="19"/>
      <c r="F753" s="19"/>
    </row>
    <row r="754" spans="1:6" ht="19.95" customHeight="1" x14ac:dyDescent="0.25">
      <c r="A754" s="17" t="s">
        <v>35</v>
      </c>
      <c r="B754" s="18" t="s">
        <v>14</v>
      </c>
      <c r="C754" s="18"/>
      <c r="D754" s="18">
        <v>1986</v>
      </c>
      <c r="E754" s="19"/>
      <c r="F754" s="19"/>
    </row>
    <row r="755" spans="1:6" ht="19.95" customHeight="1" x14ac:dyDescent="0.25">
      <c r="A755" s="17" t="s">
        <v>2</v>
      </c>
      <c r="B755" s="18" t="s">
        <v>14</v>
      </c>
      <c r="C755" s="18">
        <v>23.718198736307201</v>
      </c>
      <c r="D755" s="18">
        <v>1986</v>
      </c>
      <c r="E755" s="19"/>
      <c r="F755" s="19"/>
    </row>
    <row r="756" spans="1:6" ht="19.95" customHeight="1" x14ac:dyDescent="0.25">
      <c r="A756" s="17" t="s">
        <v>36</v>
      </c>
      <c r="B756" s="18" t="s">
        <v>14</v>
      </c>
      <c r="C756" s="18"/>
      <c r="D756" s="18">
        <v>1986</v>
      </c>
      <c r="E756" s="19"/>
      <c r="F756" s="19"/>
    </row>
    <row r="757" spans="1:6" ht="19.95" customHeight="1" x14ac:dyDescent="0.25">
      <c r="A757" s="17" t="s">
        <v>37</v>
      </c>
      <c r="B757" s="18" t="s">
        <v>14</v>
      </c>
      <c r="C757" s="18"/>
      <c r="D757" s="18">
        <v>1986</v>
      </c>
      <c r="E757" s="19"/>
      <c r="F757" s="19"/>
    </row>
    <row r="758" spans="1:6" ht="19.95" customHeight="1" x14ac:dyDescent="0.25">
      <c r="A758" s="17" t="s">
        <v>38</v>
      </c>
      <c r="B758" s="18" t="s">
        <v>14</v>
      </c>
      <c r="C758" s="18">
        <v>12.8101121198077</v>
      </c>
      <c r="D758" s="18">
        <v>1986</v>
      </c>
      <c r="E758" s="19"/>
      <c r="F758" s="19"/>
    </row>
    <row r="759" spans="1:6" ht="19.95" customHeight="1" x14ac:dyDescent="0.25">
      <c r="A759" s="17" t="s">
        <v>39</v>
      </c>
      <c r="B759" s="18" t="s">
        <v>14</v>
      </c>
      <c r="C759" s="18"/>
      <c r="D759" s="18">
        <v>1986</v>
      </c>
      <c r="E759" s="19"/>
      <c r="F759" s="19"/>
    </row>
    <row r="760" spans="1:6" ht="19.95" customHeight="1" x14ac:dyDescent="0.25">
      <c r="A760" s="17" t="s">
        <v>40</v>
      </c>
      <c r="B760" s="18" t="s">
        <v>14</v>
      </c>
      <c r="C760" s="18">
        <v>24.049410539440299</v>
      </c>
      <c r="D760" s="18">
        <v>1986</v>
      </c>
      <c r="E760" s="19"/>
      <c r="F760" s="19"/>
    </row>
    <row r="761" spans="1:6" ht="19.95" customHeight="1" x14ac:dyDescent="0.25">
      <c r="A761" s="17" t="s">
        <v>10</v>
      </c>
      <c r="B761" s="18" t="s">
        <v>14</v>
      </c>
      <c r="C761" s="18">
        <v>9.7449029355383292</v>
      </c>
      <c r="D761" s="18">
        <v>1987</v>
      </c>
      <c r="E761" s="19"/>
      <c r="F761" s="19"/>
    </row>
    <row r="762" spans="1:6" ht="19.95" customHeight="1" x14ac:dyDescent="0.25">
      <c r="A762" s="17" t="s">
        <v>13</v>
      </c>
      <c r="B762" s="18" t="s">
        <v>14</v>
      </c>
      <c r="C762" s="18">
        <v>16.6942564322114</v>
      </c>
      <c r="D762" s="18">
        <v>1987</v>
      </c>
      <c r="E762" s="19"/>
      <c r="F762" s="19"/>
    </row>
    <row r="763" spans="1:6" ht="19.95" customHeight="1" x14ac:dyDescent="0.25">
      <c r="A763" s="17" t="s">
        <v>16</v>
      </c>
      <c r="B763" s="18" t="s">
        <v>14</v>
      </c>
      <c r="C763" s="18">
        <v>15.4492482751286</v>
      </c>
      <c r="D763" s="18">
        <v>1987</v>
      </c>
      <c r="E763" s="19"/>
      <c r="F763" s="19"/>
    </row>
    <row r="764" spans="1:6" ht="19.95" customHeight="1" x14ac:dyDescent="0.25">
      <c r="A764" s="17" t="s">
        <v>15</v>
      </c>
      <c r="B764" s="18" t="s">
        <v>14</v>
      </c>
      <c r="C764" s="18">
        <v>15.2451958635359</v>
      </c>
      <c r="D764" s="18">
        <v>1987</v>
      </c>
      <c r="E764" s="19"/>
      <c r="F764" s="19"/>
    </row>
    <row r="765" spans="1:6" ht="19.95" customHeight="1" x14ac:dyDescent="0.25">
      <c r="A765" s="17" t="s">
        <v>17</v>
      </c>
      <c r="B765" s="18" t="s">
        <v>14</v>
      </c>
      <c r="C765" s="18"/>
      <c r="D765" s="18">
        <v>1987</v>
      </c>
      <c r="E765" s="19"/>
      <c r="F765" s="19"/>
    </row>
    <row r="766" spans="1:6" ht="19.95" customHeight="1" x14ac:dyDescent="0.25">
      <c r="A766" s="17" t="s">
        <v>18</v>
      </c>
      <c r="B766" s="18" t="s">
        <v>14</v>
      </c>
      <c r="C766" s="18"/>
      <c r="D766" s="18">
        <v>1987</v>
      </c>
      <c r="E766" s="19"/>
      <c r="F766" s="19"/>
    </row>
    <row r="767" spans="1:6" ht="19.95" customHeight="1" x14ac:dyDescent="0.25">
      <c r="A767" s="17" t="s">
        <v>19</v>
      </c>
      <c r="B767" s="18" t="s">
        <v>14</v>
      </c>
      <c r="C767" s="18">
        <v>31.631352984221401</v>
      </c>
      <c r="D767" s="18">
        <v>1987</v>
      </c>
      <c r="E767" s="19"/>
      <c r="F767" s="19"/>
    </row>
    <row r="768" spans="1:6" ht="19.95" customHeight="1" x14ac:dyDescent="0.25">
      <c r="A768" s="17" t="s">
        <v>20</v>
      </c>
      <c r="B768" s="18" t="s">
        <v>14</v>
      </c>
      <c r="C768" s="18"/>
      <c r="D768" s="18">
        <v>1987</v>
      </c>
      <c r="E768" s="19"/>
      <c r="F768" s="19"/>
    </row>
    <row r="769" spans="1:6" ht="19.95" customHeight="1" x14ac:dyDescent="0.25">
      <c r="A769" s="17" t="s">
        <v>21</v>
      </c>
      <c r="B769" s="18" t="s">
        <v>14</v>
      </c>
      <c r="C769" s="18">
        <v>21.305221347435602</v>
      </c>
      <c r="D769" s="18">
        <v>1987</v>
      </c>
      <c r="E769" s="19"/>
      <c r="F769" s="19"/>
    </row>
    <row r="770" spans="1:6" ht="19.95" customHeight="1" x14ac:dyDescent="0.25">
      <c r="A770" s="17" t="s">
        <v>22</v>
      </c>
      <c r="B770" s="18" t="s">
        <v>14</v>
      </c>
      <c r="C770" s="18"/>
      <c r="D770" s="18">
        <v>1987</v>
      </c>
      <c r="E770" s="19"/>
      <c r="F770" s="19"/>
    </row>
    <row r="771" spans="1:6" ht="19.95" customHeight="1" x14ac:dyDescent="0.25">
      <c r="A771" s="17" t="s">
        <v>23</v>
      </c>
      <c r="B771" s="18" t="s">
        <v>14</v>
      </c>
      <c r="C771" s="18"/>
      <c r="D771" s="18">
        <v>1987</v>
      </c>
      <c r="E771" s="19"/>
      <c r="F771" s="19"/>
    </row>
    <row r="772" spans="1:6" ht="19.95" customHeight="1" x14ac:dyDescent="0.25">
      <c r="A772" s="17" t="s">
        <v>24</v>
      </c>
      <c r="B772" s="18" t="s">
        <v>14</v>
      </c>
      <c r="C772" s="18">
        <v>16.564550338242501</v>
      </c>
      <c r="D772" s="18">
        <v>1987</v>
      </c>
      <c r="E772" s="19"/>
      <c r="F772" s="19"/>
    </row>
    <row r="773" spans="1:6" ht="19.95" customHeight="1" x14ac:dyDescent="0.25">
      <c r="A773" s="17" t="s">
        <v>25</v>
      </c>
      <c r="B773" s="18" t="s">
        <v>14</v>
      </c>
      <c r="C773" s="18">
        <v>25.452527649152302</v>
      </c>
      <c r="D773" s="18">
        <v>1987</v>
      </c>
      <c r="E773" s="19"/>
      <c r="F773" s="19"/>
    </row>
    <row r="774" spans="1:6" ht="19.95" customHeight="1" x14ac:dyDescent="0.25">
      <c r="A774" s="17" t="s">
        <v>26</v>
      </c>
      <c r="B774" s="18" t="s">
        <v>14</v>
      </c>
      <c r="C774" s="18">
        <v>15.561726454991</v>
      </c>
      <c r="D774" s="18">
        <v>1987</v>
      </c>
      <c r="E774" s="19"/>
      <c r="F774" s="19"/>
    </row>
    <row r="775" spans="1:6" ht="19.95" customHeight="1" x14ac:dyDescent="0.25">
      <c r="A775" s="17" t="s">
        <v>27</v>
      </c>
      <c r="B775" s="18" t="s">
        <v>14</v>
      </c>
      <c r="C775" s="18"/>
      <c r="D775" s="18">
        <v>1987</v>
      </c>
      <c r="E775" s="19"/>
      <c r="F775" s="19"/>
    </row>
    <row r="776" spans="1:6" ht="19.95" customHeight="1" x14ac:dyDescent="0.25">
      <c r="A776" s="17" t="s">
        <v>28</v>
      </c>
      <c r="B776" s="18" t="s">
        <v>14</v>
      </c>
      <c r="C776" s="18">
        <v>6.6411833032582104</v>
      </c>
      <c r="D776" s="18">
        <v>1987</v>
      </c>
      <c r="E776" s="19"/>
      <c r="F776" s="19"/>
    </row>
    <row r="777" spans="1:6" ht="19.95" customHeight="1" x14ac:dyDescent="0.25">
      <c r="A777" s="17" t="s">
        <v>29</v>
      </c>
      <c r="B777" s="18" t="s">
        <v>14</v>
      </c>
      <c r="C777" s="18"/>
      <c r="D777" s="18">
        <v>1987</v>
      </c>
      <c r="E777" s="19"/>
      <c r="F777" s="19"/>
    </row>
    <row r="778" spans="1:6" ht="19.95" customHeight="1" x14ac:dyDescent="0.25">
      <c r="A778" s="17" t="s">
        <v>31</v>
      </c>
      <c r="B778" s="18" t="s">
        <v>14</v>
      </c>
      <c r="C778" s="18">
        <v>11.8132750845547</v>
      </c>
      <c r="D778" s="18">
        <v>1987</v>
      </c>
      <c r="E778" s="19"/>
      <c r="F778" s="19"/>
    </row>
    <row r="779" spans="1:6" ht="19.95" customHeight="1" x14ac:dyDescent="0.25">
      <c r="A779" s="17" t="s">
        <v>32</v>
      </c>
      <c r="B779" s="18" t="s">
        <v>14</v>
      </c>
      <c r="C779" s="18">
        <v>11.7706828688996</v>
      </c>
      <c r="D779" s="18">
        <v>1987</v>
      </c>
      <c r="E779" s="19"/>
      <c r="F779" s="19"/>
    </row>
    <row r="780" spans="1:6" ht="19.95" customHeight="1" x14ac:dyDescent="0.25">
      <c r="A780" s="17" t="s">
        <v>33</v>
      </c>
      <c r="B780" s="18" t="s">
        <v>14</v>
      </c>
      <c r="C780" s="18">
        <v>20.8029218654525</v>
      </c>
      <c r="D780" s="18">
        <v>1987</v>
      </c>
      <c r="E780" s="19"/>
      <c r="F780" s="19"/>
    </row>
    <row r="781" spans="1:6" ht="19.95" customHeight="1" x14ac:dyDescent="0.25">
      <c r="A781" s="17" t="s">
        <v>34</v>
      </c>
      <c r="B781" s="18" t="s">
        <v>14</v>
      </c>
      <c r="C781" s="18">
        <v>7.4500525246594202</v>
      </c>
      <c r="D781" s="18">
        <v>1987</v>
      </c>
      <c r="E781" s="19"/>
      <c r="F781" s="19"/>
    </row>
    <row r="782" spans="1:6" ht="19.95" customHeight="1" x14ac:dyDescent="0.25">
      <c r="A782" s="17" t="s">
        <v>35</v>
      </c>
      <c r="B782" s="18" t="s">
        <v>14</v>
      </c>
      <c r="C782" s="18"/>
      <c r="D782" s="18">
        <v>1987</v>
      </c>
      <c r="E782" s="19"/>
      <c r="F782" s="19"/>
    </row>
    <row r="783" spans="1:6" ht="19.95" customHeight="1" x14ac:dyDescent="0.25">
      <c r="A783" s="17" t="s">
        <v>2</v>
      </c>
      <c r="B783" s="18" t="s">
        <v>14</v>
      </c>
      <c r="C783" s="18">
        <v>25.1922754329692</v>
      </c>
      <c r="D783" s="18">
        <v>1987</v>
      </c>
      <c r="E783" s="19"/>
      <c r="F783" s="19"/>
    </row>
    <row r="784" spans="1:6" ht="19.95" customHeight="1" x14ac:dyDescent="0.25">
      <c r="A784" s="17" t="s">
        <v>36</v>
      </c>
      <c r="B784" s="18" t="s">
        <v>14</v>
      </c>
      <c r="C784" s="18"/>
      <c r="D784" s="18">
        <v>1987</v>
      </c>
      <c r="E784" s="19"/>
      <c r="F784" s="19"/>
    </row>
    <row r="785" spans="1:6" ht="19.95" customHeight="1" x14ac:dyDescent="0.25">
      <c r="A785" s="17" t="s">
        <v>37</v>
      </c>
      <c r="B785" s="18" t="s">
        <v>14</v>
      </c>
      <c r="C785" s="18"/>
      <c r="D785" s="18">
        <v>1987</v>
      </c>
      <c r="E785" s="19"/>
      <c r="F785" s="19"/>
    </row>
    <row r="786" spans="1:6" ht="19.95" customHeight="1" x14ac:dyDescent="0.25">
      <c r="A786" s="17" t="s">
        <v>38</v>
      </c>
      <c r="B786" s="18" t="s">
        <v>14</v>
      </c>
      <c r="C786" s="18">
        <v>8.2470987512090197</v>
      </c>
      <c r="D786" s="18">
        <v>1987</v>
      </c>
      <c r="E786" s="19"/>
      <c r="F786" s="19"/>
    </row>
    <row r="787" spans="1:6" ht="19.95" customHeight="1" x14ac:dyDescent="0.25">
      <c r="A787" s="17" t="s">
        <v>39</v>
      </c>
      <c r="B787" s="18" t="s">
        <v>14</v>
      </c>
      <c r="C787" s="18"/>
      <c r="D787" s="18">
        <v>1987</v>
      </c>
      <c r="E787" s="19"/>
      <c r="F787" s="19"/>
    </row>
    <row r="788" spans="1:6" ht="19.95" customHeight="1" x14ac:dyDescent="0.25">
      <c r="A788" s="17" t="s">
        <v>40</v>
      </c>
      <c r="B788" s="18" t="s">
        <v>14</v>
      </c>
      <c r="C788" s="18">
        <v>24.015710461456699</v>
      </c>
      <c r="D788" s="18">
        <v>1987</v>
      </c>
      <c r="E788" s="19"/>
      <c r="F788" s="19"/>
    </row>
    <row r="789" spans="1:6" ht="19.95" customHeight="1" x14ac:dyDescent="0.25">
      <c r="A789" s="17" t="s">
        <v>10</v>
      </c>
      <c r="B789" s="18" t="s">
        <v>14</v>
      </c>
      <c r="C789" s="18">
        <v>12.590770050801501</v>
      </c>
      <c r="D789" s="18">
        <v>1988</v>
      </c>
      <c r="E789" s="19"/>
      <c r="F789" s="19"/>
    </row>
    <row r="790" spans="1:6" ht="19.95" customHeight="1" x14ac:dyDescent="0.25">
      <c r="A790" s="17" t="s">
        <v>13</v>
      </c>
      <c r="B790" s="18" t="s">
        <v>14</v>
      </c>
      <c r="C790" s="18">
        <v>16.0329748693173</v>
      </c>
      <c r="D790" s="18">
        <v>1988</v>
      </c>
      <c r="E790" s="19"/>
      <c r="F790" s="19"/>
    </row>
    <row r="791" spans="1:6" ht="19.95" customHeight="1" x14ac:dyDescent="0.25">
      <c r="A791" s="17" t="s">
        <v>16</v>
      </c>
      <c r="B791" s="18" t="s">
        <v>14</v>
      </c>
      <c r="C791" s="18">
        <v>15.0191432988044</v>
      </c>
      <c r="D791" s="18">
        <v>1988</v>
      </c>
      <c r="E791" s="19"/>
      <c r="F791" s="19"/>
    </row>
    <row r="792" spans="1:6" ht="19.95" customHeight="1" x14ac:dyDescent="0.25">
      <c r="A792" s="17" t="s">
        <v>15</v>
      </c>
      <c r="B792" s="18" t="s">
        <v>14</v>
      </c>
      <c r="C792" s="18">
        <v>17.9849835813887</v>
      </c>
      <c r="D792" s="18">
        <v>1988</v>
      </c>
      <c r="E792" s="19"/>
      <c r="F792" s="19"/>
    </row>
    <row r="793" spans="1:6" ht="19.95" customHeight="1" x14ac:dyDescent="0.25">
      <c r="A793" s="17" t="s">
        <v>17</v>
      </c>
      <c r="B793" s="18" t="s">
        <v>14</v>
      </c>
      <c r="C793" s="18"/>
      <c r="D793" s="18">
        <v>1988</v>
      </c>
      <c r="E793" s="19"/>
      <c r="F793" s="19"/>
    </row>
    <row r="794" spans="1:6" ht="19.95" customHeight="1" x14ac:dyDescent="0.25">
      <c r="A794" s="17" t="s">
        <v>18</v>
      </c>
      <c r="B794" s="18" t="s">
        <v>14</v>
      </c>
      <c r="C794" s="18"/>
      <c r="D794" s="18">
        <v>1988</v>
      </c>
      <c r="E794" s="19"/>
      <c r="F794" s="19"/>
    </row>
    <row r="795" spans="1:6" ht="19.95" customHeight="1" x14ac:dyDescent="0.25">
      <c r="A795" s="17" t="s">
        <v>19</v>
      </c>
      <c r="B795" s="18" t="s">
        <v>14</v>
      </c>
      <c r="C795" s="18">
        <v>26.872585491998901</v>
      </c>
      <c r="D795" s="18">
        <v>1988</v>
      </c>
      <c r="E795" s="19"/>
      <c r="F795" s="19"/>
    </row>
    <row r="796" spans="1:6" ht="19.95" customHeight="1" x14ac:dyDescent="0.25">
      <c r="A796" s="17" t="s">
        <v>20</v>
      </c>
      <c r="B796" s="18" t="s">
        <v>14</v>
      </c>
      <c r="C796" s="18"/>
      <c r="D796" s="18">
        <v>1988</v>
      </c>
      <c r="E796" s="19"/>
      <c r="F796" s="19"/>
    </row>
    <row r="797" spans="1:6" ht="19.95" customHeight="1" x14ac:dyDescent="0.25">
      <c r="A797" s="17" t="s">
        <v>21</v>
      </c>
      <c r="B797" s="18" t="s">
        <v>14</v>
      </c>
      <c r="C797" s="18">
        <v>22.3712135609168</v>
      </c>
      <c r="D797" s="18">
        <v>1988</v>
      </c>
      <c r="E797" s="19"/>
      <c r="F797" s="19"/>
    </row>
    <row r="798" spans="1:6" ht="19.95" customHeight="1" x14ac:dyDescent="0.25">
      <c r="A798" s="17" t="s">
        <v>22</v>
      </c>
      <c r="B798" s="18" t="s">
        <v>14</v>
      </c>
      <c r="C798" s="18"/>
      <c r="D798" s="18">
        <v>1988</v>
      </c>
      <c r="E798" s="19"/>
      <c r="F798" s="19"/>
    </row>
    <row r="799" spans="1:6" ht="19.95" customHeight="1" x14ac:dyDescent="0.25">
      <c r="A799" s="17" t="s">
        <v>23</v>
      </c>
      <c r="B799" s="18" t="s">
        <v>14</v>
      </c>
      <c r="C799" s="18"/>
      <c r="D799" s="18">
        <v>1988</v>
      </c>
      <c r="E799" s="19"/>
      <c r="F799" s="19"/>
    </row>
    <row r="800" spans="1:6" ht="19.95" customHeight="1" x14ac:dyDescent="0.25">
      <c r="A800" s="17" t="s">
        <v>24</v>
      </c>
      <c r="B800" s="18" t="s">
        <v>14</v>
      </c>
      <c r="C800" s="18">
        <v>16.299242540370599</v>
      </c>
      <c r="D800" s="18">
        <v>1988</v>
      </c>
      <c r="E800" s="19"/>
      <c r="F800" s="19"/>
    </row>
    <row r="801" spans="1:6" ht="19.95" customHeight="1" x14ac:dyDescent="0.25">
      <c r="A801" s="17" t="s">
        <v>25</v>
      </c>
      <c r="B801" s="18" t="s">
        <v>14</v>
      </c>
      <c r="C801" s="18">
        <v>23.322204617474</v>
      </c>
      <c r="D801" s="18">
        <v>1988</v>
      </c>
      <c r="E801" s="19"/>
      <c r="F801" s="19"/>
    </row>
    <row r="802" spans="1:6" ht="19.95" customHeight="1" x14ac:dyDescent="0.25">
      <c r="A802" s="17" t="s">
        <v>26</v>
      </c>
      <c r="B802" s="18" t="s">
        <v>14</v>
      </c>
      <c r="C802" s="18">
        <v>14.5807207561982</v>
      </c>
      <c r="D802" s="18">
        <v>1988</v>
      </c>
      <c r="E802" s="19"/>
      <c r="F802" s="19"/>
    </row>
    <row r="803" spans="1:6" ht="19.95" customHeight="1" x14ac:dyDescent="0.25">
      <c r="A803" s="17" t="s">
        <v>27</v>
      </c>
      <c r="B803" s="18" t="s">
        <v>14</v>
      </c>
      <c r="C803" s="18"/>
      <c r="D803" s="18">
        <v>1988</v>
      </c>
      <c r="E803" s="19"/>
      <c r="F803" s="19"/>
    </row>
    <row r="804" spans="1:6" ht="19.95" customHeight="1" x14ac:dyDescent="0.25">
      <c r="A804" s="17" t="s">
        <v>28</v>
      </c>
      <c r="B804" s="18" t="s">
        <v>14</v>
      </c>
      <c r="C804" s="18">
        <v>8.0709180299478902</v>
      </c>
      <c r="D804" s="18">
        <v>1988</v>
      </c>
      <c r="E804" s="19"/>
      <c r="F804" s="19"/>
    </row>
    <row r="805" spans="1:6" ht="19.95" customHeight="1" x14ac:dyDescent="0.25">
      <c r="A805" s="17" t="s">
        <v>29</v>
      </c>
      <c r="B805" s="18" t="s">
        <v>14</v>
      </c>
      <c r="C805" s="18"/>
      <c r="D805" s="18">
        <v>1988</v>
      </c>
      <c r="E805" s="19"/>
      <c r="F805" s="19"/>
    </row>
    <row r="806" spans="1:6" ht="19.95" customHeight="1" x14ac:dyDescent="0.25">
      <c r="A806" s="17" t="s">
        <v>31</v>
      </c>
      <c r="B806" s="18" t="s">
        <v>14</v>
      </c>
      <c r="C806" s="18">
        <v>11.4471692715783</v>
      </c>
      <c r="D806" s="18">
        <v>1988</v>
      </c>
      <c r="E806" s="19"/>
      <c r="F806" s="19"/>
    </row>
    <row r="807" spans="1:6" ht="19.95" customHeight="1" x14ac:dyDescent="0.25">
      <c r="A807" s="17" t="s">
        <v>32</v>
      </c>
      <c r="B807" s="18" t="s">
        <v>14</v>
      </c>
      <c r="C807" s="18">
        <v>17.980878530827098</v>
      </c>
      <c r="D807" s="18">
        <v>1988</v>
      </c>
      <c r="E807" s="19"/>
      <c r="F807" s="19"/>
    </row>
    <row r="808" spans="1:6" ht="19.95" customHeight="1" x14ac:dyDescent="0.25">
      <c r="A808" s="17" t="s">
        <v>33</v>
      </c>
      <c r="B808" s="18" t="s">
        <v>14</v>
      </c>
      <c r="C808" s="18">
        <v>18.299882123371098</v>
      </c>
      <c r="D808" s="18">
        <v>1988</v>
      </c>
      <c r="E808" s="19"/>
      <c r="F808" s="19"/>
    </row>
    <row r="809" spans="1:6" ht="19.95" customHeight="1" x14ac:dyDescent="0.25">
      <c r="A809" s="17" t="s">
        <v>34</v>
      </c>
      <c r="B809" s="18" t="s">
        <v>14</v>
      </c>
      <c r="C809" s="18">
        <v>6.61955980927653</v>
      </c>
      <c r="D809" s="18">
        <v>1988</v>
      </c>
      <c r="E809" s="19"/>
      <c r="F809" s="19"/>
    </row>
    <row r="810" spans="1:6" ht="19.95" customHeight="1" x14ac:dyDescent="0.25">
      <c r="A810" s="17" t="s">
        <v>35</v>
      </c>
      <c r="B810" s="18" t="s">
        <v>14</v>
      </c>
      <c r="C810" s="18"/>
      <c r="D810" s="18">
        <v>1988</v>
      </c>
      <c r="E810" s="19"/>
      <c r="F810" s="19"/>
    </row>
    <row r="811" spans="1:6" ht="19.95" customHeight="1" x14ac:dyDescent="0.25">
      <c r="A811" s="17" t="s">
        <v>2</v>
      </c>
      <c r="B811" s="18" t="s">
        <v>14</v>
      </c>
      <c r="C811" s="18">
        <v>26.076438630159199</v>
      </c>
      <c r="D811" s="18">
        <v>1988</v>
      </c>
      <c r="E811" s="19"/>
      <c r="F811" s="19"/>
    </row>
    <row r="812" spans="1:6" ht="19.95" customHeight="1" x14ac:dyDescent="0.25">
      <c r="A812" s="17" t="s">
        <v>36</v>
      </c>
      <c r="B812" s="18" t="s">
        <v>14</v>
      </c>
      <c r="C812" s="18">
        <v>35.174418604651201</v>
      </c>
      <c r="D812" s="18">
        <v>1988</v>
      </c>
      <c r="E812" s="19"/>
      <c r="F812" s="19"/>
    </row>
    <row r="813" spans="1:6" ht="19.95" customHeight="1" x14ac:dyDescent="0.25">
      <c r="A813" s="17" t="s">
        <v>37</v>
      </c>
      <c r="B813" s="18" t="s">
        <v>14</v>
      </c>
      <c r="C813" s="18"/>
      <c r="D813" s="18">
        <v>1988</v>
      </c>
      <c r="E813" s="19"/>
      <c r="F813" s="19"/>
    </row>
    <row r="814" spans="1:6" ht="19.95" customHeight="1" x14ac:dyDescent="0.25">
      <c r="A814" s="17" t="s">
        <v>38</v>
      </c>
      <c r="B814" s="18" t="s">
        <v>14</v>
      </c>
      <c r="C814" s="18">
        <v>7.5726713134833501</v>
      </c>
      <c r="D814" s="18">
        <v>1988</v>
      </c>
      <c r="E814" s="19"/>
      <c r="F814" s="19"/>
    </row>
    <row r="815" spans="1:6" ht="19.95" customHeight="1" x14ac:dyDescent="0.25">
      <c r="A815" s="17" t="s">
        <v>39</v>
      </c>
      <c r="B815" s="18" t="s">
        <v>14</v>
      </c>
      <c r="C815" s="18"/>
      <c r="D815" s="18">
        <v>1988</v>
      </c>
      <c r="E815" s="19"/>
      <c r="F815" s="19"/>
    </row>
    <row r="816" spans="1:6" ht="19.95" customHeight="1" x14ac:dyDescent="0.25">
      <c r="A816" s="17" t="s">
        <v>40</v>
      </c>
      <c r="B816" s="18" t="s">
        <v>14</v>
      </c>
      <c r="C816" s="18">
        <v>23.740346198431801</v>
      </c>
      <c r="D816" s="18">
        <v>1988</v>
      </c>
      <c r="E816" s="19"/>
      <c r="F816" s="19"/>
    </row>
    <row r="817" spans="1:6" ht="19.95" customHeight="1" x14ac:dyDescent="0.25">
      <c r="A817" s="17" t="s">
        <v>10</v>
      </c>
      <c r="B817" s="18" t="s">
        <v>14</v>
      </c>
      <c r="C817" s="18">
        <v>9.7457439898609906</v>
      </c>
      <c r="D817" s="18">
        <v>1989</v>
      </c>
      <c r="E817" s="19"/>
      <c r="F817" s="19"/>
    </row>
    <row r="818" spans="1:6" ht="19.95" customHeight="1" x14ac:dyDescent="0.25">
      <c r="A818" s="17" t="s">
        <v>13</v>
      </c>
      <c r="B818" s="18" t="s">
        <v>14</v>
      </c>
      <c r="C818" s="18">
        <v>20.7070366380926</v>
      </c>
      <c r="D818" s="18">
        <v>1989</v>
      </c>
      <c r="E818" s="19"/>
      <c r="F818" s="19"/>
    </row>
    <row r="819" spans="1:6" ht="19.95" customHeight="1" x14ac:dyDescent="0.25">
      <c r="A819" s="17" t="s">
        <v>16</v>
      </c>
      <c r="B819" s="18" t="s">
        <v>14</v>
      </c>
      <c r="C819" s="18">
        <v>13.781424506434201</v>
      </c>
      <c r="D819" s="18">
        <v>1989</v>
      </c>
      <c r="E819" s="19"/>
      <c r="F819" s="19"/>
    </row>
    <row r="820" spans="1:6" ht="19.95" customHeight="1" x14ac:dyDescent="0.25">
      <c r="A820" s="17" t="s">
        <v>15</v>
      </c>
      <c r="B820" s="18" t="s">
        <v>14</v>
      </c>
      <c r="C820" s="18">
        <v>14.8824091345951</v>
      </c>
      <c r="D820" s="18">
        <v>1989</v>
      </c>
      <c r="E820" s="19"/>
      <c r="F820" s="19"/>
    </row>
    <row r="821" spans="1:6" ht="19.95" customHeight="1" x14ac:dyDescent="0.25">
      <c r="A821" s="17" t="s">
        <v>17</v>
      </c>
      <c r="B821" s="18" t="s">
        <v>14</v>
      </c>
      <c r="C821" s="18"/>
      <c r="D821" s="18">
        <v>1989</v>
      </c>
      <c r="E821" s="19"/>
      <c r="F821" s="19"/>
    </row>
    <row r="822" spans="1:6" ht="19.95" customHeight="1" x14ac:dyDescent="0.25">
      <c r="A822" s="17" t="s">
        <v>18</v>
      </c>
      <c r="B822" s="18" t="s">
        <v>14</v>
      </c>
      <c r="C822" s="18"/>
      <c r="D822" s="18">
        <v>1989</v>
      </c>
      <c r="E822" s="19"/>
      <c r="F822" s="19"/>
    </row>
    <row r="823" spans="1:6" ht="19.95" customHeight="1" x14ac:dyDescent="0.25">
      <c r="A823" s="17" t="s">
        <v>19</v>
      </c>
      <c r="B823" s="18" t="s">
        <v>14</v>
      </c>
      <c r="C823" s="18">
        <v>31.0936007644729</v>
      </c>
      <c r="D823" s="18">
        <v>1989</v>
      </c>
      <c r="E823" s="19"/>
      <c r="F823" s="19"/>
    </row>
    <row r="824" spans="1:6" ht="19.95" customHeight="1" x14ac:dyDescent="0.25">
      <c r="A824" s="17" t="s">
        <v>20</v>
      </c>
      <c r="B824" s="18" t="s">
        <v>14</v>
      </c>
      <c r="C824" s="18"/>
      <c r="D824" s="18">
        <v>1989</v>
      </c>
      <c r="E824" s="19"/>
      <c r="F824" s="19"/>
    </row>
    <row r="825" spans="1:6" ht="19.95" customHeight="1" x14ac:dyDescent="0.25">
      <c r="A825" s="17" t="s">
        <v>21</v>
      </c>
      <c r="B825" s="18" t="s">
        <v>14</v>
      </c>
      <c r="C825" s="18">
        <v>23.0330294282825</v>
      </c>
      <c r="D825" s="18">
        <v>1989</v>
      </c>
      <c r="E825" s="19"/>
      <c r="F825" s="19"/>
    </row>
    <row r="826" spans="1:6" ht="19.95" customHeight="1" x14ac:dyDescent="0.25">
      <c r="A826" s="17" t="s">
        <v>22</v>
      </c>
      <c r="B826" s="18" t="s">
        <v>14</v>
      </c>
      <c r="C826" s="18"/>
      <c r="D826" s="18">
        <v>1989</v>
      </c>
      <c r="E826" s="19"/>
      <c r="F826" s="19"/>
    </row>
    <row r="827" spans="1:6" ht="19.95" customHeight="1" x14ac:dyDescent="0.25">
      <c r="A827" s="17" t="s">
        <v>23</v>
      </c>
      <c r="B827" s="18" t="s">
        <v>14</v>
      </c>
      <c r="C827" s="18"/>
      <c r="D827" s="18">
        <v>1989</v>
      </c>
      <c r="E827" s="19"/>
      <c r="F827" s="19"/>
    </row>
    <row r="828" spans="1:6" ht="19.95" customHeight="1" x14ac:dyDescent="0.25">
      <c r="A828" s="17" t="s">
        <v>24</v>
      </c>
      <c r="B828" s="18" t="s">
        <v>14</v>
      </c>
      <c r="C828" s="18">
        <v>18.4488139496654</v>
      </c>
      <c r="D828" s="18">
        <v>1989</v>
      </c>
      <c r="E828" s="19"/>
      <c r="F828" s="19"/>
    </row>
    <row r="829" spans="1:6" ht="19.95" customHeight="1" x14ac:dyDescent="0.25">
      <c r="A829" s="17" t="s">
        <v>25</v>
      </c>
      <c r="B829" s="18" t="s">
        <v>14</v>
      </c>
      <c r="C829" s="18">
        <v>18.779910185951199</v>
      </c>
      <c r="D829" s="18">
        <v>1989</v>
      </c>
      <c r="E829" s="19"/>
      <c r="F829" s="19"/>
    </row>
    <row r="830" spans="1:6" ht="19.95" customHeight="1" x14ac:dyDescent="0.25">
      <c r="A830" s="17" t="s">
        <v>26</v>
      </c>
      <c r="B830" s="18" t="s">
        <v>14</v>
      </c>
      <c r="C830" s="18">
        <v>15.8101938599128</v>
      </c>
      <c r="D830" s="18">
        <v>1989</v>
      </c>
      <c r="E830" s="19"/>
      <c r="F830" s="19"/>
    </row>
    <row r="831" spans="1:6" ht="19.95" customHeight="1" x14ac:dyDescent="0.25">
      <c r="A831" s="17" t="s">
        <v>27</v>
      </c>
      <c r="B831" s="18" t="s">
        <v>14</v>
      </c>
      <c r="C831" s="18"/>
      <c r="D831" s="18">
        <v>1989</v>
      </c>
      <c r="E831" s="19"/>
      <c r="F831" s="19"/>
    </row>
    <row r="832" spans="1:6" ht="19.95" customHeight="1" x14ac:dyDescent="0.25">
      <c r="A832" s="17" t="s">
        <v>28</v>
      </c>
      <c r="B832" s="18" t="s">
        <v>14</v>
      </c>
      <c r="C832" s="18">
        <v>8.2234681776385106</v>
      </c>
      <c r="D832" s="18">
        <v>1989</v>
      </c>
      <c r="E832" s="19"/>
      <c r="F832" s="19"/>
    </row>
    <row r="833" spans="1:6" ht="19.95" customHeight="1" x14ac:dyDescent="0.25">
      <c r="A833" s="17" t="s">
        <v>29</v>
      </c>
      <c r="B833" s="18" t="s">
        <v>14</v>
      </c>
      <c r="C833" s="18"/>
      <c r="D833" s="18">
        <v>1989</v>
      </c>
      <c r="E833" s="19"/>
      <c r="F833" s="19"/>
    </row>
    <row r="834" spans="1:6" ht="19.95" customHeight="1" x14ac:dyDescent="0.25">
      <c r="A834" s="17" t="s">
        <v>31</v>
      </c>
      <c r="B834" s="18" t="s">
        <v>14</v>
      </c>
      <c r="C834" s="18">
        <v>11.0676046555915</v>
      </c>
      <c r="D834" s="18">
        <v>1989</v>
      </c>
      <c r="E834" s="19"/>
      <c r="F834" s="19"/>
    </row>
    <row r="835" spans="1:6" ht="19.95" customHeight="1" x14ac:dyDescent="0.25">
      <c r="A835" s="17" t="s">
        <v>32</v>
      </c>
      <c r="B835" s="18" t="s">
        <v>14</v>
      </c>
      <c r="C835" s="18">
        <v>32.537011013431801</v>
      </c>
      <c r="D835" s="18">
        <v>1989</v>
      </c>
      <c r="E835" s="19"/>
      <c r="F835" s="19"/>
    </row>
    <row r="836" spans="1:6" ht="19.95" customHeight="1" x14ac:dyDescent="0.25">
      <c r="A836" s="17" t="s">
        <v>33</v>
      </c>
      <c r="B836" s="18" t="s">
        <v>14</v>
      </c>
      <c r="C836" s="18">
        <v>16.599714998100598</v>
      </c>
      <c r="D836" s="18">
        <v>1989</v>
      </c>
      <c r="E836" s="19"/>
      <c r="F836" s="19"/>
    </row>
    <row r="837" spans="1:6" ht="19.95" customHeight="1" x14ac:dyDescent="0.25">
      <c r="A837" s="17" t="s">
        <v>34</v>
      </c>
      <c r="B837" s="18" t="s">
        <v>14</v>
      </c>
      <c r="C837" s="18">
        <v>6.1392889513756304</v>
      </c>
      <c r="D837" s="18">
        <v>1989</v>
      </c>
      <c r="E837" s="19"/>
      <c r="F837" s="19"/>
    </row>
    <row r="838" spans="1:6" ht="19.95" customHeight="1" x14ac:dyDescent="0.25">
      <c r="A838" s="17" t="s">
        <v>35</v>
      </c>
      <c r="B838" s="18" t="s">
        <v>14</v>
      </c>
      <c r="C838" s="18"/>
      <c r="D838" s="18">
        <v>1989</v>
      </c>
      <c r="E838" s="19"/>
      <c r="F838" s="19"/>
    </row>
    <row r="839" spans="1:6" ht="19.95" customHeight="1" x14ac:dyDescent="0.25">
      <c r="A839" s="17" t="s">
        <v>2</v>
      </c>
      <c r="B839" s="18" t="s">
        <v>14</v>
      </c>
      <c r="C839" s="18">
        <v>27.2602038183182</v>
      </c>
      <c r="D839" s="18">
        <v>1989</v>
      </c>
      <c r="E839" s="19"/>
      <c r="F839" s="19"/>
    </row>
    <row r="840" spans="1:6" ht="19.95" customHeight="1" x14ac:dyDescent="0.25">
      <c r="A840" s="17" t="s">
        <v>36</v>
      </c>
      <c r="B840" s="18" t="s">
        <v>14</v>
      </c>
      <c r="C840" s="18">
        <v>35.942028985507299</v>
      </c>
      <c r="D840" s="18">
        <v>1989</v>
      </c>
      <c r="E840" s="19"/>
      <c r="F840" s="19"/>
    </row>
    <row r="841" spans="1:6" ht="19.95" customHeight="1" x14ac:dyDescent="0.25">
      <c r="A841" s="17" t="s">
        <v>37</v>
      </c>
      <c r="B841" s="18" t="s">
        <v>14</v>
      </c>
      <c r="C841" s="18"/>
      <c r="D841" s="18">
        <v>1989</v>
      </c>
      <c r="E841" s="19"/>
      <c r="F841" s="19"/>
    </row>
    <row r="842" spans="1:6" ht="19.95" customHeight="1" x14ac:dyDescent="0.25">
      <c r="A842" s="17" t="s">
        <v>38</v>
      </c>
      <c r="B842" s="18" t="s">
        <v>14</v>
      </c>
      <c r="C842" s="18">
        <v>7.9544006990522096</v>
      </c>
      <c r="D842" s="18">
        <v>1989</v>
      </c>
      <c r="E842" s="19"/>
      <c r="F842" s="19"/>
    </row>
    <row r="843" spans="1:6" ht="19.95" customHeight="1" x14ac:dyDescent="0.25">
      <c r="A843" s="17" t="s">
        <v>39</v>
      </c>
      <c r="B843" s="18" t="s">
        <v>14</v>
      </c>
      <c r="C843" s="18"/>
      <c r="D843" s="18">
        <v>1989</v>
      </c>
      <c r="E843" s="19"/>
      <c r="F843" s="19"/>
    </row>
    <row r="844" spans="1:6" ht="19.95" customHeight="1" x14ac:dyDescent="0.25">
      <c r="A844" s="17" t="s">
        <v>40</v>
      </c>
      <c r="B844" s="18" t="s">
        <v>14</v>
      </c>
      <c r="C844" s="18">
        <v>23.342283061218499</v>
      </c>
      <c r="D844" s="18">
        <v>1989</v>
      </c>
      <c r="E844" s="19"/>
      <c r="F844" s="19"/>
    </row>
    <row r="845" spans="1:6" ht="19.95" customHeight="1" x14ac:dyDescent="0.25">
      <c r="A845" s="17" t="s">
        <v>10</v>
      </c>
      <c r="B845" s="18" t="s">
        <v>14</v>
      </c>
      <c r="C845" s="18">
        <v>7.8729922941231099</v>
      </c>
      <c r="D845" s="18">
        <v>1990</v>
      </c>
      <c r="E845" s="19"/>
      <c r="F845" s="19"/>
    </row>
    <row r="846" spans="1:6" ht="19.95" customHeight="1" x14ac:dyDescent="0.25">
      <c r="A846" s="17" t="s">
        <v>13</v>
      </c>
      <c r="B846" s="18" t="s">
        <v>14</v>
      </c>
      <c r="C846" s="18">
        <v>20.1829143997955</v>
      </c>
      <c r="D846" s="18">
        <v>1990</v>
      </c>
      <c r="E846" s="19"/>
      <c r="F846" s="19"/>
    </row>
    <row r="847" spans="1:6" ht="19.95" customHeight="1" x14ac:dyDescent="0.25">
      <c r="A847" s="17" t="s">
        <v>16</v>
      </c>
      <c r="B847" s="18" t="s">
        <v>14</v>
      </c>
      <c r="C847" s="18">
        <v>13.4802082509051</v>
      </c>
      <c r="D847" s="18">
        <v>1990</v>
      </c>
      <c r="E847" s="19"/>
      <c r="F847" s="19"/>
    </row>
    <row r="848" spans="1:6" ht="19.95" customHeight="1" x14ac:dyDescent="0.25">
      <c r="A848" s="17" t="s">
        <v>15</v>
      </c>
      <c r="B848" s="18" t="s">
        <v>14</v>
      </c>
      <c r="C848" s="18">
        <v>14.252137379910099</v>
      </c>
      <c r="D848" s="18">
        <v>1990</v>
      </c>
      <c r="E848" s="19"/>
      <c r="F848" s="19"/>
    </row>
    <row r="849" spans="1:6" ht="19.95" customHeight="1" x14ac:dyDescent="0.25">
      <c r="A849" s="17" t="s">
        <v>17</v>
      </c>
      <c r="B849" s="18" t="s">
        <v>14</v>
      </c>
      <c r="C849" s="18"/>
      <c r="D849" s="18">
        <v>1990</v>
      </c>
      <c r="E849" s="19"/>
      <c r="F849" s="19"/>
    </row>
    <row r="850" spans="1:6" ht="19.95" customHeight="1" x14ac:dyDescent="0.25">
      <c r="A850" s="17" t="s">
        <v>18</v>
      </c>
      <c r="B850" s="18" t="s">
        <v>14</v>
      </c>
      <c r="C850" s="18"/>
      <c r="D850" s="18">
        <v>1990</v>
      </c>
      <c r="E850" s="19"/>
      <c r="F850" s="19"/>
    </row>
    <row r="851" spans="1:6" ht="19.95" customHeight="1" x14ac:dyDescent="0.25">
      <c r="A851" s="17" t="s">
        <v>19</v>
      </c>
      <c r="B851" s="18" t="s">
        <v>14</v>
      </c>
      <c r="C851" s="18">
        <v>31.075235796648698</v>
      </c>
      <c r="D851" s="18">
        <v>1990</v>
      </c>
      <c r="E851" s="19"/>
      <c r="F851" s="19"/>
    </row>
    <row r="852" spans="1:6" ht="19.95" customHeight="1" x14ac:dyDescent="0.25">
      <c r="A852" s="17" t="s">
        <v>20</v>
      </c>
      <c r="B852" s="18" t="s">
        <v>14</v>
      </c>
      <c r="C852" s="18"/>
      <c r="D852" s="18">
        <v>1990</v>
      </c>
      <c r="E852" s="19"/>
      <c r="F852" s="19"/>
    </row>
    <row r="853" spans="1:6" ht="19.95" customHeight="1" x14ac:dyDescent="0.25">
      <c r="A853" s="17" t="s">
        <v>21</v>
      </c>
      <c r="B853" s="18" t="s">
        <v>14</v>
      </c>
      <c r="C853" s="18">
        <v>25.692605964936401</v>
      </c>
      <c r="D853" s="18">
        <v>1990</v>
      </c>
      <c r="E853" s="19"/>
      <c r="F853" s="19"/>
    </row>
    <row r="854" spans="1:6" ht="19.95" customHeight="1" x14ac:dyDescent="0.25">
      <c r="A854" s="17" t="s">
        <v>22</v>
      </c>
      <c r="B854" s="18" t="s">
        <v>14</v>
      </c>
      <c r="C854" s="18"/>
      <c r="D854" s="18">
        <v>1990</v>
      </c>
      <c r="E854" s="19"/>
      <c r="F854" s="19"/>
    </row>
    <row r="855" spans="1:6" ht="19.95" customHeight="1" x14ac:dyDescent="0.25">
      <c r="A855" s="17" t="s">
        <v>23</v>
      </c>
      <c r="B855" s="18" t="s">
        <v>14</v>
      </c>
      <c r="C855" s="18"/>
      <c r="D855" s="18">
        <v>1990</v>
      </c>
      <c r="E855" s="19"/>
      <c r="F855" s="19"/>
    </row>
    <row r="856" spans="1:6" ht="19.95" customHeight="1" x14ac:dyDescent="0.25">
      <c r="A856" s="17" t="s">
        <v>24</v>
      </c>
      <c r="B856" s="18" t="s">
        <v>14</v>
      </c>
      <c r="C856" s="18">
        <v>16.602148814521499</v>
      </c>
      <c r="D856" s="18">
        <v>1990</v>
      </c>
      <c r="E856" s="19"/>
      <c r="F856" s="19"/>
    </row>
    <row r="857" spans="1:6" ht="19.95" customHeight="1" x14ac:dyDescent="0.25">
      <c r="A857" s="17" t="s">
        <v>25</v>
      </c>
      <c r="B857" s="18" t="s">
        <v>14</v>
      </c>
      <c r="C857" s="18">
        <v>23.782074306798702</v>
      </c>
      <c r="D857" s="18">
        <v>1990</v>
      </c>
      <c r="E857" s="19"/>
      <c r="F857" s="19"/>
    </row>
    <row r="858" spans="1:6" ht="19.95" customHeight="1" x14ac:dyDescent="0.25">
      <c r="A858" s="17" t="s">
        <v>26</v>
      </c>
      <c r="B858" s="18" t="s">
        <v>14</v>
      </c>
      <c r="C858" s="18">
        <v>15.653591808212401</v>
      </c>
      <c r="D858" s="18">
        <v>1990</v>
      </c>
      <c r="E858" s="19"/>
      <c r="F858" s="19"/>
    </row>
    <row r="859" spans="1:6" ht="19.95" customHeight="1" x14ac:dyDescent="0.25">
      <c r="A859" s="17" t="s">
        <v>27</v>
      </c>
      <c r="B859" s="18" t="s">
        <v>14</v>
      </c>
      <c r="C859" s="18"/>
      <c r="D859" s="18">
        <v>1990</v>
      </c>
      <c r="E859" s="19"/>
      <c r="F859" s="19"/>
    </row>
    <row r="860" spans="1:6" ht="19.95" customHeight="1" x14ac:dyDescent="0.25">
      <c r="A860" s="17" t="s">
        <v>28</v>
      </c>
      <c r="B860" s="18" t="s">
        <v>14</v>
      </c>
      <c r="C860" s="18">
        <v>8.1740709157334202</v>
      </c>
      <c r="D860" s="18">
        <v>1990</v>
      </c>
      <c r="E860" s="19"/>
      <c r="F860" s="19"/>
    </row>
    <row r="861" spans="1:6" ht="19.95" customHeight="1" x14ac:dyDescent="0.25">
      <c r="A861" s="17" t="s">
        <v>29</v>
      </c>
      <c r="B861" s="18" t="s">
        <v>14</v>
      </c>
      <c r="C861" s="18"/>
      <c r="D861" s="18">
        <v>1990</v>
      </c>
      <c r="E861" s="19"/>
      <c r="F861" s="19"/>
    </row>
    <row r="862" spans="1:6" ht="19.95" customHeight="1" x14ac:dyDescent="0.25">
      <c r="A862" s="17" t="s">
        <v>31</v>
      </c>
      <c r="B862" s="18" t="s">
        <v>14</v>
      </c>
      <c r="C862" s="18">
        <v>10.527309120445601</v>
      </c>
      <c r="D862" s="18">
        <v>1990</v>
      </c>
      <c r="E862" s="19"/>
      <c r="F862" s="19"/>
    </row>
    <row r="863" spans="1:6" ht="19.95" customHeight="1" x14ac:dyDescent="0.25">
      <c r="A863" s="17" t="s">
        <v>32</v>
      </c>
      <c r="B863" s="18" t="s">
        <v>14</v>
      </c>
      <c r="C863" s="18">
        <v>24.948359255964199</v>
      </c>
      <c r="D863" s="18">
        <v>1990</v>
      </c>
      <c r="E863" s="19"/>
      <c r="F863" s="19"/>
    </row>
    <row r="864" spans="1:6" ht="19.95" customHeight="1" x14ac:dyDescent="0.25">
      <c r="A864" s="17" t="s">
        <v>33</v>
      </c>
      <c r="B864" s="18" t="s">
        <v>14</v>
      </c>
      <c r="C864" s="18">
        <v>14.8110928766013</v>
      </c>
      <c r="D864" s="18">
        <v>1990</v>
      </c>
      <c r="E864" s="19"/>
      <c r="F864" s="19"/>
    </row>
    <row r="865" spans="1:6" ht="19.95" customHeight="1" x14ac:dyDescent="0.25">
      <c r="A865" s="17" t="s">
        <v>34</v>
      </c>
      <c r="B865" s="18" t="s">
        <v>14</v>
      </c>
      <c r="C865" s="18">
        <v>5.6146091553814204</v>
      </c>
      <c r="D865" s="18">
        <v>1990</v>
      </c>
      <c r="E865" s="19"/>
      <c r="F865" s="19"/>
    </row>
    <row r="866" spans="1:6" ht="19.95" customHeight="1" x14ac:dyDescent="0.25">
      <c r="A866" s="17" t="s">
        <v>35</v>
      </c>
      <c r="B866" s="18" t="s">
        <v>14</v>
      </c>
      <c r="C866" s="18"/>
      <c r="D866" s="18">
        <v>1990</v>
      </c>
      <c r="E866" s="19"/>
      <c r="F866" s="19"/>
    </row>
    <row r="867" spans="1:6" ht="19.95" customHeight="1" x14ac:dyDescent="0.25">
      <c r="A867" s="17" t="s">
        <v>2</v>
      </c>
      <c r="B867" s="18" t="s">
        <v>14</v>
      </c>
      <c r="C867" s="18">
        <v>30.180804514829799</v>
      </c>
      <c r="D867" s="18">
        <v>1990</v>
      </c>
      <c r="E867" s="19"/>
      <c r="F867" s="19"/>
    </row>
    <row r="868" spans="1:6" ht="19.95" customHeight="1" x14ac:dyDescent="0.25">
      <c r="A868" s="17" t="s">
        <v>36</v>
      </c>
      <c r="B868" s="18" t="s">
        <v>14</v>
      </c>
      <c r="C868" s="18">
        <v>27.8463648834019</v>
      </c>
      <c r="D868" s="18">
        <v>1990</v>
      </c>
      <c r="E868" s="19"/>
      <c r="F868" s="19"/>
    </row>
    <row r="869" spans="1:6" ht="19.95" customHeight="1" x14ac:dyDescent="0.25">
      <c r="A869" s="17" t="s">
        <v>37</v>
      </c>
      <c r="B869" s="18" t="s">
        <v>14</v>
      </c>
      <c r="C869" s="18">
        <v>12.62114884801</v>
      </c>
      <c r="D869" s="18">
        <v>1990</v>
      </c>
      <c r="E869" s="19"/>
      <c r="F869" s="19"/>
    </row>
    <row r="870" spans="1:6" ht="19.95" customHeight="1" x14ac:dyDescent="0.25">
      <c r="A870" s="17" t="s">
        <v>38</v>
      </c>
      <c r="B870" s="18" t="s">
        <v>14</v>
      </c>
      <c r="C870" s="18">
        <v>7.2407208592858998</v>
      </c>
      <c r="D870" s="18">
        <v>1990</v>
      </c>
      <c r="E870" s="19"/>
      <c r="F870" s="19"/>
    </row>
    <row r="871" spans="1:6" ht="19.95" customHeight="1" x14ac:dyDescent="0.25">
      <c r="A871" s="17" t="s">
        <v>39</v>
      </c>
      <c r="B871" s="18" t="s">
        <v>14</v>
      </c>
      <c r="C871" s="18"/>
      <c r="D871" s="18">
        <v>1990</v>
      </c>
      <c r="E871" s="19"/>
      <c r="F871" s="19"/>
    </row>
    <row r="872" spans="1:6" ht="19.95" customHeight="1" x14ac:dyDescent="0.25">
      <c r="A872" s="17" t="s">
        <v>40</v>
      </c>
      <c r="B872" s="18" t="s">
        <v>14</v>
      </c>
      <c r="C872" s="18">
        <v>22.866845570673199</v>
      </c>
      <c r="D872" s="18">
        <v>1990</v>
      </c>
      <c r="E872" s="19"/>
      <c r="F872" s="19"/>
    </row>
    <row r="873" spans="1:6" ht="19.95" customHeight="1" x14ac:dyDescent="0.25">
      <c r="A873" s="17" t="s">
        <v>10</v>
      </c>
      <c r="B873" s="18" t="s">
        <v>14</v>
      </c>
      <c r="C873" s="18">
        <v>9.9173777005917891</v>
      </c>
      <c r="D873" s="18">
        <v>1991</v>
      </c>
      <c r="E873" s="19"/>
      <c r="F873" s="19"/>
    </row>
    <row r="874" spans="1:6" ht="19.95" customHeight="1" x14ac:dyDescent="0.25">
      <c r="A874" s="17" t="s">
        <v>13</v>
      </c>
      <c r="B874" s="18" t="s">
        <v>14</v>
      </c>
      <c r="C874" s="18">
        <v>19.998880461067198</v>
      </c>
      <c r="D874" s="18">
        <v>1991</v>
      </c>
      <c r="E874" s="19"/>
      <c r="F874" s="19"/>
    </row>
    <row r="875" spans="1:6" ht="19.95" customHeight="1" x14ac:dyDescent="0.25">
      <c r="A875" s="17" t="s">
        <v>16</v>
      </c>
      <c r="B875" s="18" t="s">
        <v>14</v>
      </c>
      <c r="C875" s="18">
        <v>11.9516330624513</v>
      </c>
      <c r="D875" s="18">
        <v>1991</v>
      </c>
      <c r="E875" s="19"/>
      <c r="F875" s="19"/>
    </row>
    <row r="876" spans="1:6" ht="19.95" customHeight="1" x14ac:dyDescent="0.25">
      <c r="A876" s="17" t="s">
        <v>15</v>
      </c>
      <c r="B876" s="18" t="s">
        <v>14</v>
      </c>
      <c r="C876" s="18">
        <v>20.011489300588799</v>
      </c>
      <c r="D876" s="18">
        <v>1991</v>
      </c>
      <c r="E876" s="19"/>
      <c r="F876" s="19"/>
    </row>
    <row r="877" spans="1:6" ht="19.95" customHeight="1" x14ac:dyDescent="0.25">
      <c r="A877" s="17" t="s">
        <v>17</v>
      </c>
      <c r="B877" s="18" t="s">
        <v>14</v>
      </c>
      <c r="C877" s="18"/>
      <c r="D877" s="18">
        <v>1991</v>
      </c>
      <c r="E877" s="19"/>
      <c r="F877" s="19"/>
    </row>
    <row r="878" spans="1:6" ht="19.95" customHeight="1" x14ac:dyDescent="0.25">
      <c r="A878" s="17" t="s">
        <v>18</v>
      </c>
      <c r="B878" s="18" t="s">
        <v>14</v>
      </c>
      <c r="C878" s="18"/>
      <c r="D878" s="18">
        <v>1991</v>
      </c>
      <c r="E878" s="19"/>
      <c r="F878" s="19"/>
    </row>
    <row r="879" spans="1:6" ht="19.95" customHeight="1" x14ac:dyDescent="0.25">
      <c r="A879" s="17" t="s">
        <v>19</v>
      </c>
      <c r="B879" s="18" t="s">
        <v>14</v>
      </c>
      <c r="C879" s="18">
        <v>30.3308789199472</v>
      </c>
      <c r="D879" s="18">
        <v>1991</v>
      </c>
      <c r="E879" s="19"/>
      <c r="F879" s="19"/>
    </row>
    <row r="880" spans="1:6" ht="19.95" customHeight="1" x14ac:dyDescent="0.25">
      <c r="A880" s="17" t="s">
        <v>20</v>
      </c>
      <c r="B880" s="18" t="s">
        <v>14</v>
      </c>
      <c r="C880" s="18">
        <v>10.311445483210701</v>
      </c>
      <c r="D880" s="18">
        <v>1991</v>
      </c>
      <c r="E880" s="19"/>
      <c r="F880" s="19"/>
    </row>
    <row r="881" spans="1:6" ht="19.95" customHeight="1" x14ac:dyDescent="0.25">
      <c r="A881" s="17" t="s">
        <v>21</v>
      </c>
      <c r="B881" s="18" t="s">
        <v>14</v>
      </c>
      <c r="C881" s="18">
        <v>27.0416323240194</v>
      </c>
      <c r="D881" s="18">
        <v>1991</v>
      </c>
      <c r="E881" s="19"/>
      <c r="F881" s="19"/>
    </row>
    <row r="882" spans="1:6" ht="19.95" customHeight="1" x14ac:dyDescent="0.25">
      <c r="A882" s="17" t="s">
        <v>22</v>
      </c>
      <c r="B882" s="18" t="s">
        <v>14</v>
      </c>
      <c r="C882" s="18"/>
      <c r="D882" s="18">
        <v>1991</v>
      </c>
      <c r="E882" s="19"/>
      <c r="F882" s="19"/>
    </row>
    <row r="883" spans="1:6" ht="19.95" customHeight="1" x14ac:dyDescent="0.25">
      <c r="A883" s="17" t="s">
        <v>23</v>
      </c>
      <c r="B883" s="18" t="s">
        <v>14</v>
      </c>
      <c r="C883" s="18"/>
      <c r="D883" s="18">
        <v>1991</v>
      </c>
      <c r="E883" s="19"/>
      <c r="F883" s="19"/>
    </row>
    <row r="884" spans="1:6" ht="19.95" customHeight="1" x14ac:dyDescent="0.25">
      <c r="A884" s="17" t="s">
        <v>24</v>
      </c>
      <c r="B884" s="18" t="s">
        <v>14</v>
      </c>
      <c r="C884" s="18">
        <v>18.1096252223516</v>
      </c>
      <c r="D884" s="18">
        <v>1991</v>
      </c>
      <c r="E884" s="19"/>
      <c r="F884" s="19"/>
    </row>
    <row r="885" spans="1:6" ht="19.95" customHeight="1" x14ac:dyDescent="0.25">
      <c r="A885" s="17" t="s">
        <v>25</v>
      </c>
      <c r="B885" s="18" t="s">
        <v>14</v>
      </c>
      <c r="C885" s="18">
        <v>23.2715838361785</v>
      </c>
      <c r="D885" s="18">
        <v>1991</v>
      </c>
      <c r="E885" s="19"/>
      <c r="F885" s="19"/>
    </row>
    <row r="886" spans="1:6" ht="19.95" customHeight="1" x14ac:dyDescent="0.25">
      <c r="A886" s="17" t="s">
        <v>26</v>
      </c>
      <c r="B886" s="18" t="s">
        <v>14</v>
      </c>
      <c r="C886" s="18">
        <v>16.2112685675379</v>
      </c>
      <c r="D886" s="18">
        <v>1991</v>
      </c>
      <c r="E886" s="19"/>
      <c r="F886" s="19"/>
    </row>
    <row r="887" spans="1:6" ht="19.95" customHeight="1" x14ac:dyDescent="0.25">
      <c r="A887" s="17" t="s">
        <v>27</v>
      </c>
      <c r="B887" s="18" t="s">
        <v>14</v>
      </c>
      <c r="C887" s="18"/>
      <c r="D887" s="18">
        <v>1991</v>
      </c>
      <c r="E887" s="19"/>
      <c r="F887" s="19"/>
    </row>
    <row r="888" spans="1:6" ht="19.95" customHeight="1" x14ac:dyDescent="0.25">
      <c r="A888" s="17" t="s">
        <v>28</v>
      </c>
      <c r="B888" s="18" t="s">
        <v>14</v>
      </c>
      <c r="C888" s="18">
        <v>9.1737558087143203</v>
      </c>
      <c r="D888" s="18">
        <v>1991</v>
      </c>
      <c r="E888" s="19"/>
      <c r="F888" s="19"/>
    </row>
    <row r="889" spans="1:6" ht="19.95" customHeight="1" x14ac:dyDescent="0.25">
      <c r="A889" s="17" t="s">
        <v>29</v>
      </c>
      <c r="B889" s="18" t="s">
        <v>14</v>
      </c>
      <c r="C889" s="18"/>
      <c r="D889" s="18">
        <v>1991</v>
      </c>
      <c r="E889" s="19"/>
      <c r="F889" s="19"/>
    </row>
    <row r="890" spans="1:6" ht="19.95" customHeight="1" x14ac:dyDescent="0.25">
      <c r="A890" s="17" t="s">
        <v>31</v>
      </c>
      <c r="B890" s="18" t="s">
        <v>14</v>
      </c>
      <c r="C890" s="18">
        <v>11.4907512863386</v>
      </c>
      <c r="D890" s="18">
        <v>1991</v>
      </c>
      <c r="E890" s="19"/>
      <c r="F890" s="19"/>
    </row>
    <row r="891" spans="1:6" ht="19.95" customHeight="1" x14ac:dyDescent="0.25">
      <c r="A891" s="17" t="s">
        <v>32</v>
      </c>
      <c r="B891" s="18" t="s">
        <v>14</v>
      </c>
      <c r="C891" s="18">
        <v>21.821984018169999</v>
      </c>
      <c r="D891" s="18">
        <v>1991</v>
      </c>
      <c r="E891" s="19"/>
      <c r="F891" s="19"/>
    </row>
    <row r="892" spans="1:6" ht="19.95" customHeight="1" x14ac:dyDescent="0.25">
      <c r="A892" s="17" t="s">
        <v>33</v>
      </c>
      <c r="B892" s="18" t="s">
        <v>14</v>
      </c>
      <c r="C892" s="18">
        <v>14.0521592483564</v>
      </c>
      <c r="D892" s="18">
        <v>1991</v>
      </c>
      <c r="E892" s="19"/>
      <c r="F892" s="19"/>
    </row>
    <row r="893" spans="1:6" ht="19.95" customHeight="1" x14ac:dyDescent="0.25">
      <c r="A893" s="17" t="s">
        <v>34</v>
      </c>
      <c r="B893" s="18" t="s">
        <v>14</v>
      </c>
      <c r="C893" s="18">
        <v>7.3166044426604602</v>
      </c>
      <c r="D893" s="18">
        <v>1991</v>
      </c>
      <c r="E893" s="19"/>
      <c r="F893" s="19"/>
    </row>
    <row r="894" spans="1:6" ht="19.95" customHeight="1" x14ac:dyDescent="0.25">
      <c r="A894" s="17" t="s">
        <v>35</v>
      </c>
      <c r="B894" s="18" t="s">
        <v>14</v>
      </c>
      <c r="C894" s="18"/>
      <c r="D894" s="18">
        <v>1991</v>
      </c>
      <c r="E894" s="19"/>
      <c r="F894" s="19"/>
    </row>
    <row r="895" spans="1:6" ht="19.95" customHeight="1" x14ac:dyDescent="0.25">
      <c r="A895" s="17" t="s">
        <v>2</v>
      </c>
      <c r="B895" s="18" t="s">
        <v>14</v>
      </c>
      <c r="C895" s="18">
        <v>28.741086895218199</v>
      </c>
      <c r="D895" s="18">
        <v>1991</v>
      </c>
      <c r="E895" s="19"/>
      <c r="F895" s="19"/>
    </row>
    <row r="896" spans="1:6" ht="19.95" customHeight="1" x14ac:dyDescent="0.25">
      <c r="A896" s="17" t="s">
        <v>36</v>
      </c>
      <c r="B896" s="18" t="s">
        <v>14</v>
      </c>
      <c r="C896" s="18">
        <v>33.210059171597599</v>
      </c>
      <c r="D896" s="18">
        <v>1991</v>
      </c>
      <c r="E896" s="19"/>
      <c r="F896" s="19"/>
    </row>
    <row r="897" spans="1:6" ht="19.95" customHeight="1" x14ac:dyDescent="0.25">
      <c r="A897" s="17" t="s">
        <v>37</v>
      </c>
      <c r="B897" s="18" t="s">
        <v>14</v>
      </c>
      <c r="C897" s="18">
        <v>10.2620611945616</v>
      </c>
      <c r="D897" s="18">
        <v>1991</v>
      </c>
      <c r="E897" s="19"/>
      <c r="F897" s="19"/>
    </row>
    <row r="898" spans="1:6" ht="19.95" customHeight="1" x14ac:dyDescent="0.25">
      <c r="A898" s="17" t="s">
        <v>38</v>
      </c>
      <c r="B898" s="18" t="s">
        <v>14</v>
      </c>
      <c r="C898" s="18">
        <v>7.4644303084318597</v>
      </c>
      <c r="D898" s="18">
        <v>1991</v>
      </c>
      <c r="E898" s="19"/>
      <c r="F898" s="19"/>
    </row>
    <row r="899" spans="1:6" ht="19.95" customHeight="1" x14ac:dyDescent="0.25">
      <c r="A899" s="17" t="s">
        <v>39</v>
      </c>
      <c r="B899" s="18" t="s">
        <v>14</v>
      </c>
      <c r="C899" s="18"/>
      <c r="D899" s="18">
        <v>1991</v>
      </c>
      <c r="E899" s="19"/>
      <c r="F899" s="19"/>
    </row>
    <row r="900" spans="1:6" ht="19.95" customHeight="1" x14ac:dyDescent="0.25">
      <c r="A900" s="17" t="s">
        <v>40</v>
      </c>
      <c r="B900" s="18" t="s">
        <v>14</v>
      </c>
      <c r="C900" s="18">
        <v>23.883468965744601</v>
      </c>
      <c r="D900" s="18">
        <v>1991</v>
      </c>
      <c r="E900" s="19"/>
      <c r="F900" s="19"/>
    </row>
    <row r="901" spans="1:6" ht="19.95" customHeight="1" x14ac:dyDescent="0.25">
      <c r="A901" s="17" t="s">
        <v>10</v>
      </c>
      <c r="B901" s="18" t="s">
        <v>14</v>
      </c>
      <c r="C901" s="18">
        <v>8.7491805224806694</v>
      </c>
      <c r="D901" s="18">
        <v>1992</v>
      </c>
      <c r="E901" s="19"/>
      <c r="F901" s="19"/>
    </row>
    <row r="902" spans="1:6" ht="19.95" customHeight="1" x14ac:dyDescent="0.25">
      <c r="A902" s="17" t="s">
        <v>13</v>
      </c>
      <c r="B902" s="18" t="s">
        <v>14</v>
      </c>
      <c r="C902" s="18">
        <v>20.547022248546298</v>
      </c>
      <c r="D902" s="18">
        <v>1992</v>
      </c>
      <c r="E902" s="19"/>
      <c r="F902" s="19"/>
    </row>
    <row r="903" spans="1:6" ht="19.95" customHeight="1" x14ac:dyDescent="0.25">
      <c r="A903" s="17" t="s">
        <v>16</v>
      </c>
      <c r="B903" s="18" t="s">
        <v>14</v>
      </c>
      <c r="C903" s="18">
        <v>11.090746389273599</v>
      </c>
      <c r="D903" s="18">
        <v>1992</v>
      </c>
      <c r="E903" s="19"/>
      <c r="F903" s="19"/>
    </row>
    <row r="904" spans="1:6" ht="19.95" customHeight="1" x14ac:dyDescent="0.25">
      <c r="A904" s="17" t="s">
        <v>15</v>
      </c>
      <c r="B904" s="18" t="s">
        <v>14</v>
      </c>
      <c r="C904" s="18">
        <v>18.040534786681398</v>
      </c>
      <c r="D904" s="18">
        <v>1992</v>
      </c>
      <c r="E904" s="19"/>
      <c r="F904" s="19"/>
    </row>
    <row r="905" spans="1:6" ht="19.95" customHeight="1" x14ac:dyDescent="0.25">
      <c r="A905" s="17" t="s">
        <v>17</v>
      </c>
      <c r="B905" s="18" t="s">
        <v>14</v>
      </c>
      <c r="C905" s="18"/>
      <c r="D905" s="18">
        <v>1992</v>
      </c>
      <c r="E905" s="19"/>
      <c r="F905" s="19"/>
    </row>
    <row r="906" spans="1:6" ht="19.95" customHeight="1" x14ac:dyDescent="0.25">
      <c r="A906" s="17" t="s">
        <v>18</v>
      </c>
      <c r="B906" s="18" t="s">
        <v>14</v>
      </c>
      <c r="C906" s="18"/>
      <c r="D906" s="18">
        <v>1992</v>
      </c>
      <c r="E906" s="19"/>
      <c r="F906" s="19"/>
    </row>
    <row r="907" spans="1:6" ht="19.95" customHeight="1" x14ac:dyDescent="0.25">
      <c r="A907" s="17" t="s">
        <v>19</v>
      </c>
      <c r="B907" s="18" t="s">
        <v>14</v>
      </c>
      <c r="C907" s="18">
        <v>24.874613539125399</v>
      </c>
      <c r="D907" s="18">
        <v>1992</v>
      </c>
      <c r="E907" s="19"/>
      <c r="F907" s="19"/>
    </row>
    <row r="908" spans="1:6" ht="19.95" customHeight="1" x14ac:dyDescent="0.25">
      <c r="A908" s="17" t="s">
        <v>20</v>
      </c>
      <c r="B908" s="18" t="s">
        <v>14</v>
      </c>
      <c r="C908" s="18">
        <v>7.5715114031697004</v>
      </c>
      <c r="D908" s="18">
        <v>1992</v>
      </c>
      <c r="E908" s="19"/>
      <c r="F908" s="19"/>
    </row>
    <row r="909" spans="1:6" ht="19.95" customHeight="1" x14ac:dyDescent="0.25">
      <c r="A909" s="17" t="s">
        <v>21</v>
      </c>
      <c r="B909" s="18" t="s">
        <v>14</v>
      </c>
      <c r="C909" s="18">
        <v>26.260374190635101</v>
      </c>
      <c r="D909" s="18">
        <v>1992</v>
      </c>
      <c r="E909" s="19"/>
      <c r="F909" s="19"/>
    </row>
    <row r="910" spans="1:6" ht="19.95" customHeight="1" x14ac:dyDescent="0.25">
      <c r="A910" s="17" t="s">
        <v>22</v>
      </c>
      <c r="B910" s="18" t="s">
        <v>14</v>
      </c>
      <c r="C910" s="18"/>
      <c r="D910" s="18">
        <v>1992</v>
      </c>
      <c r="E910" s="19"/>
      <c r="F910" s="19"/>
    </row>
    <row r="911" spans="1:6" ht="19.95" customHeight="1" x14ac:dyDescent="0.25">
      <c r="A911" s="17" t="s">
        <v>23</v>
      </c>
      <c r="B911" s="18" t="s">
        <v>14</v>
      </c>
      <c r="C911" s="18"/>
      <c r="D911" s="18">
        <v>1992</v>
      </c>
      <c r="E911" s="19"/>
      <c r="F911" s="19"/>
    </row>
    <row r="912" spans="1:6" ht="19.95" customHeight="1" x14ac:dyDescent="0.25">
      <c r="A912" s="17" t="s">
        <v>24</v>
      </c>
      <c r="B912" s="18" t="s">
        <v>14</v>
      </c>
      <c r="C912" s="18">
        <v>16.383778997714401</v>
      </c>
      <c r="D912" s="18">
        <v>1992</v>
      </c>
      <c r="E912" s="19"/>
      <c r="F912" s="19"/>
    </row>
    <row r="913" spans="1:6" ht="19.95" customHeight="1" x14ac:dyDescent="0.25">
      <c r="A913" s="17" t="s">
        <v>25</v>
      </c>
      <c r="B913" s="18" t="s">
        <v>14</v>
      </c>
      <c r="C913" s="18">
        <v>23.206224718642599</v>
      </c>
      <c r="D913" s="18">
        <v>1992</v>
      </c>
      <c r="E913" s="19"/>
      <c r="F913" s="19"/>
    </row>
    <row r="914" spans="1:6" ht="19.95" customHeight="1" x14ac:dyDescent="0.25">
      <c r="A914" s="17" t="s">
        <v>26</v>
      </c>
      <c r="B914" s="18" t="s">
        <v>14</v>
      </c>
      <c r="C914" s="18">
        <v>15.629103351586</v>
      </c>
      <c r="D914" s="18">
        <v>1992</v>
      </c>
      <c r="E914" s="19"/>
      <c r="F914" s="19"/>
    </row>
    <row r="915" spans="1:6" ht="19.95" customHeight="1" x14ac:dyDescent="0.25">
      <c r="A915" s="17" t="s">
        <v>27</v>
      </c>
      <c r="B915" s="18" t="s">
        <v>14</v>
      </c>
      <c r="C915" s="18"/>
      <c r="D915" s="18">
        <v>1992</v>
      </c>
      <c r="E915" s="19"/>
      <c r="F915" s="19"/>
    </row>
    <row r="916" spans="1:6" ht="19.95" customHeight="1" x14ac:dyDescent="0.25">
      <c r="A916" s="17" t="s">
        <v>28</v>
      </c>
      <c r="B916" s="18" t="s">
        <v>14</v>
      </c>
      <c r="C916" s="18">
        <v>10.608722755186101</v>
      </c>
      <c r="D916" s="18">
        <v>1992</v>
      </c>
      <c r="E916" s="19"/>
      <c r="F916" s="19"/>
    </row>
    <row r="917" spans="1:6" ht="19.95" customHeight="1" x14ac:dyDescent="0.25">
      <c r="A917" s="17" t="s">
        <v>29</v>
      </c>
      <c r="B917" s="18" t="s">
        <v>14</v>
      </c>
      <c r="C917" s="18"/>
      <c r="D917" s="18">
        <v>1992</v>
      </c>
      <c r="E917" s="19"/>
      <c r="F917" s="19"/>
    </row>
    <row r="918" spans="1:6" ht="19.95" customHeight="1" x14ac:dyDescent="0.25">
      <c r="A918" s="17" t="s">
        <v>31</v>
      </c>
      <c r="B918" s="18" t="s">
        <v>14</v>
      </c>
      <c r="C918" s="18">
        <v>15.9597261292976</v>
      </c>
      <c r="D918" s="18">
        <v>1992</v>
      </c>
      <c r="E918" s="19"/>
      <c r="F918" s="19"/>
    </row>
    <row r="919" spans="1:6" ht="19.95" customHeight="1" x14ac:dyDescent="0.25">
      <c r="A919" s="17" t="s">
        <v>32</v>
      </c>
      <c r="B919" s="18" t="s">
        <v>14</v>
      </c>
      <c r="C919" s="18">
        <v>17.2512271307452</v>
      </c>
      <c r="D919" s="18">
        <v>1992</v>
      </c>
      <c r="E919" s="19"/>
      <c r="F919" s="19"/>
    </row>
    <row r="920" spans="1:6" ht="19.95" customHeight="1" x14ac:dyDescent="0.25">
      <c r="A920" s="17" t="s">
        <v>33</v>
      </c>
      <c r="B920" s="18" t="s">
        <v>14</v>
      </c>
      <c r="C920" s="18">
        <v>16.755075719451099</v>
      </c>
      <c r="D920" s="18">
        <v>1992</v>
      </c>
      <c r="E920" s="19"/>
      <c r="F920" s="19"/>
    </row>
    <row r="921" spans="1:6" ht="19.95" customHeight="1" x14ac:dyDescent="0.25">
      <c r="A921" s="17" t="s">
        <v>34</v>
      </c>
      <c r="B921" s="18" t="s">
        <v>14</v>
      </c>
      <c r="C921" s="18">
        <v>5.5684081898581201</v>
      </c>
      <c r="D921" s="18">
        <v>1992</v>
      </c>
      <c r="E921" s="19"/>
      <c r="F921" s="19"/>
    </row>
    <row r="922" spans="1:6" ht="19.95" customHeight="1" x14ac:dyDescent="0.25">
      <c r="A922" s="17" t="s">
        <v>35</v>
      </c>
      <c r="B922" s="18" t="s">
        <v>14</v>
      </c>
      <c r="C922" s="18"/>
      <c r="D922" s="18">
        <v>1992</v>
      </c>
      <c r="E922" s="19"/>
      <c r="F922" s="19"/>
    </row>
    <row r="923" spans="1:6" ht="19.95" customHeight="1" x14ac:dyDescent="0.25">
      <c r="A923" s="17" t="s">
        <v>2</v>
      </c>
      <c r="B923" s="18" t="s">
        <v>14</v>
      </c>
      <c r="C923" s="18">
        <v>31.770374080318302</v>
      </c>
      <c r="D923" s="18">
        <v>1992</v>
      </c>
      <c r="E923" s="19"/>
      <c r="F923" s="19"/>
    </row>
    <row r="924" spans="1:6" ht="19.95" customHeight="1" x14ac:dyDescent="0.25">
      <c r="A924" s="17" t="s">
        <v>36</v>
      </c>
      <c r="B924" s="18" t="s">
        <v>14</v>
      </c>
      <c r="C924" s="18">
        <v>9.6754250386398795</v>
      </c>
      <c r="D924" s="18">
        <v>1992</v>
      </c>
      <c r="E924" s="19"/>
      <c r="F924" s="19"/>
    </row>
    <row r="925" spans="1:6" ht="19.95" customHeight="1" x14ac:dyDescent="0.25">
      <c r="A925" s="17" t="s">
        <v>37</v>
      </c>
      <c r="B925" s="18" t="s">
        <v>14</v>
      </c>
      <c r="C925" s="18">
        <v>12.4418378862935</v>
      </c>
      <c r="D925" s="18">
        <v>1992</v>
      </c>
      <c r="E925" s="19"/>
      <c r="F925" s="19"/>
    </row>
    <row r="926" spans="1:6" ht="19.95" customHeight="1" x14ac:dyDescent="0.25">
      <c r="A926" s="17" t="s">
        <v>38</v>
      </c>
      <c r="B926" s="18" t="s">
        <v>14</v>
      </c>
      <c r="C926" s="18">
        <v>8.7610888047182893</v>
      </c>
      <c r="D926" s="18">
        <v>1992</v>
      </c>
      <c r="E926" s="19"/>
      <c r="F926" s="19"/>
    </row>
    <row r="927" spans="1:6" ht="19.95" customHeight="1" x14ac:dyDescent="0.25">
      <c r="A927" s="17" t="s">
        <v>39</v>
      </c>
      <c r="B927" s="18" t="s">
        <v>14</v>
      </c>
      <c r="C927" s="18"/>
      <c r="D927" s="18">
        <v>1992</v>
      </c>
      <c r="E927" s="19"/>
      <c r="F927" s="19"/>
    </row>
    <row r="928" spans="1:6" ht="19.95" customHeight="1" x14ac:dyDescent="0.25">
      <c r="A928" s="17" t="s">
        <v>40</v>
      </c>
      <c r="B928" s="18" t="s">
        <v>14</v>
      </c>
      <c r="C928" s="18">
        <v>27.2272631145545</v>
      </c>
      <c r="D928" s="18">
        <v>1992</v>
      </c>
      <c r="E928" s="19"/>
      <c r="F928" s="19"/>
    </row>
    <row r="929" spans="1:6" ht="19.95" customHeight="1" x14ac:dyDescent="0.25">
      <c r="A929" s="17" t="s">
        <v>10</v>
      </c>
      <c r="B929" s="18" t="s">
        <v>14</v>
      </c>
      <c r="C929" s="18">
        <v>9.3819608463691502</v>
      </c>
      <c r="D929" s="18">
        <v>1993</v>
      </c>
      <c r="E929" s="19"/>
      <c r="F929" s="19"/>
    </row>
    <row r="930" spans="1:6" ht="19.95" customHeight="1" x14ac:dyDescent="0.25">
      <c r="A930" s="17" t="s">
        <v>13</v>
      </c>
      <c r="B930" s="18" t="s">
        <v>14</v>
      </c>
      <c r="C930" s="18">
        <v>13.9179431059235</v>
      </c>
      <c r="D930" s="18">
        <v>1993</v>
      </c>
      <c r="E930" s="19"/>
      <c r="F930" s="19"/>
    </row>
    <row r="931" spans="1:6" ht="19.95" customHeight="1" x14ac:dyDescent="0.25">
      <c r="A931" s="17" t="s">
        <v>16</v>
      </c>
      <c r="B931" s="18" t="s">
        <v>14</v>
      </c>
      <c r="C931" s="18">
        <v>13.323446113405</v>
      </c>
      <c r="D931" s="18">
        <v>1993</v>
      </c>
      <c r="E931" s="19"/>
      <c r="F931" s="19"/>
    </row>
    <row r="932" spans="1:6" ht="19.95" customHeight="1" x14ac:dyDescent="0.25">
      <c r="A932" s="17" t="s">
        <v>15</v>
      </c>
      <c r="B932" s="18" t="s">
        <v>14</v>
      </c>
      <c r="C932" s="18">
        <v>19.9699860649587</v>
      </c>
      <c r="D932" s="18">
        <v>1993</v>
      </c>
      <c r="E932" s="19"/>
      <c r="F932" s="19"/>
    </row>
    <row r="933" spans="1:6" ht="19.95" customHeight="1" x14ac:dyDescent="0.25">
      <c r="A933" s="17" t="s">
        <v>17</v>
      </c>
      <c r="B933" s="18" t="s">
        <v>14</v>
      </c>
      <c r="C933" s="18"/>
      <c r="D933" s="18">
        <v>1993</v>
      </c>
      <c r="E933" s="19"/>
      <c r="F933" s="19"/>
    </row>
    <row r="934" spans="1:6" ht="19.95" customHeight="1" x14ac:dyDescent="0.25">
      <c r="A934" s="17" t="s">
        <v>18</v>
      </c>
      <c r="B934" s="18" t="s">
        <v>14</v>
      </c>
      <c r="C934" s="18"/>
      <c r="D934" s="18">
        <v>1993</v>
      </c>
      <c r="E934" s="19"/>
      <c r="F934" s="19"/>
    </row>
    <row r="935" spans="1:6" ht="19.95" customHeight="1" x14ac:dyDescent="0.25">
      <c r="A935" s="17" t="s">
        <v>19</v>
      </c>
      <c r="B935" s="18" t="s">
        <v>14</v>
      </c>
      <c r="C935" s="18">
        <v>26.518473919975001</v>
      </c>
      <c r="D935" s="18">
        <v>1993</v>
      </c>
      <c r="E935" s="19"/>
      <c r="F935" s="19"/>
    </row>
    <row r="936" spans="1:6" ht="19.95" customHeight="1" x14ac:dyDescent="0.25">
      <c r="A936" s="17" t="s">
        <v>20</v>
      </c>
      <c r="B936" s="18" t="s">
        <v>14</v>
      </c>
      <c r="C936" s="18">
        <v>10.8453501424747</v>
      </c>
      <c r="D936" s="18">
        <v>1993</v>
      </c>
      <c r="E936" s="19"/>
      <c r="F936" s="19"/>
    </row>
    <row r="937" spans="1:6" ht="19.95" customHeight="1" x14ac:dyDescent="0.25">
      <c r="A937" s="17" t="s">
        <v>21</v>
      </c>
      <c r="B937" s="18" t="s">
        <v>14</v>
      </c>
      <c r="C937" s="18">
        <v>38.903630169804202</v>
      </c>
      <c r="D937" s="18">
        <v>1993</v>
      </c>
      <c r="E937" s="19"/>
      <c r="F937" s="19"/>
    </row>
    <row r="938" spans="1:6" ht="19.95" customHeight="1" x14ac:dyDescent="0.25">
      <c r="A938" s="17" t="s">
        <v>22</v>
      </c>
      <c r="B938" s="18" t="s">
        <v>14</v>
      </c>
      <c r="C938" s="18"/>
      <c r="D938" s="18">
        <v>1993</v>
      </c>
      <c r="E938" s="19"/>
      <c r="F938" s="19"/>
    </row>
    <row r="939" spans="1:6" ht="19.95" customHeight="1" x14ac:dyDescent="0.25">
      <c r="A939" s="17" t="s">
        <v>23</v>
      </c>
      <c r="B939" s="18" t="s">
        <v>14</v>
      </c>
      <c r="C939" s="18"/>
      <c r="D939" s="18">
        <v>1993</v>
      </c>
      <c r="E939" s="19"/>
      <c r="F939" s="19"/>
    </row>
    <row r="940" spans="1:6" ht="19.95" customHeight="1" x14ac:dyDescent="0.25">
      <c r="A940" s="17" t="s">
        <v>24</v>
      </c>
      <c r="B940" s="18" t="s">
        <v>14</v>
      </c>
      <c r="C940" s="18">
        <v>15.317519441438501</v>
      </c>
      <c r="D940" s="18">
        <v>1993</v>
      </c>
      <c r="E940" s="19"/>
      <c r="F940" s="19"/>
    </row>
    <row r="941" spans="1:6" ht="19.95" customHeight="1" x14ac:dyDescent="0.25">
      <c r="A941" s="17" t="s">
        <v>25</v>
      </c>
      <c r="B941" s="18" t="s">
        <v>14</v>
      </c>
      <c r="C941" s="18">
        <v>16.130302433024301</v>
      </c>
      <c r="D941" s="18">
        <v>1993</v>
      </c>
      <c r="E941" s="19"/>
      <c r="F941" s="19"/>
    </row>
    <row r="942" spans="1:6" ht="19.95" customHeight="1" x14ac:dyDescent="0.25">
      <c r="A942" s="17" t="s">
        <v>26</v>
      </c>
      <c r="B942" s="18" t="s">
        <v>14</v>
      </c>
      <c r="C942" s="18">
        <v>15.8535047661871</v>
      </c>
      <c r="D942" s="18">
        <v>1993</v>
      </c>
      <c r="E942" s="19"/>
      <c r="F942" s="19"/>
    </row>
    <row r="943" spans="1:6" ht="19.95" customHeight="1" x14ac:dyDescent="0.25">
      <c r="A943" s="17" t="s">
        <v>27</v>
      </c>
      <c r="B943" s="18" t="s">
        <v>14</v>
      </c>
      <c r="C943" s="18"/>
      <c r="D943" s="18">
        <v>1993</v>
      </c>
      <c r="E943" s="19"/>
      <c r="F943" s="19"/>
    </row>
    <row r="944" spans="1:6" ht="19.95" customHeight="1" x14ac:dyDescent="0.25">
      <c r="A944" s="17" t="s">
        <v>28</v>
      </c>
      <c r="B944" s="18" t="s">
        <v>14</v>
      </c>
      <c r="C944" s="18">
        <v>9.3929125506249296</v>
      </c>
      <c r="D944" s="18">
        <v>1993</v>
      </c>
      <c r="E944" s="19"/>
      <c r="F944" s="19"/>
    </row>
    <row r="945" spans="1:6" ht="19.95" customHeight="1" x14ac:dyDescent="0.25">
      <c r="A945" s="17" t="s">
        <v>29</v>
      </c>
      <c r="B945" s="18" t="s">
        <v>14</v>
      </c>
      <c r="C945" s="18"/>
      <c r="D945" s="18">
        <v>1993</v>
      </c>
      <c r="E945" s="19"/>
      <c r="F945" s="19"/>
    </row>
    <row r="946" spans="1:6" ht="19.95" customHeight="1" x14ac:dyDescent="0.25">
      <c r="A946" s="17" t="s">
        <v>31</v>
      </c>
      <c r="B946" s="18" t="s">
        <v>14</v>
      </c>
      <c r="C946" s="18">
        <v>18.432964105599901</v>
      </c>
      <c r="D946" s="18">
        <v>1993</v>
      </c>
      <c r="E946" s="19"/>
      <c r="F946" s="19"/>
    </row>
    <row r="947" spans="1:6" ht="19.95" customHeight="1" x14ac:dyDescent="0.25">
      <c r="A947" s="17" t="s">
        <v>32</v>
      </c>
      <c r="B947" s="18" t="s">
        <v>14</v>
      </c>
      <c r="C947" s="18">
        <v>20.427926880320001</v>
      </c>
      <c r="D947" s="18">
        <v>1993</v>
      </c>
      <c r="E947" s="19"/>
      <c r="F947" s="19"/>
    </row>
    <row r="948" spans="1:6" ht="19.95" customHeight="1" x14ac:dyDescent="0.25">
      <c r="A948" s="17" t="s">
        <v>33</v>
      </c>
      <c r="B948" s="18" t="s">
        <v>14</v>
      </c>
      <c r="C948" s="18">
        <v>15.642106474350401</v>
      </c>
      <c r="D948" s="18">
        <v>1993</v>
      </c>
      <c r="E948" s="19"/>
      <c r="F948" s="19"/>
    </row>
    <row r="949" spans="1:6" ht="19.95" customHeight="1" x14ac:dyDescent="0.25">
      <c r="A949" s="17" t="s">
        <v>34</v>
      </c>
      <c r="B949" s="18" t="s">
        <v>14</v>
      </c>
      <c r="C949" s="18">
        <v>5.1752459789237397</v>
      </c>
      <c r="D949" s="18">
        <v>1993</v>
      </c>
      <c r="E949" s="19"/>
      <c r="F949" s="19"/>
    </row>
    <row r="950" spans="1:6" ht="19.95" customHeight="1" x14ac:dyDescent="0.25">
      <c r="A950" s="17" t="s">
        <v>35</v>
      </c>
      <c r="B950" s="18" t="s">
        <v>14</v>
      </c>
      <c r="C950" s="18"/>
      <c r="D950" s="18">
        <v>1993</v>
      </c>
      <c r="E950" s="19"/>
      <c r="F950" s="19"/>
    </row>
    <row r="951" spans="1:6" ht="19.95" customHeight="1" x14ac:dyDescent="0.25">
      <c r="A951" s="17" t="s">
        <v>2</v>
      </c>
      <c r="B951" s="18" t="s">
        <v>14</v>
      </c>
      <c r="C951" s="18">
        <v>33.801006875982097</v>
      </c>
      <c r="D951" s="18">
        <v>1993</v>
      </c>
      <c r="E951" s="19"/>
      <c r="F951" s="19"/>
    </row>
    <row r="952" spans="1:6" ht="19.95" customHeight="1" x14ac:dyDescent="0.25">
      <c r="A952" s="17" t="s">
        <v>36</v>
      </c>
      <c r="B952" s="18" t="s">
        <v>14</v>
      </c>
      <c r="C952" s="18">
        <v>28.554860973608999</v>
      </c>
      <c r="D952" s="18">
        <v>1993</v>
      </c>
      <c r="E952" s="19"/>
      <c r="F952" s="19"/>
    </row>
    <row r="953" spans="1:6" ht="19.95" customHeight="1" x14ac:dyDescent="0.25">
      <c r="A953" s="17" t="s">
        <v>37</v>
      </c>
      <c r="B953" s="18" t="s">
        <v>14</v>
      </c>
      <c r="C953" s="18">
        <v>17.983107857500499</v>
      </c>
      <c r="D953" s="18">
        <v>1993</v>
      </c>
      <c r="E953" s="19"/>
      <c r="F953" s="19"/>
    </row>
    <row r="954" spans="1:6" ht="19.95" customHeight="1" x14ac:dyDescent="0.25">
      <c r="A954" s="17" t="s">
        <v>38</v>
      </c>
      <c r="B954" s="18" t="s">
        <v>14</v>
      </c>
      <c r="C954" s="18">
        <v>7.0625229772864104</v>
      </c>
      <c r="D954" s="18">
        <v>1993</v>
      </c>
      <c r="E954" s="19"/>
      <c r="F954" s="19"/>
    </row>
    <row r="955" spans="1:6" ht="19.95" customHeight="1" x14ac:dyDescent="0.25">
      <c r="A955" s="17" t="s">
        <v>39</v>
      </c>
      <c r="B955" s="18" t="s">
        <v>14</v>
      </c>
      <c r="C955" s="18"/>
      <c r="D955" s="18">
        <v>1993</v>
      </c>
      <c r="E955" s="19"/>
      <c r="F955" s="19"/>
    </row>
    <row r="956" spans="1:6" ht="19.95" customHeight="1" x14ac:dyDescent="0.25">
      <c r="A956" s="17" t="s">
        <v>40</v>
      </c>
      <c r="B956" s="18" t="s">
        <v>14</v>
      </c>
      <c r="C956" s="18">
        <v>30.719616903180398</v>
      </c>
      <c r="D956" s="18">
        <v>1993</v>
      </c>
      <c r="E956" s="19"/>
      <c r="F956" s="19"/>
    </row>
    <row r="957" spans="1:6" ht="19.95" customHeight="1" x14ac:dyDescent="0.25">
      <c r="A957" s="17" t="s">
        <v>10</v>
      </c>
      <c r="B957" s="18" t="s">
        <v>14</v>
      </c>
      <c r="C957" s="18">
        <v>10.2717650485534</v>
      </c>
      <c r="D957" s="18">
        <v>1994</v>
      </c>
      <c r="E957" s="19"/>
      <c r="F957" s="19"/>
    </row>
    <row r="958" spans="1:6" ht="19.95" customHeight="1" x14ac:dyDescent="0.25">
      <c r="A958" s="17" t="s">
        <v>13</v>
      </c>
      <c r="B958" s="18" t="s">
        <v>14</v>
      </c>
      <c r="C958" s="18">
        <v>21.0893997914837</v>
      </c>
      <c r="D958" s="18">
        <v>1994</v>
      </c>
      <c r="E958" s="19"/>
      <c r="F958" s="19"/>
    </row>
    <row r="959" spans="1:6" ht="19.95" customHeight="1" x14ac:dyDescent="0.25">
      <c r="A959" s="17" t="s">
        <v>16</v>
      </c>
      <c r="B959" s="18" t="s">
        <v>14</v>
      </c>
      <c r="C959" s="18">
        <v>16.105602000139999</v>
      </c>
      <c r="D959" s="18">
        <v>1994</v>
      </c>
      <c r="E959" s="19"/>
      <c r="F959" s="19"/>
    </row>
    <row r="960" spans="1:6" ht="19.95" customHeight="1" x14ac:dyDescent="0.25">
      <c r="A960" s="17" t="s">
        <v>15</v>
      </c>
      <c r="B960" s="18" t="s">
        <v>14</v>
      </c>
      <c r="C960" s="18">
        <v>20.0734315005624</v>
      </c>
      <c r="D960" s="18">
        <v>1994</v>
      </c>
      <c r="E960" s="19"/>
      <c r="F960" s="19"/>
    </row>
    <row r="961" spans="1:6" ht="19.95" customHeight="1" x14ac:dyDescent="0.25">
      <c r="A961" s="17" t="s">
        <v>17</v>
      </c>
      <c r="B961" s="18" t="s">
        <v>14</v>
      </c>
      <c r="C961" s="18"/>
      <c r="D961" s="18">
        <v>1994</v>
      </c>
      <c r="E961" s="19"/>
      <c r="F961" s="19"/>
    </row>
    <row r="962" spans="1:6" ht="19.95" customHeight="1" x14ac:dyDescent="0.25">
      <c r="A962" s="17" t="s">
        <v>18</v>
      </c>
      <c r="B962" s="18" t="s">
        <v>14</v>
      </c>
      <c r="C962" s="18"/>
      <c r="D962" s="18">
        <v>1994</v>
      </c>
      <c r="E962" s="19"/>
      <c r="F962" s="19"/>
    </row>
    <row r="963" spans="1:6" ht="19.95" customHeight="1" x14ac:dyDescent="0.25">
      <c r="A963" s="17" t="s">
        <v>19</v>
      </c>
      <c r="B963" s="18" t="s">
        <v>14</v>
      </c>
      <c r="C963" s="18">
        <v>22.7523273546939</v>
      </c>
      <c r="D963" s="18">
        <v>1994</v>
      </c>
      <c r="E963" s="19"/>
      <c r="F963" s="19"/>
    </row>
    <row r="964" spans="1:6" ht="19.95" customHeight="1" x14ac:dyDescent="0.25">
      <c r="A964" s="17" t="s">
        <v>20</v>
      </c>
      <c r="B964" s="18" t="s">
        <v>14</v>
      </c>
      <c r="C964" s="18">
        <v>6.4207265558997504</v>
      </c>
      <c r="D964" s="18">
        <v>1994</v>
      </c>
      <c r="E964" s="19"/>
      <c r="F964" s="19"/>
    </row>
    <row r="965" spans="1:6" ht="19.95" customHeight="1" x14ac:dyDescent="0.25">
      <c r="A965" s="17" t="s">
        <v>21</v>
      </c>
      <c r="B965" s="18" t="s">
        <v>14</v>
      </c>
      <c r="C965" s="18">
        <v>37.0402808384151</v>
      </c>
      <c r="D965" s="18">
        <v>1994</v>
      </c>
      <c r="E965" s="19"/>
      <c r="F965" s="19"/>
    </row>
    <row r="966" spans="1:6" ht="19.95" customHeight="1" x14ac:dyDescent="0.25">
      <c r="A966" s="17" t="s">
        <v>22</v>
      </c>
      <c r="B966" s="18" t="s">
        <v>14</v>
      </c>
      <c r="C966" s="18"/>
      <c r="D966" s="18">
        <v>1994</v>
      </c>
      <c r="E966" s="19"/>
      <c r="F966" s="19"/>
    </row>
    <row r="967" spans="1:6" ht="19.95" customHeight="1" x14ac:dyDescent="0.25">
      <c r="A967" s="17" t="s">
        <v>23</v>
      </c>
      <c r="B967" s="18" t="s">
        <v>14</v>
      </c>
      <c r="C967" s="18"/>
      <c r="D967" s="18">
        <v>1994</v>
      </c>
      <c r="E967" s="19"/>
      <c r="F967" s="19"/>
    </row>
    <row r="968" spans="1:6" ht="19.95" customHeight="1" x14ac:dyDescent="0.25">
      <c r="A968" s="17" t="s">
        <v>24</v>
      </c>
      <c r="B968" s="18" t="s">
        <v>14</v>
      </c>
      <c r="C968" s="18">
        <v>22.032269385151899</v>
      </c>
      <c r="D968" s="18">
        <v>1994</v>
      </c>
      <c r="E968" s="19"/>
      <c r="F968" s="19"/>
    </row>
    <row r="969" spans="1:6" ht="19.95" customHeight="1" x14ac:dyDescent="0.25">
      <c r="A969" s="17" t="s">
        <v>25</v>
      </c>
      <c r="B969" s="18" t="s">
        <v>14</v>
      </c>
      <c r="C969" s="18">
        <v>29.6328216871614</v>
      </c>
      <c r="D969" s="18">
        <v>1994</v>
      </c>
      <c r="E969" s="19"/>
      <c r="F969" s="19"/>
    </row>
    <row r="970" spans="1:6" ht="19.95" customHeight="1" x14ac:dyDescent="0.25">
      <c r="A970" s="17" t="s">
        <v>26</v>
      </c>
      <c r="B970" s="18" t="s">
        <v>14</v>
      </c>
      <c r="C970" s="18">
        <v>19.4427753535685</v>
      </c>
      <c r="D970" s="18">
        <v>1994</v>
      </c>
      <c r="E970" s="19"/>
      <c r="F970" s="19"/>
    </row>
    <row r="971" spans="1:6" ht="19.95" customHeight="1" x14ac:dyDescent="0.25">
      <c r="A971" s="17" t="s">
        <v>27</v>
      </c>
      <c r="B971" s="18" t="s">
        <v>14</v>
      </c>
      <c r="C971" s="18"/>
      <c r="D971" s="18">
        <v>1994</v>
      </c>
      <c r="E971" s="19"/>
      <c r="F971" s="19"/>
    </row>
    <row r="972" spans="1:6" ht="19.95" customHeight="1" x14ac:dyDescent="0.25">
      <c r="A972" s="17" t="s">
        <v>28</v>
      </c>
      <c r="B972" s="18" t="s">
        <v>14</v>
      </c>
      <c r="C972" s="18">
        <v>11.9987149882928</v>
      </c>
      <c r="D972" s="18">
        <v>1994</v>
      </c>
      <c r="E972" s="19"/>
      <c r="F972" s="19"/>
    </row>
    <row r="973" spans="1:6" ht="19.95" customHeight="1" x14ac:dyDescent="0.25">
      <c r="A973" s="17" t="s">
        <v>29</v>
      </c>
      <c r="B973" s="18" t="s">
        <v>14</v>
      </c>
      <c r="C973" s="18"/>
      <c r="D973" s="18">
        <v>1994</v>
      </c>
      <c r="E973" s="19"/>
      <c r="F973" s="19"/>
    </row>
    <row r="974" spans="1:6" ht="19.95" customHeight="1" x14ac:dyDescent="0.25">
      <c r="A974" s="17" t="s">
        <v>31</v>
      </c>
      <c r="B974" s="18" t="s">
        <v>14</v>
      </c>
      <c r="C974" s="18">
        <v>18.993937934080101</v>
      </c>
      <c r="D974" s="18">
        <v>1994</v>
      </c>
      <c r="E974" s="19"/>
      <c r="F974" s="19"/>
    </row>
    <row r="975" spans="1:6" ht="19.95" customHeight="1" x14ac:dyDescent="0.25">
      <c r="A975" s="17" t="s">
        <v>32</v>
      </c>
      <c r="B975" s="18" t="s">
        <v>14</v>
      </c>
      <c r="C975" s="18">
        <v>13.1398768688125</v>
      </c>
      <c r="D975" s="18">
        <v>1994</v>
      </c>
      <c r="E975" s="19"/>
      <c r="F975" s="19"/>
    </row>
    <row r="976" spans="1:6" ht="19.95" customHeight="1" x14ac:dyDescent="0.25">
      <c r="A976" s="17" t="s">
        <v>33</v>
      </c>
      <c r="B976" s="18" t="s">
        <v>14</v>
      </c>
      <c r="C976" s="18">
        <v>16.531956941764602</v>
      </c>
      <c r="D976" s="18">
        <v>1994</v>
      </c>
      <c r="E976" s="19"/>
      <c r="F976" s="19"/>
    </row>
    <row r="977" spans="1:6" ht="19.95" customHeight="1" x14ac:dyDescent="0.25">
      <c r="A977" s="17" t="s">
        <v>34</v>
      </c>
      <c r="B977" s="18" t="s">
        <v>14</v>
      </c>
      <c r="C977" s="18">
        <v>6.3025859502178596</v>
      </c>
      <c r="D977" s="18">
        <v>1994</v>
      </c>
      <c r="E977" s="19"/>
      <c r="F977" s="19"/>
    </row>
    <row r="978" spans="1:6" ht="19.95" customHeight="1" x14ac:dyDescent="0.25">
      <c r="A978" s="17" t="s">
        <v>35</v>
      </c>
      <c r="B978" s="18" t="s">
        <v>14</v>
      </c>
      <c r="C978" s="18"/>
      <c r="D978" s="18">
        <v>1994</v>
      </c>
      <c r="E978" s="19"/>
      <c r="F978" s="19"/>
    </row>
    <row r="979" spans="1:6" ht="19.95" customHeight="1" x14ac:dyDescent="0.25">
      <c r="A979" s="17" t="s">
        <v>2</v>
      </c>
      <c r="B979" s="18" t="s">
        <v>14</v>
      </c>
      <c r="C979" s="18">
        <v>33.812883795787798</v>
      </c>
      <c r="D979" s="18">
        <v>1994</v>
      </c>
      <c r="E979" s="19"/>
      <c r="F979" s="19"/>
    </row>
    <row r="980" spans="1:6" ht="19.95" customHeight="1" x14ac:dyDescent="0.25">
      <c r="A980" s="17" t="s">
        <v>36</v>
      </c>
      <c r="B980" s="18" t="s">
        <v>14</v>
      </c>
      <c r="C980" s="18">
        <v>43.036345011726901</v>
      </c>
      <c r="D980" s="18">
        <v>1994</v>
      </c>
      <c r="E980" s="19"/>
      <c r="F980" s="19"/>
    </row>
    <row r="981" spans="1:6" ht="19.95" customHeight="1" x14ac:dyDescent="0.25">
      <c r="A981" s="17" t="s">
        <v>37</v>
      </c>
      <c r="B981" s="18" t="s">
        <v>14</v>
      </c>
      <c r="C981" s="18">
        <v>20.6139807131078</v>
      </c>
      <c r="D981" s="18">
        <v>1994</v>
      </c>
      <c r="E981" s="19"/>
      <c r="F981" s="19"/>
    </row>
    <row r="982" spans="1:6" ht="19.95" customHeight="1" x14ac:dyDescent="0.25">
      <c r="A982" s="17" t="s">
        <v>38</v>
      </c>
      <c r="B982" s="18" t="s">
        <v>14</v>
      </c>
      <c r="C982" s="18">
        <v>8.7405318310012792</v>
      </c>
      <c r="D982" s="18">
        <v>1994</v>
      </c>
      <c r="E982" s="19"/>
      <c r="F982" s="19"/>
    </row>
    <row r="983" spans="1:6" ht="19.95" customHeight="1" x14ac:dyDescent="0.25">
      <c r="A983" s="17" t="s">
        <v>39</v>
      </c>
      <c r="B983" s="18" t="s">
        <v>14</v>
      </c>
      <c r="C983" s="18">
        <v>32.950395463607499</v>
      </c>
      <c r="D983" s="18">
        <v>1994</v>
      </c>
      <c r="E983" s="19"/>
      <c r="F983" s="19"/>
    </row>
    <row r="984" spans="1:6" ht="19.95" customHeight="1" x14ac:dyDescent="0.25">
      <c r="A984" s="17" t="s">
        <v>40</v>
      </c>
      <c r="B984" s="18" t="s">
        <v>14</v>
      </c>
      <c r="C984" s="18">
        <v>34.599976054595501</v>
      </c>
      <c r="D984" s="18">
        <v>1994</v>
      </c>
      <c r="E984" s="19"/>
      <c r="F984" s="19"/>
    </row>
    <row r="985" spans="1:6" ht="19.95" customHeight="1" x14ac:dyDescent="0.25">
      <c r="A985" s="17" t="s">
        <v>10</v>
      </c>
      <c r="B985" s="18" t="s">
        <v>14</v>
      </c>
      <c r="C985" s="18">
        <v>12.9263428540091</v>
      </c>
      <c r="D985" s="18">
        <v>1995</v>
      </c>
      <c r="E985" s="19"/>
      <c r="F985" s="19"/>
    </row>
    <row r="986" spans="1:6" ht="19.95" customHeight="1" x14ac:dyDescent="0.25">
      <c r="A986" s="17" t="s">
        <v>13</v>
      </c>
      <c r="B986" s="18" t="s">
        <v>14</v>
      </c>
      <c r="C986" s="18">
        <v>20.637097025107199</v>
      </c>
      <c r="D986" s="18">
        <v>1995</v>
      </c>
      <c r="E986" s="19"/>
      <c r="F986" s="19"/>
    </row>
    <row r="987" spans="1:6" ht="19.95" customHeight="1" x14ac:dyDescent="0.25">
      <c r="A987" s="17" t="s">
        <v>16</v>
      </c>
      <c r="B987" s="18" t="s">
        <v>14</v>
      </c>
      <c r="C987" s="18">
        <v>21.9290175473215</v>
      </c>
      <c r="D987" s="18">
        <v>1995</v>
      </c>
      <c r="E987" s="19"/>
      <c r="F987" s="19"/>
    </row>
    <row r="988" spans="1:6" ht="19.95" customHeight="1" x14ac:dyDescent="0.25">
      <c r="A988" s="17" t="s">
        <v>15</v>
      </c>
      <c r="B988" s="18" t="s">
        <v>14</v>
      </c>
      <c r="C988" s="18">
        <v>19.763396765424101</v>
      </c>
      <c r="D988" s="18">
        <v>1995</v>
      </c>
      <c r="E988" s="19"/>
      <c r="F988" s="19"/>
    </row>
    <row r="989" spans="1:6" ht="19.95" customHeight="1" x14ac:dyDescent="0.25">
      <c r="A989" s="17" t="s">
        <v>17</v>
      </c>
      <c r="B989" s="18" t="s">
        <v>14</v>
      </c>
      <c r="C989" s="18"/>
      <c r="D989" s="18">
        <v>1995</v>
      </c>
      <c r="E989" s="19"/>
      <c r="F989" s="19"/>
    </row>
    <row r="990" spans="1:6" ht="19.95" customHeight="1" x14ac:dyDescent="0.25">
      <c r="A990" s="17" t="s">
        <v>18</v>
      </c>
      <c r="B990" s="18" t="s">
        <v>14</v>
      </c>
      <c r="C990" s="18"/>
      <c r="D990" s="18">
        <v>1995</v>
      </c>
      <c r="E990" s="19"/>
      <c r="F990" s="19"/>
    </row>
    <row r="991" spans="1:6" ht="19.95" customHeight="1" x14ac:dyDescent="0.25">
      <c r="A991" s="17" t="s">
        <v>19</v>
      </c>
      <c r="B991" s="18" t="s">
        <v>14</v>
      </c>
      <c r="C991" s="18">
        <v>21.118807761501898</v>
      </c>
      <c r="D991" s="18">
        <v>1995</v>
      </c>
      <c r="E991" s="19"/>
      <c r="F991" s="19"/>
    </row>
    <row r="992" spans="1:6" ht="19.95" customHeight="1" x14ac:dyDescent="0.25">
      <c r="A992" s="17" t="s">
        <v>20</v>
      </c>
      <c r="B992" s="18" t="s">
        <v>14</v>
      </c>
      <c r="C992" s="18">
        <v>9.1335638608841307</v>
      </c>
      <c r="D992" s="18">
        <v>1995</v>
      </c>
      <c r="E992" s="19"/>
      <c r="F992" s="19"/>
    </row>
    <row r="993" spans="1:6" ht="19.95" customHeight="1" x14ac:dyDescent="0.25">
      <c r="A993" s="17" t="s">
        <v>21</v>
      </c>
      <c r="B993" s="18" t="s">
        <v>14</v>
      </c>
      <c r="C993" s="18">
        <v>32.5917012190029</v>
      </c>
      <c r="D993" s="18">
        <v>1995</v>
      </c>
      <c r="E993" s="19"/>
      <c r="F993" s="19"/>
    </row>
    <row r="994" spans="1:6" ht="19.95" customHeight="1" x14ac:dyDescent="0.25">
      <c r="A994" s="17" t="s">
        <v>22</v>
      </c>
      <c r="B994" s="18" t="s">
        <v>14</v>
      </c>
      <c r="C994" s="18"/>
      <c r="D994" s="18">
        <v>1995</v>
      </c>
      <c r="E994" s="19"/>
      <c r="F994" s="19"/>
    </row>
    <row r="995" spans="1:6" ht="19.95" customHeight="1" x14ac:dyDescent="0.25">
      <c r="A995" s="17" t="s">
        <v>23</v>
      </c>
      <c r="B995" s="18" t="s">
        <v>14</v>
      </c>
      <c r="C995" s="18"/>
      <c r="D995" s="18">
        <v>1995</v>
      </c>
      <c r="E995" s="19"/>
      <c r="F995" s="19"/>
    </row>
    <row r="996" spans="1:6" ht="19.95" customHeight="1" x14ac:dyDescent="0.25">
      <c r="A996" s="17" t="s">
        <v>24</v>
      </c>
      <c r="B996" s="18" t="s">
        <v>14</v>
      </c>
      <c r="C996" s="18">
        <v>24.134484672260601</v>
      </c>
      <c r="D996" s="18">
        <v>1995</v>
      </c>
      <c r="E996" s="19"/>
      <c r="F996" s="19"/>
    </row>
    <row r="997" spans="1:6" ht="19.95" customHeight="1" x14ac:dyDescent="0.25">
      <c r="A997" s="17" t="s">
        <v>25</v>
      </c>
      <c r="B997" s="18" t="s">
        <v>14</v>
      </c>
      <c r="C997" s="18">
        <v>30.3684813752133</v>
      </c>
      <c r="D997" s="18">
        <v>1995</v>
      </c>
      <c r="E997" s="19"/>
      <c r="F997" s="19"/>
    </row>
    <row r="998" spans="1:6" ht="19.95" customHeight="1" x14ac:dyDescent="0.25">
      <c r="A998" s="17" t="s">
        <v>26</v>
      </c>
      <c r="B998" s="18" t="s">
        <v>14</v>
      </c>
      <c r="C998" s="18">
        <v>19.561067659239701</v>
      </c>
      <c r="D998" s="18">
        <v>1995</v>
      </c>
      <c r="E998" s="19"/>
      <c r="F998" s="19"/>
    </row>
    <row r="999" spans="1:6" ht="19.95" customHeight="1" x14ac:dyDescent="0.25">
      <c r="A999" s="17" t="s">
        <v>27</v>
      </c>
      <c r="B999" s="18" t="s">
        <v>14</v>
      </c>
      <c r="C999" s="18">
        <v>49.345825413920799</v>
      </c>
      <c r="D999" s="18">
        <v>1995</v>
      </c>
      <c r="E999" s="19"/>
      <c r="F999" s="19"/>
    </row>
    <row r="1000" spans="1:6" ht="19.95" customHeight="1" x14ac:dyDescent="0.25">
      <c r="A1000" s="17" t="s">
        <v>28</v>
      </c>
      <c r="B1000" s="18" t="s">
        <v>14</v>
      </c>
      <c r="C1000" s="18">
        <v>13.214528227837199</v>
      </c>
      <c r="D1000" s="18">
        <v>1995</v>
      </c>
      <c r="E1000" s="19"/>
      <c r="F1000" s="19"/>
    </row>
    <row r="1001" spans="1:6" ht="19.95" customHeight="1" x14ac:dyDescent="0.25">
      <c r="A1001" s="17" t="s">
        <v>29</v>
      </c>
      <c r="B1001" s="18" t="s">
        <v>14</v>
      </c>
      <c r="C1001" s="18"/>
      <c r="D1001" s="18">
        <v>1995</v>
      </c>
      <c r="E1001" s="19"/>
      <c r="F1001" s="19"/>
    </row>
    <row r="1002" spans="1:6" ht="19.95" customHeight="1" x14ac:dyDescent="0.25">
      <c r="A1002" s="17" t="s">
        <v>31</v>
      </c>
      <c r="B1002" s="18" t="s">
        <v>14</v>
      </c>
      <c r="C1002" s="18">
        <v>24.973158982548199</v>
      </c>
      <c r="D1002" s="18">
        <v>1995</v>
      </c>
      <c r="E1002" s="19"/>
      <c r="F1002" s="19"/>
    </row>
    <row r="1003" spans="1:6" ht="19.95" customHeight="1" x14ac:dyDescent="0.25">
      <c r="A1003" s="17" t="s">
        <v>32</v>
      </c>
      <c r="B1003" s="18" t="s">
        <v>14</v>
      </c>
      <c r="C1003" s="18">
        <v>16.095086253383901</v>
      </c>
      <c r="D1003" s="18">
        <v>1995</v>
      </c>
      <c r="E1003" s="19"/>
      <c r="F1003" s="19"/>
    </row>
    <row r="1004" spans="1:6" ht="19.95" customHeight="1" x14ac:dyDescent="0.25">
      <c r="A1004" s="17" t="s">
        <v>33</v>
      </c>
      <c r="B1004" s="18" t="s">
        <v>14</v>
      </c>
      <c r="C1004" s="18">
        <v>17.680762888573302</v>
      </c>
      <c r="D1004" s="18">
        <v>1995</v>
      </c>
      <c r="E1004" s="19"/>
      <c r="F1004" s="19"/>
    </row>
    <row r="1005" spans="1:6" ht="19.95" customHeight="1" x14ac:dyDescent="0.25">
      <c r="A1005" s="17" t="s">
        <v>34</v>
      </c>
      <c r="B1005" s="18" t="s">
        <v>14</v>
      </c>
      <c r="C1005" s="18">
        <v>5.1507919127310497</v>
      </c>
      <c r="D1005" s="18">
        <v>1995</v>
      </c>
      <c r="E1005" s="19"/>
      <c r="F1005" s="19"/>
    </row>
    <row r="1006" spans="1:6" ht="19.95" customHeight="1" x14ac:dyDescent="0.25">
      <c r="A1006" s="17" t="s">
        <v>35</v>
      </c>
      <c r="B1006" s="18" t="s">
        <v>14</v>
      </c>
      <c r="C1006" s="18"/>
      <c r="D1006" s="18">
        <v>1995</v>
      </c>
      <c r="E1006" s="19"/>
      <c r="F1006" s="19"/>
    </row>
    <row r="1007" spans="1:6" ht="19.95" customHeight="1" x14ac:dyDescent="0.25">
      <c r="A1007" s="17" t="s">
        <v>2</v>
      </c>
      <c r="B1007" s="18" t="s">
        <v>14</v>
      </c>
      <c r="C1007" s="18">
        <v>35.597629130900998</v>
      </c>
      <c r="D1007" s="18">
        <v>1995</v>
      </c>
      <c r="E1007" s="19"/>
      <c r="F1007" s="19"/>
    </row>
    <row r="1008" spans="1:6" ht="19.95" customHeight="1" x14ac:dyDescent="0.25">
      <c r="A1008" s="17" t="s">
        <v>36</v>
      </c>
      <c r="B1008" s="18" t="s">
        <v>14</v>
      </c>
      <c r="C1008" s="18">
        <v>65.585443604713603</v>
      </c>
      <c r="D1008" s="18">
        <v>1995</v>
      </c>
      <c r="E1008" s="19"/>
      <c r="F1008" s="19"/>
    </row>
    <row r="1009" spans="1:6" ht="19.95" customHeight="1" x14ac:dyDescent="0.25">
      <c r="A1009" s="17" t="s">
        <v>37</v>
      </c>
      <c r="B1009" s="18" t="s">
        <v>14</v>
      </c>
      <c r="C1009" s="18">
        <v>24.074722728025201</v>
      </c>
      <c r="D1009" s="18">
        <v>1995</v>
      </c>
      <c r="E1009" s="19"/>
      <c r="F1009" s="19"/>
    </row>
    <row r="1010" spans="1:6" ht="19.95" customHeight="1" x14ac:dyDescent="0.25">
      <c r="A1010" s="17" t="s">
        <v>38</v>
      </c>
      <c r="B1010" s="18" t="s">
        <v>14</v>
      </c>
      <c r="C1010" s="18">
        <v>11.7919923330531</v>
      </c>
      <c r="D1010" s="18">
        <v>1995</v>
      </c>
      <c r="E1010" s="19"/>
      <c r="F1010" s="19"/>
    </row>
    <row r="1011" spans="1:6" ht="19.95" customHeight="1" x14ac:dyDescent="0.25">
      <c r="A1011" s="17" t="s">
        <v>39</v>
      </c>
      <c r="B1011" s="18" t="s">
        <v>14</v>
      </c>
      <c r="C1011" s="18">
        <v>32.901026714793197</v>
      </c>
      <c r="D1011" s="18">
        <v>1995</v>
      </c>
      <c r="E1011" s="19"/>
      <c r="F1011" s="19"/>
    </row>
    <row r="1012" spans="1:6" ht="19.95" customHeight="1" x14ac:dyDescent="0.25">
      <c r="A1012" s="17" t="s">
        <v>40</v>
      </c>
      <c r="B1012" s="18" t="s">
        <v>14</v>
      </c>
      <c r="C1012" s="18">
        <v>38.236343611557402</v>
      </c>
      <c r="D1012" s="18">
        <v>1995</v>
      </c>
      <c r="E1012" s="19"/>
      <c r="F1012" s="19"/>
    </row>
    <row r="1013" spans="1:6" ht="19.95" customHeight="1" x14ac:dyDescent="0.25">
      <c r="A1013" s="17" t="s">
        <v>10</v>
      </c>
      <c r="B1013" s="18" t="s">
        <v>14</v>
      </c>
      <c r="C1013" s="18">
        <v>5.8203210186241003</v>
      </c>
      <c r="D1013" s="18">
        <v>1996</v>
      </c>
      <c r="E1013" s="19"/>
      <c r="F1013" s="19"/>
    </row>
    <row r="1014" spans="1:6" ht="19.95" customHeight="1" x14ac:dyDescent="0.25">
      <c r="A1014" s="17" t="s">
        <v>13</v>
      </c>
      <c r="B1014" s="18" t="s">
        <v>14</v>
      </c>
      <c r="C1014" s="18">
        <v>23.260419735717701</v>
      </c>
      <c r="D1014" s="18">
        <v>1996</v>
      </c>
      <c r="E1014" s="19"/>
      <c r="F1014" s="19"/>
    </row>
    <row r="1015" spans="1:6" ht="19.95" customHeight="1" x14ac:dyDescent="0.25">
      <c r="A1015" s="17" t="s">
        <v>16</v>
      </c>
      <c r="B1015" s="18" t="s">
        <v>14</v>
      </c>
      <c r="C1015" s="18">
        <v>17.54350924621</v>
      </c>
      <c r="D1015" s="18">
        <v>1996</v>
      </c>
      <c r="E1015" s="19"/>
      <c r="F1015" s="19"/>
    </row>
    <row r="1016" spans="1:6" ht="19.95" customHeight="1" x14ac:dyDescent="0.25">
      <c r="A1016" s="17" t="s">
        <v>15</v>
      </c>
      <c r="B1016" s="18" t="s">
        <v>14</v>
      </c>
      <c r="C1016" s="18">
        <v>18.323683734394798</v>
      </c>
      <c r="D1016" s="18">
        <v>1996</v>
      </c>
      <c r="E1016" s="19"/>
      <c r="F1016" s="19"/>
    </row>
    <row r="1017" spans="1:6" ht="19.95" customHeight="1" x14ac:dyDescent="0.25">
      <c r="A1017" s="17" t="s">
        <v>17</v>
      </c>
      <c r="B1017" s="18" t="s">
        <v>14</v>
      </c>
      <c r="C1017" s="18"/>
      <c r="D1017" s="18">
        <v>1996</v>
      </c>
      <c r="E1017" s="19"/>
      <c r="F1017" s="19"/>
    </row>
    <row r="1018" spans="1:6" ht="19.95" customHeight="1" x14ac:dyDescent="0.25">
      <c r="A1018" s="17" t="s">
        <v>18</v>
      </c>
      <c r="B1018" s="18" t="s">
        <v>14</v>
      </c>
      <c r="C1018" s="18"/>
      <c r="D1018" s="18">
        <v>1996</v>
      </c>
      <c r="E1018" s="19"/>
      <c r="F1018" s="19"/>
    </row>
    <row r="1019" spans="1:6" ht="19.95" customHeight="1" x14ac:dyDescent="0.25">
      <c r="A1019" s="17" t="s">
        <v>19</v>
      </c>
      <c r="B1019" s="18" t="s">
        <v>14</v>
      </c>
      <c r="C1019" s="18">
        <v>19.195101138151699</v>
      </c>
      <c r="D1019" s="18">
        <v>1996</v>
      </c>
      <c r="E1019" s="19"/>
      <c r="F1019" s="19"/>
    </row>
    <row r="1020" spans="1:6" ht="19.95" customHeight="1" x14ac:dyDescent="0.25">
      <c r="A1020" s="17" t="s">
        <v>20</v>
      </c>
      <c r="B1020" s="18" t="s">
        <v>14</v>
      </c>
      <c r="C1020" s="18">
        <v>11.327630930177699</v>
      </c>
      <c r="D1020" s="18">
        <v>1996</v>
      </c>
      <c r="E1020" s="19"/>
      <c r="F1020" s="19"/>
    </row>
    <row r="1021" spans="1:6" ht="19.95" customHeight="1" x14ac:dyDescent="0.25">
      <c r="A1021" s="17" t="s">
        <v>21</v>
      </c>
      <c r="B1021" s="18" t="s">
        <v>14</v>
      </c>
      <c r="C1021" s="18">
        <v>25.2006019494243</v>
      </c>
      <c r="D1021" s="18">
        <v>1996</v>
      </c>
      <c r="E1021" s="19"/>
      <c r="F1021" s="19"/>
    </row>
    <row r="1022" spans="1:6" ht="19.95" customHeight="1" x14ac:dyDescent="0.25">
      <c r="A1022" s="17" t="s">
        <v>22</v>
      </c>
      <c r="B1022" s="18" t="s">
        <v>14</v>
      </c>
      <c r="C1022" s="18"/>
      <c r="D1022" s="18">
        <v>1996</v>
      </c>
      <c r="E1022" s="19"/>
      <c r="F1022" s="19"/>
    </row>
    <row r="1023" spans="1:6" ht="19.95" customHeight="1" x14ac:dyDescent="0.25">
      <c r="A1023" s="17" t="s">
        <v>23</v>
      </c>
      <c r="B1023" s="18" t="s">
        <v>14</v>
      </c>
      <c r="C1023" s="18"/>
      <c r="D1023" s="18">
        <v>1996</v>
      </c>
      <c r="E1023" s="19"/>
      <c r="F1023" s="19"/>
    </row>
    <row r="1024" spans="1:6" ht="19.95" customHeight="1" x14ac:dyDescent="0.25">
      <c r="A1024" s="17" t="s">
        <v>24</v>
      </c>
      <c r="B1024" s="18" t="s">
        <v>14</v>
      </c>
      <c r="C1024" s="18">
        <v>20.492433526918202</v>
      </c>
      <c r="D1024" s="18">
        <v>1996</v>
      </c>
      <c r="E1024" s="19"/>
      <c r="F1024" s="19"/>
    </row>
    <row r="1025" spans="1:6" ht="19.95" customHeight="1" x14ac:dyDescent="0.25">
      <c r="A1025" s="17" t="s">
        <v>25</v>
      </c>
      <c r="B1025" s="18" t="s">
        <v>14</v>
      </c>
      <c r="C1025" s="18">
        <v>22.8257528499141</v>
      </c>
      <c r="D1025" s="18">
        <v>1996</v>
      </c>
      <c r="E1025" s="19"/>
      <c r="F1025" s="19"/>
    </row>
    <row r="1026" spans="1:6" ht="19.95" customHeight="1" x14ac:dyDescent="0.25">
      <c r="A1026" s="17" t="s">
        <v>26</v>
      </c>
      <c r="B1026" s="18" t="s">
        <v>14</v>
      </c>
      <c r="C1026" s="18">
        <v>18.871477613841002</v>
      </c>
      <c r="D1026" s="18">
        <v>1996</v>
      </c>
      <c r="E1026" s="19"/>
      <c r="F1026" s="19"/>
    </row>
    <row r="1027" spans="1:6" ht="19.95" customHeight="1" x14ac:dyDescent="0.25">
      <c r="A1027" s="17" t="s">
        <v>27</v>
      </c>
      <c r="B1027" s="18" t="s">
        <v>14</v>
      </c>
      <c r="C1027" s="18">
        <v>55.267130203304497</v>
      </c>
      <c r="D1027" s="18">
        <v>1996</v>
      </c>
      <c r="E1027" s="19"/>
      <c r="F1027" s="19"/>
    </row>
    <row r="1028" spans="1:6" ht="19.95" customHeight="1" x14ac:dyDescent="0.25">
      <c r="A1028" s="17" t="s">
        <v>28</v>
      </c>
      <c r="B1028" s="18" t="s">
        <v>14</v>
      </c>
      <c r="C1028" s="18">
        <v>13.175605555840701</v>
      </c>
      <c r="D1028" s="18">
        <v>1996</v>
      </c>
      <c r="E1028" s="19"/>
      <c r="F1028" s="19"/>
    </row>
    <row r="1029" spans="1:6" ht="19.95" customHeight="1" x14ac:dyDescent="0.25">
      <c r="A1029" s="17" t="s">
        <v>29</v>
      </c>
      <c r="B1029" s="18" t="s">
        <v>14</v>
      </c>
      <c r="C1029" s="18"/>
      <c r="D1029" s="18">
        <v>1996</v>
      </c>
      <c r="E1029" s="19"/>
      <c r="F1029" s="19"/>
    </row>
    <row r="1030" spans="1:6" ht="19.95" customHeight="1" x14ac:dyDescent="0.25">
      <c r="A1030" s="17" t="s">
        <v>31</v>
      </c>
      <c r="B1030" s="18" t="s">
        <v>14</v>
      </c>
      <c r="C1030" s="18">
        <v>22.817575136694298</v>
      </c>
      <c r="D1030" s="18">
        <v>1996</v>
      </c>
      <c r="E1030" s="19"/>
      <c r="F1030" s="19"/>
    </row>
    <row r="1031" spans="1:6" ht="19.95" customHeight="1" x14ac:dyDescent="0.25">
      <c r="A1031" s="17" t="s">
        <v>32</v>
      </c>
      <c r="B1031" s="18" t="s">
        <v>14</v>
      </c>
      <c r="C1031" s="18">
        <v>16.847358108153699</v>
      </c>
      <c r="D1031" s="18">
        <v>1996</v>
      </c>
      <c r="E1031" s="19"/>
      <c r="F1031" s="19"/>
    </row>
    <row r="1032" spans="1:6" ht="19.95" customHeight="1" x14ac:dyDescent="0.25">
      <c r="A1032" s="17" t="s">
        <v>33</v>
      </c>
      <c r="B1032" s="18" t="s">
        <v>14</v>
      </c>
      <c r="C1032" s="18">
        <v>18.541298153198799</v>
      </c>
      <c r="D1032" s="18">
        <v>1996</v>
      </c>
      <c r="E1032" s="19"/>
      <c r="F1032" s="19"/>
    </row>
    <row r="1033" spans="1:6" ht="19.95" customHeight="1" x14ac:dyDescent="0.25">
      <c r="A1033" s="17" t="s">
        <v>34</v>
      </c>
      <c r="B1033" s="18" t="s">
        <v>14</v>
      </c>
      <c r="C1033" s="18">
        <v>6.0313700208094101</v>
      </c>
      <c r="D1033" s="18">
        <v>1996</v>
      </c>
      <c r="E1033" s="19"/>
      <c r="F1033" s="19"/>
    </row>
    <row r="1034" spans="1:6" ht="19.95" customHeight="1" x14ac:dyDescent="0.25">
      <c r="A1034" s="17" t="s">
        <v>35</v>
      </c>
      <c r="B1034" s="18" t="s">
        <v>14</v>
      </c>
      <c r="C1034" s="18"/>
      <c r="D1034" s="18">
        <v>1996</v>
      </c>
      <c r="E1034" s="19"/>
      <c r="F1034" s="19"/>
    </row>
    <row r="1035" spans="1:6" ht="19.95" customHeight="1" x14ac:dyDescent="0.25">
      <c r="A1035" s="17" t="s">
        <v>2</v>
      </c>
      <c r="B1035" s="18" t="s">
        <v>14</v>
      </c>
      <c r="C1035" s="18">
        <v>34.973337777037202</v>
      </c>
      <c r="D1035" s="18">
        <v>1996</v>
      </c>
      <c r="E1035" s="19"/>
      <c r="F1035" s="19"/>
    </row>
    <row r="1036" spans="1:6" ht="19.95" customHeight="1" x14ac:dyDescent="0.25">
      <c r="A1036" s="17" t="s">
        <v>36</v>
      </c>
      <c r="B1036" s="18" t="s">
        <v>14</v>
      </c>
      <c r="C1036" s="18">
        <v>76.588320953971603</v>
      </c>
      <c r="D1036" s="18">
        <v>1996</v>
      </c>
      <c r="E1036" s="19"/>
      <c r="F1036" s="19"/>
    </row>
    <row r="1037" spans="1:6" ht="19.95" customHeight="1" x14ac:dyDescent="0.25">
      <c r="A1037" s="17" t="s">
        <v>37</v>
      </c>
      <c r="B1037" s="18" t="s">
        <v>14</v>
      </c>
      <c r="C1037" s="18">
        <v>19.9371649429537</v>
      </c>
      <c r="D1037" s="18">
        <v>1996</v>
      </c>
      <c r="E1037" s="19"/>
      <c r="F1037" s="19"/>
    </row>
    <row r="1038" spans="1:6" ht="19.95" customHeight="1" x14ac:dyDescent="0.25">
      <c r="A1038" s="17" t="s">
        <v>38</v>
      </c>
      <c r="B1038" s="18" t="s">
        <v>14</v>
      </c>
      <c r="C1038" s="18">
        <v>11.961113273590099</v>
      </c>
      <c r="D1038" s="18">
        <v>1996</v>
      </c>
      <c r="E1038" s="19"/>
      <c r="F1038" s="19"/>
    </row>
    <row r="1039" spans="1:6" ht="19.95" customHeight="1" x14ac:dyDescent="0.25">
      <c r="A1039" s="17" t="s">
        <v>39</v>
      </c>
      <c r="B1039" s="18" t="s">
        <v>14</v>
      </c>
      <c r="C1039" s="18">
        <v>28.478909218585301</v>
      </c>
      <c r="D1039" s="18">
        <v>1996</v>
      </c>
      <c r="E1039" s="19"/>
      <c r="F1039" s="19"/>
    </row>
    <row r="1040" spans="1:6" ht="19.95" customHeight="1" x14ac:dyDescent="0.25">
      <c r="A1040" s="17" t="s">
        <v>40</v>
      </c>
      <c r="B1040" s="18" t="s">
        <v>14</v>
      </c>
      <c r="C1040" s="18">
        <v>36.130072878676003</v>
      </c>
      <c r="D1040" s="18">
        <v>1996</v>
      </c>
      <c r="E1040" s="19"/>
      <c r="F1040" s="19"/>
    </row>
    <row r="1041" spans="1:6" ht="19.95" customHeight="1" x14ac:dyDescent="0.25">
      <c r="A1041" s="17" t="s">
        <v>10</v>
      </c>
      <c r="B1041" s="18" t="s">
        <v>14</v>
      </c>
      <c r="C1041" s="18">
        <v>9.8354725787631292</v>
      </c>
      <c r="D1041" s="18">
        <v>1997</v>
      </c>
      <c r="E1041" s="19"/>
      <c r="F1041" s="19"/>
    </row>
    <row r="1042" spans="1:6" ht="19.95" customHeight="1" x14ac:dyDescent="0.25">
      <c r="A1042" s="17" t="s">
        <v>13</v>
      </c>
      <c r="B1042" s="18" t="s">
        <v>14</v>
      </c>
      <c r="C1042" s="18">
        <v>24.880033598240299</v>
      </c>
      <c r="D1042" s="18">
        <v>1997</v>
      </c>
      <c r="E1042" s="19"/>
      <c r="F1042" s="19"/>
    </row>
    <row r="1043" spans="1:6" ht="19.95" customHeight="1" x14ac:dyDescent="0.25">
      <c r="A1043" s="17" t="s">
        <v>16</v>
      </c>
      <c r="B1043" s="18" t="s">
        <v>14</v>
      </c>
      <c r="C1043" s="18">
        <v>18.543836083838801</v>
      </c>
      <c r="D1043" s="18">
        <v>1997</v>
      </c>
      <c r="E1043" s="19"/>
      <c r="F1043" s="19"/>
    </row>
    <row r="1044" spans="1:6" ht="19.95" customHeight="1" x14ac:dyDescent="0.25">
      <c r="A1044" s="17" t="s">
        <v>15</v>
      </c>
      <c r="B1044" s="18" t="s">
        <v>14</v>
      </c>
      <c r="C1044" s="18">
        <v>18.142946384335399</v>
      </c>
      <c r="D1044" s="18">
        <v>1997</v>
      </c>
      <c r="E1044" s="19"/>
      <c r="F1044" s="19"/>
    </row>
    <row r="1045" spans="1:6" ht="19.95" customHeight="1" x14ac:dyDescent="0.25">
      <c r="A1045" s="17" t="s">
        <v>17</v>
      </c>
      <c r="B1045" s="18" t="s">
        <v>14</v>
      </c>
      <c r="C1045" s="18"/>
      <c r="D1045" s="18">
        <v>1997</v>
      </c>
      <c r="E1045" s="19"/>
      <c r="F1045" s="19"/>
    </row>
    <row r="1046" spans="1:6" ht="19.95" customHeight="1" x14ac:dyDescent="0.25">
      <c r="A1046" s="17" t="s">
        <v>18</v>
      </c>
      <c r="B1046" s="18" t="s">
        <v>14</v>
      </c>
      <c r="C1046" s="18"/>
      <c r="D1046" s="18">
        <v>1997</v>
      </c>
      <c r="E1046" s="19"/>
      <c r="F1046" s="19"/>
    </row>
    <row r="1047" spans="1:6" ht="19.95" customHeight="1" x14ac:dyDescent="0.25">
      <c r="A1047" s="17" t="s">
        <v>19</v>
      </c>
      <c r="B1047" s="18" t="s">
        <v>14</v>
      </c>
      <c r="C1047" s="18">
        <v>19.5610874799331</v>
      </c>
      <c r="D1047" s="18">
        <v>1997</v>
      </c>
      <c r="E1047" s="19"/>
      <c r="F1047" s="19"/>
    </row>
    <row r="1048" spans="1:6" ht="19.95" customHeight="1" x14ac:dyDescent="0.25">
      <c r="A1048" s="17" t="s">
        <v>20</v>
      </c>
      <c r="B1048" s="18" t="s">
        <v>14</v>
      </c>
      <c r="C1048" s="18">
        <v>10.454393956227101</v>
      </c>
      <c r="D1048" s="18">
        <v>1997</v>
      </c>
      <c r="E1048" s="19"/>
      <c r="F1048" s="19"/>
    </row>
    <row r="1049" spans="1:6" ht="19.95" customHeight="1" x14ac:dyDescent="0.25">
      <c r="A1049" s="17" t="s">
        <v>21</v>
      </c>
      <c r="B1049" s="18" t="s">
        <v>14</v>
      </c>
      <c r="C1049" s="18">
        <v>22.686387351634998</v>
      </c>
      <c r="D1049" s="18">
        <v>1997</v>
      </c>
      <c r="E1049" s="19"/>
      <c r="F1049" s="19"/>
    </row>
    <row r="1050" spans="1:6" ht="19.95" customHeight="1" x14ac:dyDescent="0.25">
      <c r="A1050" s="17" t="s">
        <v>22</v>
      </c>
      <c r="B1050" s="18" t="s">
        <v>14</v>
      </c>
      <c r="C1050" s="18"/>
      <c r="D1050" s="18">
        <v>1997</v>
      </c>
      <c r="E1050" s="19"/>
      <c r="F1050" s="19"/>
    </row>
    <row r="1051" spans="1:6" ht="19.95" customHeight="1" x14ac:dyDescent="0.25">
      <c r="A1051" s="17" t="s">
        <v>23</v>
      </c>
      <c r="B1051" s="18" t="s">
        <v>14</v>
      </c>
      <c r="C1051" s="18">
        <v>8.7867522811760708</v>
      </c>
      <c r="D1051" s="18">
        <v>1997</v>
      </c>
      <c r="E1051" s="19"/>
      <c r="F1051" s="19"/>
    </row>
    <row r="1052" spans="1:6" ht="19.95" customHeight="1" x14ac:dyDescent="0.25">
      <c r="A1052" s="17" t="s">
        <v>24</v>
      </c>
      <c r="B1052" s="18" t="s">
        <v>14</v>
      </c>
      <c r="C1052" s="18">
        <v>21.866142303983398</v>
      </c>
      <c r="D1052" s="18">
        <v>1997</v>
      </c>
      <c r="E1052" s="19"/>
      <c r="F1052" s="19"/>
    </row>
    <row r="1053" spans="1:6" ht="19.95" customHeight="1" x14ac:dyDescent="0.25">
      <c r="A1053" s="17" t="s">
        <v>25</v>
      </c>
      <c r="B1053" s="18" t="s">
        <v>14</v>
      </c>
      <c r="C1053" s="18">
        <v>21.356509346862001</v>
      </c>
      <c r="D1053" s="18">
        <v>1997</v>
      </c>
      <c r="E1053" s="19"/>
      <c r="F1053" s="19"/>
    </row>
    <row r="1054" spans="1:6" ht="19.95" customHeight="1" x14ac:dyDescent="0.25">
      <c r="A1054" s="17" t="s">
        <v>26</v>
      </c>
      <c r="B1054" s="18" t="s">
        <v>14</v>
      </c>
      <c r="C1054" s="18">
        <v>23.8265592935591</v>
      </c>
      <c r="D1054" s="18">
        <v>1997</v>
      </c>
      <c r="E1054" s="19"/>
      <c r="F1054" s="19"/>
    </row>
    <row r="1055" spans="1:6" ht="19.95" customHeight="1" x14ac:dyDescent="0.25">
      <c r="A1055" s="17" t="s">
        <v>27</v>
      </c>
      <c r="B1055" s="18" t="s">
        <v>14</v>
      </c>
      <c r="C1055" s="18">
        <v>54.787091014363597</v>
      </c>
      <c r="D1055" s="18">
        <v>1997</v>
      </c>
      <c r="E1055" s="19"/>
      <c r="F1055" s="19"/>
    </row>
    <row r="1056" spans="1:6" ht="19.95" customHeight="1" x14ac:dyDescent="0.25">
      <c r="A1056" s="17" t="s">
        <v>28</v>
      </c>
      <c r="B1056" s="18" t="s">
        <v>14</v>
      </c>
      <c r="C1056" s="18">
        <v>12.0068848630758</v>
      </c>
      <c r="D1056" s="18">
        <v>1997</v>
      </c>
      <c r="E1056" s="19"/>
      <c r="F1056" s="19"/>
    </row>
    <row r="1057" spans="1:6" ht="19.95" customHeight="1" x14ac:dyDescent="0.25">
      <c r="A1057" s="17" t="s">
        <v>29</v>
      </c>
      <c r="B1057" s="18" t="s">
        <v>14</v>
      </c>
      <c r="C1057" s="18"/>
      <c r="D1057" s="18">
        <v>1997</v>
      </c>
      <c r="E1057" s="19"/>
      <c r="F1057" s="19"/>
    </row>
    <row r="1058" spans="1:6" ht="19.95" customHeight="1" x14ac:dyDescent="0.25">
      <c r="A1058" s="17" t="s">
        <v>31</v>
      </c>
      <c r="B1058" s="18" t="s">
        <v>14</v>
      </c>
      <c r="C1058" s="18">
        <v>26.327835073597299</v>
      </c>
      <c r="D1058" s="18">
        <v>1997</v>
      </c>
      <c r="E1058" s="19"/>
      <c r="F1058" s="19"/>
    </row>
    <row r="1059" spans="1:6" ht="19.95" customHeight="1" x14ac:dyDescent="0.25">
      <c r="A1059" s="17" t="s">
        <v>32</v>
      </c>
      <c r="B1059" s="18" t="s">
        <v>14</v>
      </c>
      <c r="C1059" s="18">
        <v>19.419545183751399</v>
      </c>
      <c r="D1059" s="18">
        <v>1997</v>
      </c>
      <c r="E1059" s="19"/>
      <c r="F1059" s="19"/>
    </row>
    <row r="1060" spans="1:6" ht="19.95" customHeight="1" x14ac:dyDescent="0.25">
      <c r="A1060" s="17" t="s">
        <v>33</v>
      </c>
      <c r="B1060" s="18" t="s">
        <v>14</v>
      </c>
      <c r="C1060" s="18">
        <v>16.824139664257402</v>
      </c>
      <c r="D1060" s="18">
        <v>1997</v>
      </c>
      <c r="E1060" s="19"/>
      <c r="F1060" s="19"/>
    </row>
    <row r="1061" spans="1:6" ht="19.95" customHeight="1" x14ac:dyDescent="0.25">
      <c r="A1061" s="17" t="s">
        <v>34</v>
      </c>
      <c r="B1061" s="18" t="s">
        <v>14</v>
      </c>
      <c r="C1061" s="18">
        <v>7.79733936179779</v>
      </c>
      <c r="D1061" s="18">
        <v>1997</v>
      </c>
      <c r="E1061" s="19"/>
      <c r="F1061" s="19"/>
    </row>
    <row r="1062" spans="1:6" ht="19.95" customHeight="1" x14ac:dyDescent="0.25">
      <c r="A1062" s="17" t="s">
        <v>35</v>
      </c>
      <c r="B1062" s="18" t="s">
        <v>14</v>
      </c>
      <c r="C1062" s="18"/>
      <c r="D1062" s="18">
        <v>1997</v>
      </c>
      <c r="E1062" s="19"/>
      <c r="F1062" s="19"/>
    </row>
    <row r="1063" spans="1:6" ht="19.95" customHeight="1" x14ac:dyDescent="0.25">
      <c r="A1063" s="17" t="s">
        <v>2</v>
      </c>
      <c r="B1063" s="18" t="s">
        <v>14</v>
      </c>
      <c r="C1063" s="18">
        <v>36.538118080766303</v>
      </c>
      <c r="D1063" s="18">
        <v>1997</v>
      </c>
      <c r="E1063" s="19"/>
      <c r="F1063" s="19"/>
    </row>
    <row r="1064" spans="1:6" ht="19.95" customHeight="1" x14ac:dyDescent="0.25">
      <c r="A1064" s="17" t="s">
        <v>36</v>
      </c>
      <c r="B1064" s="18" t="s">
        <v>14</v>
      </c>
      <c r="C1064" s="18">
        <v>87.238276508414003</v>
      </c>
      <c r="D1064" s="18">
        <v>1997</v>
      </c>
      <c r="E1064" s="19"/>
      <c r="F1064" s="19"/>
    </row>
    <row r="1065" spans="1:6" ht="19.95" customHeight="1" x14ac:dyDescent="0.25">
      <c r="A1065" s="17" t="s">
        <v>37</v>
      </c>
      <c r="B1065" s="18" t="s">
        <v>14</v>
      </c>
      <c r="C1065" s="18">
        <v>16.218106716780099</v>
      </c>
      <c r="D1065" s="18">
        <v>1997</v>
      </c>
      <c r="E1065" s="19"/>
      <c r="F1065" s="19"/>
    </row>
    <row r="1066" spans="1:6" ht="19.95" customHeight="1" x14ac:dyDescent="0.25">
      <c r="A1066" s="17" t="s">
        <v>38</v>
      </c>
      <c r="B1066" s="18" t="s">
        <v>14</v>
      </c>
      <c r="C1066" s="18">
        <v>13.359513678728</v>
      </c>
      <c r="D1066" s="18">
        <v>1997</v>
      </c>
      <c r="E1066" s="19"/>
      <c r="F1066" s="19"/>
    </row>
    <row r="1067" spans="1:6" ht="19.95" customHeight="1" x14ac:dyDescent="0.25">
      <c r="A1067" s="17" t="s">
        <v>39</v>
      </c>
      <c r="B1067" s="18" t="s">
        <v>14</v>
      </c>
      <c r="C1067" s="18">
        <v>27.371257557966</v>
      </c>
      <c r="D1067" s="18">
        <v>1997</v>
      </c>
      <c r="E1067" s="19"/>
      <c r="F1067" s="19"/>
    </row>
    <row r="1068" spans="1:6" ht="19.95" customHeight="1" x14ac:dyDescent="0.25">
      <c r="A1068" s="17" t="s">
        <v>40</v>
      </c>
      <c r="B1068" s="18" t="s">
        <v>14</v>
      </c>
      <c r="C1068" s="18">
        <v>37.595272662931897</v>
      </c>
      <c r="D1068" s="18">
        <v>1997</v>
      </c>
      <c r="E1068" s="19"/>
      <c r="F1068" s="19"/>
    </row>
    <row r="1069" spans="1:6" ht="19.95" customHeight="1" x14ac:dyDescent="0.25">
      <c r="A1069" s="17" t="s">
        <v>10</v>
      </c>
      <c r="B1069" s="18" t="s">
        <v>14</v>
      </c>
      <c r="C1069" s="18">
        <v>7.9997501249375302</v>
      </c>
      <c r="D1069" s="18">
        <v>1998</v>
      </c>
      <c r="E1069" s="19"/>
      <c r="F1069" s="19"/>
    </row>
    <row r="1070" spans="1:6" ht="19.95" customHeight="1" x14ac:dyDescent="0.25">
      <c r="A1070" s="17" t="s">
        <v>13</v>
      </c>
      <c r="B1070" s="18" t="s">
        <v>14</v>
      </c>
      <c r="C1070" s="18">
        <v>22.548400370649301</v>
      </c>
      <c r="D1070" s="18">
        <v>1998</v>
      </c>
      <c r="E1070" s="19"/>
      <c r="F1070" s="19"/>
    </row>
    <row r="1071" spans="1:6" ht="19.95" customHeight="1" x14ac:dyDescent="0.25">
      <c r="A1071" s="17" t="s">
        <v>16</v>
      </c>
      <c r="B1071" s="18" t="s">
        <v>14</v>
      </c>
      <c r="C1071" s="18">
        <v>18.491626062163299</v>
      </c>
      <c r="D1071" s="18">
        <v>1998</v>
      </c>
      <c r="E1071" s="19"/>
      <c r="F1071" s="19"/>
    </row>
    <row r="1072" spans="1:6" ht="19.95" customHeight="1" x14ac:dyDescent="0.25">
      <c r="A1072" s="17" t="s">
        <v>15</v>
      </c>
      <c r="B1072" s="18" t="s">
        <v>14</v>
      </c>
      <c r="C1072" s="18">
        <v>11.354312036347199</v>
      </c>
      <c r="D1072" s="18">
        <v>1998</v>
      </c>
      <c r="E1072" s="19"/>
      <c r="F1072" s="19"/>
    </row>
    <row r="1073" spans="1:6" ht="19.95" customHeight="1" x14ac:dyDescent="0.25">
      <c r="A1073" s="17" t="s">
        <v>17</v>
      </c>
      <c r="B1073" s="18" t="s">
        <v>14</v>
      </c>
      <c r="C1073" s="18"/>
      <c r="D1073" s="18">
        <v>1998</v>
      </c>
      <c r="E1073" s="19"/>
      <c r="F1073" s="19"/>
    </row>
    <row r="1074" spans="1:6" ht="19.95" customHeight="1" x14ac:dyDescent="0.25">
      <c r="A1074" s="17" t="s">
        <v>18</v>
      </c>
      <c r="B1074" s="18" t="s">
        <v>14</v>
      </c>
      <c r="C1074" s="18"/>
      <c r="D1074" s="18">
        <v>1998</v>
      </c>
      <c r="E1074" s="19"/>
      <c r="F1074" s="19"/>
    </row>
    <row r="1075" spans="1:6" ht="19.95" customHeight="1" x14ac:dyDescent="0.25">
      <c r="A1075" s="17" t="s">
        <v>19</v>
      </c>
      <c r="B1075" s="18" t="s">
        <v>14</v>
      </c>
      <c r="C1075" s="18">
        <v>21.2867043609338</v>
      </c>
      <c r="D1075" s="18">
        <v>1998</v>
      </c>
      <c r="E1075" s="19"/>
      <c r="F1075" s="19"/>
    </row>
    <row r="1076" spans="1:6" ht="19.95" customHeight="1" x14ac:dyDescent="0.25">
      <c r="A1076" s="17" t="s">
        <v>20</v>
      </c>
      <c r="B1076" s="18" t="s">
        <v>14</v>
      </c>
      <c r="C1076" s="18">
        <v>9.9004714510214793</v>
      </c>
      <c r="D1076" s="18">
        <v>1998</v>
      </c>
      <c r="E1076" s="19"/>
      <c r="F1076" s="19"/>
    </row>
    <row r="1077" spans="1:6" ht="19.95" customHeight="1" x14ac:dyDescent="0.25">
      <c r="A1077" s="17" t="s">
        <v>21</v>
      </c>
      <c r="B1077" s="18" t="s">
        <v>14</v>
      </c>
      <c r="C1077" s="18">
        <v>20.1692608275285</v>
      </c>
      <c r="D1077" s="18">
        <v>1998</v>
      </c>
      <c r="E1077" s="19"/>
      <c r="F1077" s="19"/>
    </row>
    <row r="1078" spans="1:6" ht="19.95" customHeight="1" x14ac:dyDescent="0.25">
      <c r="A1078" s="17" t="s">
        <v>22</v>
      </c>
      <c r="B1078" s="18" t="s">
        <v>14</v>
      </c>
      <c r="C1078" s="18"/>
      <c r="D1078" s="18">
        <v>1998</v>
      </c>
      <c r="E1078" s="19"/>
      <c r="F1078" s="19"/>
    </row>
    <row r="1079" spans="1:6" ht="19.95" customHeight="1" x14ac:dyDescent="0.25">
      <c r="A1079" s="17" t="s">
        <v>23</v>
      </c>
      <c r="B1079" s="18" t="s">
        <v>14</v>
      </c>
      <c r="C1079" s="18">
        <v>10.789766407119</v>
      </c>
      <c r="D1079" s="18">
        <v>1998</v>
      </c>
      <c r="E1079" s="19"/>
      <c r="F1079" s="19"/>
    </row>
    <row r="1080" spans="1:6" ht="19.95" customHeight="1" x14ac:dyDescent="0.25">
      <c r="A1080" s="17" t="s">
        <v>24</v>
      </c>
      <c r="B1080" s="18" t="s">
        <v>14</v>
      </c>
      <c r="C1080" s="18">
        <v>21.520575698302501</v>
      </c>
      <c r="D1080" s="18">
        <v>1998</v>
      </c>
      <c r="E1080" s="19"/>
      <c r="F1080" s="19"/>
    </row>
    <row r="1081" spans="1:6" ht="19.95" customHeight="1" x14ac:dyDescent="0.25">
      <c r="A1081" s="17" t="s">
        <v>25</v>
      </c>
      <c r="B1081" s="18" t="s">
        <v>14</v>
      </c>
      <c r="C1081" s="18">
        <v>32.770162095219298</v>
      </c>
      <c r="D1081" s="18">
        <v>1998</v>
      </c>
      <c r="E1081" s="19"/>
      <c r="F1081" s="19"/>
    </row>
    <row r="1082" spans="1:6" ht="19.95" customHeight="1" x14ac:dyDescent="0.25">
      <c r="A1082" s="17" t="s">
        <v>26</v>
      </c>
      <c r="B1082" s="18" t="s">
        <v>14</v>
      </c>
      <c r="C1082" s="18">
        <v>21.253952516843199</v>
      </c>
      <c r="D1082" s="18">
        <v>1998</v>
      </c>
      <c r="E1082" s="19"/>
      <c r="F1082" s="19"/>
    </row>
    <row r="1083" spans="1:6" ht="19.95" customHeight="1" x14ac:dyDescent="0.25">
      <c r="A1083" s="17" t="s">
        <v>27</v>
      </c>
      <c r="B1083" s="18" t="s">
        <v>14</v>
      </c>
      <c r="C1083" s="18">
        <v>48.5282925000852</v>
      </c>
      <c r="D1083" s="18">
        <v>1998</v>
      </c>
      <c r="E1083" s="19"/>
      <c r="F1083" s="19"/>
    </row>
    <row r="1084" spans="1:6" ht="19.95" customHeight="1" x14ac:dyDescent="0.25">
      <c r="A1084" s="17" t="s">
        <v>28</v>
      </c>
      <c r="B1084" s="18" t="s">
        <v>14</v>
      </c>
      <c r="C1084" s="18">
        <v>10.930931670008</v>
      </c>
      <c r="D1084" s="18">
        <v>1998</v>
      </c>
      <c r="E1084" s="19"/>
      <c r="F1084" s="19"/>
    </row>
    <row r="1085" spans="1:6" ht="19.95" customHeight="1" x14ac:dyDescent="0.25">
      <c r="A1085" s="17" t="s">
        <v>29</v>
      </c>
      <c r="B1085" s="18" t="s">
        <v>14</v>
      </c>
      <c r="C1085" s="18"/>
      <c r="D1085" s="18">
        <v>1998</v>
      </c>
      <c r="E1085" s="19"/>
      <c r="F1085" s="19"/>
    </row>
    <row r="1086" spans="1:6" ht="19.95" customHeight="1" x14ac:dyDescent="0.25">
      <c r="A1086" s="17" t="s">
        <v>31</v>
      </c>
      <c r="B1086" s="18" t="s">
        <v>14</v>
      </c>
      <c r="C1086" s="18">
        <v>22.8220512223903</v>
      </c>
      <c r="D1086" s="18">
        <v>1998</v>
      </c>
      <c r="E1086" s="19"/>
      <c r="F1086" s="19"/>
    </row>
    <row r="1087" spans="1:6" ht="19.95" customHeight="1" x14ac:dyDescent="0.25">
      <c r="A1087" s="17" t="s">
        <v>32</v>
      </c>
      <c r="B1087" s="18" t="s">
        <v>14</v>
      </c>
      <c r="C1087" s="18">
        <v>19.334440514707101</v>
      </c>
      <c r="D1087" s="18">
        <v>1998</v>
      </c>
      <c r="E1087" s="19"/>
      <c r="F1087" s="19"/>
    </row>
    <row r="1088" spans="1:6" ht="19.95" customHeight="1" x14ac:dyDescent="0.25">
      <c r="A1088" s="17" t="s">
        <v>33</v>
      </c>
      <c r="B1088" s="18" t="s">
        <v>14</v>
      </c>
      <c r="C1088" s="18">
        <v>17.781705500580301</v>
      </c>
      <c r="D1088" s="18">
        <v>1998</v>
      </c>
      <c r="E1088" s="19"/>
      <c r="F1088" s="19"/>
    </row>
    <row r="1089" spans="1:6" ht="19.95" customHeight="1" x14ac:dyDescent="0.25">
      <c r="A1089" s="17" t="s">
        <v>34</v>
      </c>
      <c r="B1089" s="18" t="s">
        <v>14</v>
      </c>
      <c r="C1089" s="18">
        <v>5.5850635761597003</v>
      </c>
      <c r="D1089" s="18">
        <v>1998</v>
      </c>
      <c r="E1089" s="19"/>
      <c r="F1089" s="19"/>
    </row>
    <row r="1090" spans="1:6" ht="19.95" customHeight="1" x14ac:dyDescent="0.25">
      <c r="A1090" s="17" t="s">
        <v>35</v>
      </c>
      <c r="B1090" s="18" t="s">
        <v>14</v>
      </c>
      <c r="C1090" s="18"/>
      <c r="D1090" s="18">
        <v>1998</v>
      </c>
      <c r="E1090" s="19"/>
      <c r="F1090" s="19"/>
    </row>
    <row r="1091" spans="1:6" ht="19.95" customHeight="1" x14ac:dyDescent="0.25">
      <c r="A1091" s="17" t="s">
        <v>2</v>
      </c>
      <c r="B1091" s="18" t="s">
        <v>14</v>
      </c>
      <c r="C1091" s="18">
        <v>36.243818677270603</v>
      </c>
      <c r="D1091" s="18">
        <v>1998</v>
      </c>
      <c r="E1091" s="19"/>
      <c r="F1091" s="19"/>
    </row>
    <row r="1092" spans="1:6" ht="19.95" customHeight="1" x14ac:dyDescent="0.25">
      <c r="A1092" s="17" t="s">
        <v>36</v>
      </c>
      <c r="B1092" s="18" t="s">
        <v>14</v>
      </c>
      <c r="C1092" s="18">
        <v>48.915042219626301</v>
      </c>
      <c r="D1092" s="18">
        <v>1998</v>
      </c>
      <c r="E1092" s="19"/>
      <c r="F1092" s="19"/>
    </row>
    <row r="1093" spans="1:6" ht="19.95" customHeight="1" x14ac:dyDescent="0.25">
      <c r="A1093" s="17" t="s">
        <v>37</v>
      </c>
      <c r="B1093" s="18" t="s">
        <v>14</v>
      </c>
      <c r="C1093" s="18">
        <v>12.397729165892599</v>
      </c>
      <c r="D1093" s="18">
        <v>1998</v>
      </c>
      <c r="E1093" s="19"/>
      <c r="F1093" s="19"/>
    </row>
    <row r="1094" spans="1:6" ht="19.95" customHeight="1" x14ac:dyDescent="0.25">
      <c r="A1094" s="17" t="s">
        <v>38</v>
      </c>
      <c r="B1094" s="18" t="s">
        <v>14</v>
      </c>
      <c r="C1094" s="18">
        <v>9.6390475875961794</v>
      </c>
      <c r="D1094" s="18">
        <v>1998</v>
      </c>
      <c r="E1094" s="19"/>
      <c r="F1094" s="19"/>
    </row>
    <row r="1095" spans="1:6" ht="19.95" customHeight="1" x14ac:dyDescent="0.25">
      <c r="A1095" s="17" t="s">
        <v>39</v>
      </c>
      <c r="B1095" s="18" t="s">
        <v>14</v>
      </c>
      <c r="C1095" s="18">
        <v>24.6177635661228</v>
      </c>
      <c r="D1095" s="18">
        <v>1998</v>
      </c>
      <c r="E1095" s="19"/>
      <c r="F1095" s="19"/>
    </row>
    <row r="1096" spans="1:6" ht="19.95" customHeight="1" x14ac:dyDescent="0.25">
      <c r="A1096" s="17" t="s">
        <v>40</v>
      </c>
      <c r="B1096" s="18" t="s">
        <v>14</v>
      </c>
      <c r="C1096" s="18">
        <v>43.393084957841602</v>
      </c>
      <c r="D1096" s="18">
        <v>1998</v>
      </c>
      <c r="E1096" s="19"/>
      <c r="F1096" s="19"/>
    </row>
    <row r="1097" spans="1:6" ht="19.95" customHeight="1" x14ac:dyDescent="0.25">
      <c r="A1097" s="17" t="s">
        <v>10</v>
      </c>
      <c r="B1097" s="18" t="s">
        <v>14</v>
      </c>
      <c r="C1097" s="18">
        <v>7.5757575757575797</v>
      </c>
      <c r="D1097" s="18">
        <v>1999</v>
      </c>
      <c r="E1097" s="19"/>
      <c r="F1097" s="19"/>
    </row>
    <row r="1098" spans="1:6" ht="19.95" customHeight="1" x14ac:dyDescent="0.25">
      <c r="A1098" s="17" t="s">
        <v>13</v>
      </c>
      <c r="B1098" s="18" t="s">
        <v>14</v>
      </c>
      <c r="C1098" s="18">
        <v>20.048327158466499</v>
      </c>
      <c r="D1098" s="18">
        <v>1999</v>
      </c>
      <c r="E1098" s="19"/>
      <c r="F1098" s="19"/>
    </row>
    <row r="1099" spans="1:6" ht="19.95" customHeight="1" x14ac:dyDescent="0.25">
      <c r="A1099" s="17" t="s">
        <v>16</v>
      </c>
      <c r="B1099" s="18" t="s">
        <v>14</v>
      </c>
      <c r="C1099" s="18">
        <v>18.318120771037101</v>
      </c>
      <c r="D1099" s="18">
        <v>1999</v>
      </c>
      <c r="E1099" s="19"/>
      <c r="F1099" s="19"/>
    </row>
    <row r="1100" spans="1:6" ht="19.95" customHeight="1" x14ac:dyDescent="0.25">
      <c r="A1100" s="17" t="s">
        <v>15</v>
      </c>
      <c r="B1100" s="18" t="s">
        <v>14</v>
      </c>
      <c r="C1100" s="18">
        <v>12.7113696950828</v>
      </c>
      <c r="D1100" s="18">
        <v>1999</v>
      </c>
      <c r="E1100" s="19"/>
      <c r="F1100" s="19"/>
    </row>
    <row r="1101" spans="1:6" ht="19.95" customHeight="1" x14ac:dyDescent="0.25">
      <c r="A1101" s="17" t="s">
        <v>17</v>
      </c>
      <c r="B1101" s="18" t="s">
        <v>14</v>
      </c>
      <c r="C1101" s="18"/>
      <c r="D1101" s="18">
        <v>1999</v>
      </c>
      <c r="E1101" s="19"/>
      <c r="F1101" s="19"/>
    </row>
    <row r="1102" spans="1:6" ht="19.95" customHeight="1" x14ac:dyDescent="0.25">
      <c r="A1102" s="17" t="s">
        <v>18</v>
      </c>
      <c r="B1102" s="18" t="s">
        <v>14</v>
      </c>
      <c r="C1102" s="18"/>
      <c r="D1102" s="18">
        <v>1999</v>
      </c>
      <c r="E1102" s="19"/>
      <c r="F1102" s="19"/>
    </row>
    <row r="1103" spans="1:6" ht="19.95" customHeight="1" x14ac:dyDescent="0.25">
      <c r="A1103" s="17" t="s">
        <v>19</v>
      </c>
      <c r="B1103" s="18" t="s">
        <v>14</v>
      </c>
      <c r="C1103" s="18">
        <v>21.639518262082198</v>
      </c>
      <c r="D1103" s="18">
        <v>1999</v>
      </c>
      <c r="E1103" s="19"/>
      <c r="F1103" s="19"/>
    </row>
    <row r="1104" spans="1:6" ht="19.95" customHeight="1" x14ac:dyDescent="0.25">
      <c r="A1104" s="17" t="s">
        <v>20</v>
      </c>
      <c r="B1104" s="18" t="s">
        <v>14</v>
      </c>
      <c r="C1104" s="18">
        <v>12.249111964651901</v>
      </c>
      <c r="D1104" s="18">
        <v>1999</v>
      </c>
      <c r="E1104" s="19"/>
      <c r="F1104" s="19"/>
    </row>
    <row r="1105" spans="1:6" ht="19.95" customHeight="1" x14ac:dyDescent="0.25">
      <c r="A1105" s="17" t="s">
        <v>21</v>
      </c>
      <c r="B1105" s="18" t="s">
        <v>14</v>
      </c>
      <c r="C1105" s="18">
        <v>20.8327351985075</v>
      </c>
      <c r="D1105" s="18">
        <v>1999</v>
      </c>
      <c r="E1105" s="19"/>
      <c r="F1105" s="19"/>
    </row>
    <row r="1106" spans="1:6" ht="19.95" customHeight="1" x14ac:dyDescent="0.25">
      <c r="A1106" s="17" t="s">
        <v>22</v>
      </c>
      <c r="B1106" s="18" t="s">
        <v>14</v>
      </c>
      <c r="C1106" s="18"/>
      <c r="D1106" s="18">
        <v>1999</v>
      </c>
      <c r="E1106" s="19"/>
      <c r="F1106" s="19"/>
    </row>
    <row r="1107" spans="1:6" ht="19.95" customHeight="1" x14ac:dyDescent="0.25">
      <c r="A1107" s="17" t="s">
        <v>23</v>
      </c>
      <c r="B1107" s="18" t="s">
        <v>14</v>
      </c>
      <c r="C1107" s="18">
        <v>14.5540968764147</v>
      </c>
      <c r="D1107" s="18">
        <v>1999</v>
      </c>
      <c r="E1107" s="19"/>
      <c r="F1107" s="19"/>
    </row>
    <row r="1108" spans="1:6" ht="19.95" customHeight="1" x14ac:dyDescent="0.25">
      <c r="A1108" s="17" t="s">
        <v>24</v>
      </c>
      <c r="B1108" s="18" t="s">
        <v>14</v>
      </c>
      <c r="C1108" s="18">
        <v>24.4654181745797</v>
      </c>
      <c r="D1108" s="18">
        <v>1999</v>
      </c>
      <c r="E1108" s="19"/>
      <c r="F1108" s="19"/>
    </row>
    <row r="1109" spans="1:6" ht="19.95" customHeight="1" x14ac:dyDescent="0.25">
      <c r="A1109" s="17" t="s">
        <v>25</v>
      </c>
      <c r="B1109" s="18" t="s">
        <v>14</v>
      </c>
      <c r="C1109" s="18">
        <v>28.022280537969401</v>
      </c>
      <c r="D1109" s="18">
        <v>1999</v>
      </c>
      <c r="E1109" s="19"/>
      <c r="F1109" s="19"/>
    </row>
    <row r="1110" spans="1:6" ht="19.95" customHeight="1" x14ac:dyDescent="0.25">
      <c r="A1110" s="17" t="s">
        <v>26</v>
      </c>
      <c r="B1110" s="18" t="s">
        <v>14</v>
      </c>
      <c r="C1110" s="18">
        <v>20.250988919750601</v>
      </c>
      <c r="D1110" s="18">
        <v>1999</v>
      </c>
      <c r="E1110" s="19"/>
      <c r="F1110" s="19"/>
    </row>
    <row r="1111" spans="1:6" ht="19.95" customHeight="1" x14ac:dyDescent="0.25">
      <c r="A1111" s="17" t="s">
        <v>27</v>
      </c>
      <c r="B1111" s="18" t="s">
        <v>14</v>
      </c>
      <c r="C1111" s="18">
        <v>52.086418165987801</v>
      </c>
      <c r="D1111" s="18">
        <v>1999</v>
      </c>
      <c r="E1111" s="19"/>
      <c r="F1111" s="19"/>
    </row>
    <row r="1112" spans="1:6" ht="19.95" customHeight="1" x14ac:dyDescent="0.25">
      <c r="A1112" s="17" t="s">
        <v>28</v>
      </c>
      <c r="B1112" s="18" t="s">
        <v>14</v>
      </c>
      <c r="C1112" s="18">
        <v>10.1657727684956</v>
      </c>
      <c r="D1112" s="18">
        <v>1999</v>
      </c>
      <c r="E1112" s="19"/>
      <c r="F1112" s="19"/>
    </row>
    <row r="1113" spans="1:6" ht="19.95" customHeight="1" x14ac:dyDescent="0.25">
      <c r="A1113" s="17" t="s">
        <v>29</v>
      </c>
      <c r="B1113" s="18" t="s">
        <v>14</v>
      </c>
      <c r="C1113" s="18"/>
      <c r="D1113" s="18">
        <v>1999</v>
      </c>
      <c r="E1113" s="19"/>
      <c r="F1113" s="19"/>
    </row>
    <row r="1114" spans="1:6" ht="19.95" customHeight="1" x14ac:dyDescent="0.25">
      <c r="A1114" s="17" t="s">
        <v>31</v>
      </c>
      <c r="B1114" s="18" t="s">
        <v>14</v>
      </c>
      <c r="C1114" s="18">
        <v>22.848472090657101</v>
      </c>
      <c r="D1114" s="18">
        <v>1999</v>
      </c>
      <c r="E1114" s="19"/>
      <c r="F1114" s="19"/>
    </row>
    <row r="1115" spans="1:6" ht="19.95" customHeight="1" x14ac:dyDescent="0.25">
      <c r="A1115" s="17" t="s">
        <v>32</v>
      </c>
      <c r="B1115" s="18" t="s">
        <v>14</v>
      </c>
      <c r="C1115" s="18">
        <v>18.5302795190448</v>
      </c>
      <c r="D1115" s="18">
        <v>1999</v>
      </c>
      <c r="E1115" s="19"/>
      <c r="F1115" s="19"/>
    </row>
    <row r="1116" spans="1:6" ht="19.95" customHeight="1" x14ac:dyDescent="0.25">
      <c r="A1116" s="17" t="s">
        <v>33</v>
      </c>
      <c r="B1116" s="18" t="s">
        <v>14</v>
      </c>
      <c r="C1116" s="18">
        <v>15.900047689568501</v>
      </c>
      <c r="D1116" s="18">
        <v>1999</v>
      </c>
      <c r="E1116" s="19"/>
      <c r="F1116" s="19"/>
    </row>
    <row r="1117" spans="1:6" ht="19.95" customHeight="1" x14ac:dyDescent="0.25">
      <c r="A1117" s="17" t="s">
        <v>34</v>
      </c>
      <c r="B1117" s="18" t="s">
        <v>14</v>
      </c>
      <c r="C1117" s="18">
        <v>6.2603893632689802</v>
      </c>
      <c r="D1117" s="18">
        <v>1999</v>
      </c>
      <c r="E1117" s="19"/>
      <c r="F1117" s="19"/>
    </row>
    <row r="1118" spans="1:6" ht="19.95" customHeight="1" x14ac:dyDescent="0.25">
      <c r="A1118" s="17" t="s">
        <v>35</v>
      </c>
      <c r="B1118" s="18" t="s">
        <v>14</v>
      </c>
      <c r="C1118" s="18"/>
      <c r="D1118" s="18">
        <v>1999</v>
      </c>
      <c r="E1118" s="19"/>
      <c r="F1118" s="19"/>
    </row>
    <row r="1119" spans="1:6" ht="19.95" customHeight="1" x14ac:dyDescent="0.25">
      <c r="A1119" s="17" t="s">
        <v>2</v>
      </c>
      <c r="B1119" s="18" t="s">
        <v>14</v>
      </c>
      <c r="C1119" s="18">
        <v>35.483704717065599</v>
      </c>
      <c r="D1119" s="18">
        <v>1999</v>
      </c>
      <c r="E1119" s="19"/>
      <c r="F1119" s="19"/>
    </row>
    <row r="1120" spans="1:6" ht="19.95" customHeight="1" x14ac:dyDescent="0.25">
      <c r="A1120" s="17" t="s">
        <v>36</v>
      </c>
      <c r="B1120" s="18" t="s">
        <v>14</v>
      </c>
      <c r="C1120" s="18">
        <v>66.073382038377403</v>
      </c>
      <c r="D1120" s="18">
        <v>1999</v>
      </c>
      <c r="E1120" s="19"/>
      <c r="F1120" s="19"/>
    </row>
    <row r="1121" spans="1:6" ht="19.95" customHeight="1" x14ac:dyDescent="0.25">
      <c r="A1121" s="17" t="s">
        <v>37</v>
      </c>
      <c r="B1121" s="18" t="s">
        <v>14</v>
      </c>
      <c r="C1121" s="18">
        <v>12.5296570744999</v>
      </c>
      <c r="D1121" s="18">
        <v>1999</v>
      </c>
      <c r="E1121" s="19"/>
      <c r="F1121" s="19"/>
    </row>
    <row r="1122" spans="1:6" ht="19.95" customHeight="1" x14ac:dyDescent="0.25">
      <c r="A1122" s="17" t="s">
        <v>38</v>
      </c>
      <c r="B1122" s="18" t="s">
        <v>14</v>
      </c>
      <c r="C1122" s="18">
        <v>12.2515738969733</v>
      </c>
      <c r="D1122" s="18">
        <v>1999</v>
      </c>
      <c r="E1122" s="19"/>
      <c r="F1122" s="19"/>
    </row>
    <row r="1123" spans="1:6" ht="19.95" customHeight="1" x14ac:dyDescent="0.25">
      <c r="A1123" s="17" t="s">
        <v>39</v>
      </c>
      <c r="B1123" s="18" t="s">
        <v>14</v>
      </c>
      <c r="C1123" s="18">
        <v>25.037219399921099</v>
      </c>
      <c r="D1123" s="18">
        <v>1999</v>
      </c>
      <c r="E1123" s="19"/>
      <c r="F1123" s="19"/>
    </row>
    <row r="1124" spans="1:6" ht="19.95" customHeight="1" x14ac:dyDescent="0.25">
      <c r="A1124" s="17" t="s">
        <v>40</v>
      </c>
      <c r="B1124" s="18" t="s">
        <v>14</v>
      </c>
      <c r="C1124" s="18">
        <v>37.4085797532233</v>
      </c>
      <c r="D1124" s="18">
        <v>1999</v>
      </c>
      <c r="E1124" s="19"/>
      <c r="F1124" s="19"/>
    </row>
    <row r="1125" spans="1:6" ht="19.95" customHeight="1" x14ac:dyDescent="0.25">
      <c r="A1125" s="17" t="s">
        <v>10</v>
      </c>
      <c r="B1125" s="18" t="s">
        <v>14</v>
      </c>
      <c r="C1125" s="18">
        <v>6.3189705942565997</v>
      </c>
      <c r="D1125" s="18">
        <v>2000</v>
      </c>
      <c r="E1125" s="19"/>
      <c r="F1125" s="19"/>
    </row>
    <row r="1126" spans="1:6" ht="19.95" customHeight="1" x14ac:dyDescent="0.25">
      <c r="A1126" s="17" t="s">
        <v>13</v>
      </c>
      <c r="B1126" s="18" t="s">
        <v>14</v>
      </c>
      <c r="C1126" s="18">
        <v>25.908209413460298</v>
      </c>
      <c r="D1126" s="18">
        <v>2000</v>
      </c>
      <c r="E1126" s="19"/>
      <c r="F1126" s="19"/>
    </row>
    <row r="1127" spans="1:6" ht="19.95" customHeight="1" x14ac:dyDescent="0.25">
      <c r="A1127" s="17" t="s">
        <v>16</v>
      </c>
      <c r="B1127" s="18" t="s">
        <v>14</v>
      </c>
      <c r="C1127" s="18">
        <v>16.890096431930299</v>
      </c>
      <c r="D1127" s="18">
        <v>2000</v>
      </c>
      <c r="E1127" s="19"/>
      <c r="F1127" s="19"/>
    </row>
    <row r="1128" spans="1:6" ht="19.95" customHeight="1" x14ac:dyDescent="0.25">
      <c r="A1128" s="17" t="s">
        <v>15</v>
      </c>
      <c r="B1128" s="18" t="s">
        <v>14</v>
      </c>
      <c r="C1128" s="18">
        <v>22.989115547331</v>
      </c>
      <c r="D1128" s="18">
        <v>2000</v>
      </c>
      <c r="E1128" s="19"/>
      <c r="F1128" s="19"/>
    </row>
    <row r="1129" spans="1:6" ht="19.95" customHeight="1" x14ac:dyDescent="0.25">
      <c r="A1129" s="17" t="s">
        <v>17</v>
      </c>
      <c r="B1129" s="18" t="s">
        <v>14</v>
      </c>
      <c r="C1129" s="18"/>
      <c r="D1129" s="18">
        <v>2000</v>
      </c>
      <c r="E1129" s="19"/>
      <c r="F1129" s="19"/>
    </row>
    <row r="1130" spans="1:6" ht="19.95" customHeight="1" x14ac:dyDescent="0.25">
      <c r="A1130" s="17" t="s">
        <v>18</v>
      </c>
      <c r="B1130" s="18" t="s">
        <v>14</v>
      </c>
      <c r="C1130" s="18"/>
      <c r="D1130" s="18">
        <v>2000</v>
      </c>
      <c r="E1130" s="19"/>
      <c r="F1130" s="19"/>
    </row>
    <row r="1131" spans="1:6" ht="19.95" customHeight="1" x14ac:dyDescent="0.25">
      <c r="A1131" s="17" t="s">
        <v>19</v>
      </c>
      <c r="B1131" s="18" t="s">
        <v>14</v>
      </c>
      <c r="C1131" s="18">
        <v>24.5238730443766</v>
      </c>
      <c r="D1131" s="18">
        <v>2000</v>
      </c>
      <c r="E1131" s="19"/>
      <c r="F1131" s="19"/>
    </row>
    <row r="1132" spans="1:6" ht="19.95" customHeight="1" x14ac:dyDescent="0.25">
      <c r="A1132" s="17" t="s">
        <v>20</v>
      </c>
      <c r="B1132" s="18" t="s">
        <v>14</v>
      </c>
      <c r="C1132" s="18">
        <v>12.6952822892498</v>
      </c>
      <c r="D1132" s="18">
        <v>2000</v>
      </c>
      <c r="E1132" s="19"/>
      <c r="F1132" s="19"/>
    </row>
    <row r="1133" spans="1:6" ht="19.95" customHeight="1" x14ac:dyDescent="0.25">
      <c r="A1133" s="17" t="s">
        <v>21</v>
      </c>
      <c r="B1133" s="18" t="s">
        <v>14</v>
      </c>
      <c r="C1133" s="18">
        <v>21.587571141762499</v>
      </c>
      <c r="D1133" s="18">
        <v>2000</v>
      </c>
      <c r="E1133" s="19"/>
      <c r="F1133" s="19"/>
    </row>
    <row r="1134" spans="1:6" ht="19.95" customHeight="1" x14ac:dyDescent="0.25">
      <c r="A1134" s="17" t="s">
        <v>22</v>
      </c>
      <c r="B1134" s="18" t="s">
        <v>14</v>
      </c>
      <c r="C1134" s="18"/>
      <c r="D1134" s="18">
        <v>2000</v>
      </c>
      <c r="E1134" s="19"/>
      <c r="F1134" s="19"/>
    </row>
    <row r="1135" spans="1:6" ht="19.95" customHeight="1" x14ac:dyDescent="0.25">
      <c r="A1135" s="17" t="s">
        <v>23</v>
      </c>
      <c r="B1135" s="18" t="s">
        <v>14</v>
      </c>
      <c r="C1135" s="18">
        <v>31.3761306275264</v>
      </c>
      <c r="D1135" s="18">
        <v>2000</v>
      </c>
      <c r="E1135" s="19"/>
      <c r="F1135" s="19"/>
    </row>
    <row r="1136" spans="1:6" ht="19.95" customHeight="1" x14ac:dyDescent="0.25">
      <c r="A1136" s="17" t="s">
        <v>24</v>
      </c>
      <c r="B1136" s="18" t="s">
        <v>14</v>
      </c>
      <c r="C1136" s="18">
        <v>30.679320529903102</v>
      </c>
      <c r="D1136" s="18">
        <v>2000</v>
      </c>
      <c r="E1136" s="19"/>
      <c r="F1136" s="19"/>
    </row>
    <row r="1137" spans="1:6" ht="19.95" customHeight="1" x14ac:dyDescent="0.25">
      <c r="A1137" s="17" t="s">
        <v>25</v>
      </c>
      <c r="B1137" s="18" t="s">
        <v>14</v>
      </c>
      <c r="C1137" s="18">
        <v>25.6036524824415</v>
      </c>
      <c r="D1137" s="18">
        <v>2000</v>
      </c>
      <c r="E1137" s="19"/>
      <c r="F1137" s="19"/>
    </row>
    <row r="1138" spans="1:6" ht="19.95" customHeight="1" x14ac:dyDescent="0.25">
      <c r="A1138" s="17" t="s">
        <v>26</v>
      </c>
      <c r="B1138" s="18" t="s">
        <v>14</v>
      </c>
      <c r="C1138" s="18">
        <v>22.478590456810299</v>
      </c>
      <c r="D1138" s="18">
        <v>2000</v>
      </c>
      <c r="E1138" s="19"/>
      <c r="F1138" s="19"/>
    </row>
    <row r="1139" spans="1:6" ht="19.95" customHeight="1" x14ac:dyDescent="0.25">
      <c r="A1139" s="17" t="s">
        <v>27</v>
      </c>
      <c r="B1139" s="18" t="s">
        <v>14</v>
      </c>
      <c r="C1139" s="18">
        <v>49.777669229888097</v>
      </c>
      <c r="D1139" s="18">
        <v>2000</v>
      </c>
      <c r="E1139" s="19"/>
      <c r="F1139" s="19"/>
    </row>
    <row r="1140" spans="1:6" ht="19.95" customHeight="1" x14ac:dyDescent="0.25">
      <c r="A1140" s="17" t="s">
        <v>28</v>
      </c>
      <c r="B1140" s="18" t="s">
        <v>14</v>
      </c>
      <c r="C1140" s="18">
        <v>12.831728844046101</v>
      </c>
      <c r="D1140" s="18">
        <v>2000</v>
      </c>
      <c r="E1140" s="19"/>
      <c r="F1140" s="19"/>
    </row>
    <row r="1141" spans="1:6" ht="19.95" customHeight="1" x14ac:dyDescent="0.25">
      <c r="A1141" s="17" t="s">
        <v>29</v>
      </c>
      <c r="B1141" s="18" t="s">
        <v>14</v>
      </c>
      <c r="C1141" s="18">
        <v>0.53883789233693702</v>
      </c>
      <c r="D1141" s="18">
        <v>2000</v>
      </c>
      <c r="E1141" s="19"/>
      <c r="F1141" s="19"/>
    </row>
    <row r="1142" spans="1:6" ht="19.95" customHeight="1" x14ac:dyDescent="0.25">
      <c r="A1142" s="17" t="s">
        <v>31</v>
      </c>
      <c r="B1142" s="18" t="s">
        <v>14</v>
      </c>
      <c r="C1142" s="18">
        <v>23.284003710262301</v>
      </c>
      <c r="D1142" s="18">
        <v>2000</v>
      </c>
      <c r="E1142" s="19"/>
      <c r="F1142" s="19"/>
    </row>
    <row r="1143" spans="1:6" ht="19.95" customHeight="1" x14ac:dyDescent="0.25">
      <c r="A1143" s="17" t="s">
        <v>32</v>
      </c>
      <c r="B1143" s="18" t="s">
        <v>14</v>
      </c>
      <c r="C1143" s="18">
        <v>20.108165886693101</v>
      </c>
      <c r="D1143" s="18">
        <v>2000</v>
      </c>
      <c r="E1143" s="19"/>
      <c r="F1143" s="19"/>
    </row>
    <row r="1144" spans="1:6" ht="19.95" customHeight="1" x14ac:dyDescent="0.25">
      <c r="A1144" s="17" t="s">
        <v>33</v>
      </c>
      <c r="B1144" s="18" t="s">
        <v>14</v>
      </c>
      <c r="C1144" s="18">
        <v>17.799437675726299</v>
      </c>
      <c r="D1144" s="18">
        <v>2000</v>
      </c>
      <c r="E1144" s="19"/>
      <c r="F1144" s="19"/>
    </row>
    <row r="1145" spans="1:6" ht="19.95" customHeight="1" x14ac:dyDescent="0.25">
      <c r="A1145" s="17" t="s">
        <v>34</v>
      </c>
      <c r="B1145" s="18" t="s">
        <v>14</v>
      </c>
      <c r="C1145" s="18">
        <v>6.3198140361100998</v>
      </c>
      <c r="D1145" s="18">
        <v>2000</v>
      </c>
      <c r="E1145" s="19"/>
      <c r="F1145" s="19"/>
    </row>
    <row r="1146" spans="1:6" ht="19.95" customHeight="1" x14ac:dyDescent="0.25">
      <c r="A1146" s="17" t="s">
        <v>35</v>
      </c>
      <c r="B1146" s="18" t="s">
        <v>14</v>
      </c>
      <c r="C1146" s="18"/>
      <c r="D1146" s="18">
        <v>2000</v>
      </c>
      <c r="E1146" s="19"/>
      <c r="F1146" s="19"/>
    </row>
    <row r="1147" spans="1:6" ht="19.95" customHeight="1" x14ac:dyDescent="0.25">
      <c r="A1147" s="17" t="s">
        <v>2</v>
      </c>
      <c r="B1147" s="18" t="s">
        <v>14</v>
      </c>
      <c r="C1147" s="18">
        <v>39.015700886425002</v>
      </c>
      <c r="D1147" s="18">
        <v>2000</v>
      </c>
      <c r="E1147" s="19"/>
      <c r="F1147" s="19"/>
    </row>
    <row r="1148" spans="1:6" ht="19.95" customHeight="1" x14ac:dyDescent="0.25">
      <c r="A1148" s="17" t="s">
        <v>36</v>
      </c>
      <c r="B1148" s="18" t="s">
        <v>14</v>
      </c>
      <c r="C1148" s="18">
        <v>98.762195674115503</v>
      </c>
      <c r="D1148" s="18">
        <v>2000</v>
      </c>
      <c r="E1148" s="19"/>
      <c r="F1148" s="19"/>
    </row>
    <row r="1149" spans="1:6" ht="19.95" customHeight="1" x14ac:dyDescent="0.25">
      <c r="A1149" s="17" t="s">
        <v>37</v>
      </c>
      <c r="B1149" s="18" t="s">
        <v>14</v>
      </c>
      <c r="C1149" s="18">
        <v>13.364909435910899</v>
      </c>
      <c r="D1149" s="18">
        <v>2000</v>
      </c>
      <c r="E1149" s="19"/>
      <c r="F1149" s="19"/>
    </row>
    <row r="1150" spans="1:6" ht="19.95" customHeight="1" x14ac:dyDescent="0.25">
      <c r="A1150" s="17" t="s">
        <v>38</v>
      </c>
      <c r="B1150" s="18" t="s">
        <v>14</v>
      </c>
      <c r="C1150" s="18">
        <v>10.651409293254</v>
      </c>
      <c r="D1150" s="18">
        <v>2000</v>
      </c>
      <c r="E1150" s="19"/>
      <c r="F1150" s="19"/>
    </row>
    <row r="1151" spans="1:6" ht="19.95" customHeight="1" x14ac:dyDescent="0.25">
      <c r="A1151" s="17" t="s">
        <v>39</v>
      </c>
      <c r="B1151" s="18" t="s">
        <v>14</v>
      </c>
      <c r="C1151" s="18">
        <v>23.923860830771201</v>
      </c>
      <c r="D1151" s="18">
        <v>2000</v>
      </c>
      <c r="E1151" s="19"/>
      <c r="F1151" s="19"/>
    </row>
    <row r="1152" spans="1:6" ht="19.95" customHeight="1" x14ac:dyDescent="0.25">
      <c r="A1152" s="17" t="s">
        <v>40</v>
      </c>
      <c r="B1152" s="18" t="s">
        <v>14</v>
      </c>
      <c r="C1152" s="18">
        <v>38.1597545550961</v>
      </c>
      <c r="D1152" s="18">
        <v>2000</v>
      </c>
      <c r="E1152" s="19"/>
      <c r="F1152" s="19"/>
    </row>
    <row r="1153" spans="1:6" ht="19.95" customHeight="1" x14ac:dyDescent="0.25">
      <c r="A1153" s="17" t="s">
        <v>10</v>
      </c>
      <c r="B1153" s="18" t="s">
        <v>14</v>
      </c>
      <c r="C1153" s="18">
        <v>5.1792021647032804</v>
      </c>
      <c r="D1153" s="18">
        <v>2001</v>
      </c>
      <c r="E1153" s="19"/>
      <c r="F1153" s="19"/>
    </row>
    <row r="1154" spans="1:6" ht="19.95" customHeight="1" x14ac:dyDescent="0.25">
      <c r="A1154" s="17" t="s">
        <v>13</v>
      </c>
      <c r="B1154" s="18" t="s">
        <v>14</v>
      </c>
      <c r="C1154" s="18">
        <v>25.839395884895801</v>
      </c>
      <c r="D1154" s="18">
        <v>2001</v>
      </c>
      <c r="E1154" s="19"/>
      <c r="F1154" s="19"/>
    </row>
    <row r="1155" spans="1:6" ht="19.95" customHeight="1" x14ac:dyDescent="0.25">
      <c r="A1155" s="17" t="s">
        <v>16</v>
      </c>
      <c r="B1155" s="18" t="s">
        <v>14</v>
      </c>
      <c r="C1155" s="18">
        <v>14.6657875448771</v>
      </c>
      <c r="D1155" s="18">
        <v>2001</v>
      </c>
      <c r="E1155" s="19"/>
      <c r="F1155" s="19"/>
    </row>
    <row r="1156" spans="1:6" ht="19.95" customHeight="1" x14ac:dyDescent="0.25">
      <c r="A1156" s="17" t="s">
        <v>15</v>
      </c>
      <c r="B1156" s="18" t="s">
        <v>14</v>
      </c>
      <c r="C1156" s="18">
        <v>18.3218597886003</v>
      </c>
      <c r="D1156" s="18">
        <v>2001</v>
      </c>
      <c r="E1156" s="19"/>
      <c r="F1156" s="19"/>
    </row>
    <row r="1157" spans="1:6" ht="19.95" customHeight="1" x14ac:dyDescent="0.25">
      <c r="A1157" s="17" t="s">
        <v>17</v>
      </c>
      <c r="B1157" s="18" t="s">
        <v>14</v>
      </c>
      <c r="C1157" s="18"/>
      <c r="D1157" s="18">
        <v>2001</v>
      </c>
      <c r="E1157" s="19"/>
      <c r="F1157" s="19"/>
    </row>
    <row r="1158" spans="1:6" ht="19.95" customHeight="1" x14ac:dyDescent="0.25">
      <c r="A1158" s="17" t="s">
        <v>18</v>
      </c>
      <c r="B1158" s="18" t="s">
        <v>14</v>
      </c>
      <c r="C1158" s="18"/>
      <c r="D1158" s="18">
        <v>2001</v>
      </c>
      <c r="E1158" s="19"/>
      <c r="F1158" s="19"/>
    </row>
    <row r="1159" spans="1:6" ht="19.95" customHeight="1" x14ac:dyDescent="0.25">
      <c r="A1159" s="17" t="s">
        <v>19</v>
      </c>
      <c r="B1159" s="18" t="s">
        <v>14</v>
      </c>
      <c r="C1159" s="18">
        <v>28.5786627531762</v>
      </c>
      <c r="D1159" s="18">
        <v>2001</v>
      </c>
      <c r="E1159" s="19"/>
      <c r="F1159" s="19"/>
    </row>
    <row r="1160" spans="1:6" ht="19.95" customHeight="1" x14ac:dyDescent="0.25">
      <c r="A1160" s="17" t="s">
        <v>20</v>
      </c>
      <c r="B1160" s="18" t="s">
        <v>14</v>
      </c>
      <c r="C1160" s="18">
        <v>12.361726954492401</v>
      </c>
      <c r="D1160" s="18">
        <v>2001</v>
      </c>
      <c r="E1160" s="19"/>
      <c r="F1160" s="19"/>
    </row>
    <row r="1161" spans="1:6" ht="19.95" customHeight="1" x14ac:dyDescent="0.25">
      <c r="A1161" s="17" t="s">
        <v>21</v>
      </c>
      <c r="B1161" s="18" t="s">
        <v>14</v>
      </c>
      <c r="C1161" s="18">
        <v>22.931576364336699</v>
      </c>
      <c r="D1161" s="18">
        <v>2001</v>
      </c>
      <c r="E1161" s="19"/>
      <c r="F1161" s="19"/>
    </row>
    <row r="1162" spans="1:6" ht="19.95" customHeight="1" x14ac:dyDescent="0.25">
      <c r="A1162" s="17" t="s">
        <v>22</v>
      </c>
      <c r="B1162" s="18" t="s">
        <v>14</v>
      </c>
      <c r="C1162" s="18"/>
      <c r="D1162" s="18">
        <v>2001</v>
      </c>
      <c r="E1162" s="19"/>
      <c r="F1162" s="19"/>
    </row>
    <row r="1163" spans="1:6" ht="19.95" customHeight="1" x14ac:dyDescent="0.25">
      <c r="A1163" s="17" t="s">
        <v>23</v>
      </c>
      <c r="B1163" s="18" t="s">
        <v>14</v>
      </c>
      <c r="C1163" s="18">
        <v>33.973128598848398</v>
      </c>
      <c r="D1163" s="18">
        <v>2001</v>
      </c>
      <c r="E1163" s="19"/>
      <c r="F1163" s="19"/>
    </row>
    <row r="1164" spans="1:6" ht="19.95" customHeight="1" x14ac:dyDescent="0.25">
      <c r="A1164" s="17" t="s">
        <v>24</v>
      </c>
      <c r="B1164" s="18" t="s">
        <v>14</v>
      </c>
      <c r="C1164" s="18">
        <v>29.078574446739399</v>
      </c>
      <c r="D1164" s="18">
        <v>2001</v>
      </c>
      <c r="E1164" s="19"/>
      <c r="F1164" s="19"/>
    </row>
    <row r="1165" spans="1:6" ht="19.95" customHeight="1" x14ac:dyDescent="0.25">
      <c r="A1165" s="17" t="s">
        <v>25</v>
      </c>
      <c r="B1165" s="18" t="s">
        <v>14</v>
      </c>
      <c r="C1165" s="18">
        <v>27.991226367763701</v>
      </c>
      <c r="D1165" s="18">
        <v>2001</v>
      </c>
      <c r="E1165" s="19"/>
      <c r="F1165" s="19"/>
    </row>
    <row r="1166" spans="1:6" ht="19.95" customHeight="1" x14ac:dyDescent="0.25">
      <c r="A1166" s="17" t="s">
        <v>26</v>
      </c>
      <c r="B1166" s="18" t="s">
        <v>14</v>
      </c>
      <c r="C1166" s="18">
        <v>26.3124370675839</v>
      </c>
      <c r="D1166" s="18">
        <v>2001</v>
      </c>
      <c r="E1166" s="19"/>
      <c r="F1166" s="19"/>
    </row>
    <row r="1167" spans="1:6" ht="19.95" customHeight="1" x14ac:dyDescent="0.25">
      <c r="A1167" s="17" t="s">
        <v>27</v>
      </c>
      <c r="B1167" s="18" t="s">
        <v>14</v>
      </c>
      <c r="C1167" s="18">
        <v>49.853548699732897</v>
      </c>
      <c r="D1167" s="18">
        <v>2001</v>
      </c>
      <c r="E1167" s="19"/>
      <c r="F1167" s="19"/>
    </row>
    <row r="1168" spans="1:6" ht="19.95" customHeight="1" x14ac:dyDescent="0.25">
      <c r="A1168" s="17" t="s">
        <v>28</v>
      </c>
      <c r="B1168" s="18" t="s">
        <v>14</v>
      </c>
      <c r="C1168" s="18">
        <v>21.117035072928399</v>
      </c>
      <c r="D1168" s="18">
        <v>2001</v>
      </c>
      <c r="E1168" s="19"/>
      <c r="F1168" s="19"/>
    </row>
    <row r="1169" spans="1:6" ht="19.95" customHeight="1" x14ac:dyDescent="0.25">
      <c r="A1169" s="17" t="s">
        <v>29</v>
      </c>
      <c r="B1169" s="18" t="s">
        <v>14</v>
      </c>
      <c r="C1169" s="18">
        <v>0.47059971330760297</v>
      </c>
      <c r="D1169" s="18">
        <v>2001</v>
      </c>
      <c r="E1169" s="19"/>
      <c r="F1169" s="19"/>
    </row>
    <row r="1170" spans="1:6" ht="19.95" customHeight="1" x14ac:dyDescent="0.25">
      <c r="A1170" s="17" t="s">
        <v>31</v>
      </c>
      <c r="B1170" s="18" t="s">
        <v>14</v>
      </c>
      <c r="C1170" s="18">
        <v>22.5607504999785</v>
      </c>
      <c r="D1170" s="18">
        <v>2001</v>
      </c>
      <c r="E1170" s="19"/>
      <c r="F1170" s="19"/>
    </row>
    <row r="1171" spans="1:6" ht="19.95" customHeight="1" x14ac:dyDescent="0.25">
      <c r="A1171" s="17" t="s">
        <v>32</v>
      </c>
      <c r="B1171" s="18" t="s">
        <v>14</v>
      </c>
      <c r="C1171" s="18">
        <v>19.041910882449301</v>
      </c>
      <c r="D1171" s="18">
        <v>2001</v>
      </c>
      <c r="E1171" s="19"/>
      <c r="F1171" s="19"/>
    </row>
    <row r="1172" spans="1:6" ht="19.95" customHeight="1" x14ac:dyDescent="0.25">
      <c r="A1172" s="17" t="s">
        <v>33</v>
      </c>
      <c r="B1172" s="18" t="s">
        <v>14</v>
      </c>
      <c r="C1172" s="18">
        <v>16.922931276297302</v>
      </c>
      <c r="D1172" s="18">
        <v>2001</v>
      </c>
      <c r="E1172" s="19"/>
      <c r="F1172" s="19"/>
    </row>
    <row r="1173" spans="1:6" ht="19.95" customHeight="1" x14ac:dyDescent="0.25">
      <c r="A1173" s="17" t="s">
        <v>34</v>
      </c>
      <c r="B1173" s="18" t="s">
        <v>14</v>
      </c>
      <c r="C1173" s="18">
        <v>8.4683079695688797</v>
      </c>
      <c r="D1173" s="18">
        <v>2001</v>
      </c>
      <c r="E1173" s="19"/>
      <c r="F1173" s="19"/>
    </row>
    <row r="1174" spans="1:6" ht="19.95" customHeight="1" x14ac:dyDescent="0.25">
      <c r="A1174" s="17" t="s">
        <v>35</v>
      </c>
      <c r="B1174" s="18" t="s">
        <v>14</v>
      </c>
      <c r="C1174" s="18"/>
      <c r="D1174" s="18">
        <v>2001</v>
      </c>
      <c r="E1174" s="19"/>
      <c r="F1174" s="19"/>
    </row>
    <row r="1175" spans="1:6" ht="19.95" customHeight="1" x14ac:dyDescent="0.25">
      <c r="A1175" s="17" t="s">
        <v>2</v>
      </c>
      <c r="B1175" s="18" t="s">
        <v>14</v>
      </c>
      <c r="C1175" s="18">
        <v>37.331188476891398</v>
      </c>
      <c r="D1175" s="18">
        <v>2001</v>
      </c>
      <c r="E1175" s="19"/>
      <c r="F1175" s="19"/>
    </row>
    <row r="1176" spans="1:6" ht="19.95" customHeight="1" x14ac:dyDescent="0.25">
      <c r="A1176" s="17" t="s">
        <v>36</v>
      </c>
      <c r="B1176" s="18" t="s">
        <v>14</v>
      </c>
      <c r="C1176" s="18">
        <v>67.991963997673594</v>
      </c>
      <c r="D1176" s="18">
        <v>2001</v>
      </c>
      <c r="E1176" s="19"/>
      <c r="F1176" s="19"/>
    </row>
    <row r="1177" spans="1:6" ht="19.95" customHeight="1" x14ac:dyDescent="0.25">
      <c r="A1177" s="17" t="s">
        <v>37</v>
      </c>
      <c r="B1177" s="18" t="s">
        <v>14</v>
      </c>
      <c r="C1177" s="18">
        <v>17.006564857277901</v>
      </c>
      <c r="D1177" s="18">
        <v>2001</v>
      </c>
      <c r="E1177" s="19"/>
      <c r="F1177" s="19"/>
    </row>
    <row r="1178" spans="1:6" ht="19.95" customHeight="1" x14ac:dyDescent="0.25">
      <c r="A1178" s="17" t="s">
        <v>38</v>
      </c>
      <c r="B1178" s="18" t="s">
        <v>14</v>
      </c>
      <c r="C1178" s="18">
        <v>11.5180826372043</v>
      </c>
      <c r="D1178" s="18">
        <v>2001</v>
      </c>
      <c r="E1178" s="19"/>
      <c r="F1178" s="19"/>
    </row>
    <row r="1179" spans="1:6" ht="19.95" customHeight="1" x14ac:dyDescent="0.25">
      <c r="A1179" s="17" t="s">
        <v>39</v>
      </c>
      <c r="B1179" s="18" t="s">
        <v>14</v>
      </c>
      <c r="C1179" s="18">
        <v>25.109699098695</v>
      </c>
      <c r="D1179" s="18">
        <v>2001</v>
      </c>
      <c r="E1179" s="19"/>
      <c r="F1179" s="19"/>
    </row>
    <row r="1180" spans="1:6" ht="19.95" customHeight="1" x14ac:dyDescent="0.25">
      <c r="A1180" s="17" t="s">
        <v>40</v>
      </c>
      <c r="B1180" s="18" t="s">
        <v>14</v>
      </c>
      <c r="C1180" s="18">
        <v>34.958912690908598</v>
      </c>
      <c r="D1180" s="18">
        <v>2001</v>
      </c>
      <c r="E1180" s="19"/>
      <c r="F1180" s="19"/>
    </row>
    <row r="1181" spans="1:6" ht="19.95" customHeight="1" x14ac:dyDescent="0.25">
      <c r="A1181" s="17" t="s">
        <v>10</v>
      </c>
      <c r="B1181" s="18" t="s">
        <v>14</v>
      </c>
      <c r="C1181" s="18">
        <v>4.6858041811825597</v>
      </c>
      <c r="D1181" s="18">
        <v>2002</v>
      </c>
      <c r="E1181" s="19"/>
      <c r="F1181" s="19"/>
    </row>
    <row r="1182" spans="1:6" ht="19.95" customHeight="1" x14ac:dyDescent="0.25">
      <c r="A1182" s="17" t="s">
        <v>13</v>
      </c>
      <c r="B1182" s="18" t="s">
        <v>14</v>
      </c>
      <c r="C1182" s="18">
        <v>24.296900395925</v>
      </c>
      <c r="D1182" s="18">
        <v>2002</v>
      </c>
      <c r="E1182" s="19"/>
      <c r="F1182" s="19"/>
    </row>
    <row r="1183" spans="1:6" ht="19.95" customHeight="1" x14ac:dyDescent="0.25">
      <c r="A1183" s="17" t="s">
        <v>16</v>
      </c>
      <c r="B1183" s="18" t="s">
        <v>14</v>
      </c>
      <c r="C1183" s="18">
        <v>12.6899405964434</v>
      </c>
      <c r="D1183" s="18">
        <v>2002</v>
      </c>
      <c r="E1183" s="19"/>
      <c r="F1183" s="19"/>
    </row>
    <row r="1184" spans="1:6" ht="19.95" customHeight="1" x14ac:dyDescent="0.25">
      <c r="A1184" s="17" t="s">
        <v>15</v>
      </c>
      <c r="B1184" s="18" t="s">
        <v>14</v>
      </c>
      <c r="C1184" s="18">
        <v>15.586912699643401</v>
      </c>
      <c r="D1184" s="18">
        <v>2002</v>
      </c>
      <c r="E1184" s="19"/>
      <c r="F1184" s="19"/>
    </row>
    <row r="1185" spans="1:6" ht="19.95" customHeight="1" x14ac:dyDescent="0.25">
      <c r="A1185" s="17" t="s">
        <v>17</v>
      </c>
      <c r="B1185" s="18" t="s">
        <v>14</v>
      </c>
      <c r="C1185" s="18"/>
      <c r="D1185" s="18">
        <v>2002</v>
      </c>
      <c r="E1185" s="19"/>
      <c r="F1185" s="19"/>
    </row>
    <row r="1186" spans="1:6" ht="19.95" customHeight="1" x14ac:dyDescent="0.25">
      <c r="A1186" s="17" t="s">
        <v>18</v>
      </c>
      <c r="B1186" s="18" t="s">
        <v>14</v>
      </c>
      <c r="C1186" s="18"/>
      <c r="D1186" s="18">
        <v>2002</v>
      </c>
      <c r="E1186" s="19"/>
      <c r="F1186" s="19"/>
    </row>
    <row r="1187" spans="1:6" ht="19.95" customHeight="1" x14ac:dyDescent="0.25">
      <c r="A1187" s="17" t="s">
        <v>19</v>
      </c>
      <c r="B1187" s="18" t="s">
        <v>14</v>
      </c>
      <c r="C1187" s="18">
        <v>26.4778105826218</v>
      </c>
      <c r="D1187" s="18">
        <v>2002</v>
      </c>
      <c r="E1187" s="19"/>
      <c r="F1187" s="19"/>
    </row>
    <row r="1188" spans="1:6" ht="19.95" customHeight="1" x14ac:dyDescent="0.25">
      <c r="A1188" s="17" t="s">
        <v>20</v>
      </c>
      <c r="B1188" s="18" t="s">
        <v>14</v>
      </c>
      <c r="C1188" s="18">
        <v>12.127238694856899</v>
      </c>
      <c r="D1188" s="18">
        <v>2002</v>
      </c>
      <c r="E1188" s="19"/>
      <c r="F1188" s="19"/>
    </row>
    <row r="1189" spans="1:6" ht="19.95" customHeight="1" x14ac:dyDescent="0.25">
      <c r="A1189" s="17" t="s">
        <v>21</v>
      </c>
      <c r="B1189" s="18" t="s">
        <v>14</v>
      </c>
      <c r="C1189" s="18">
        <v>24.897972614700201</v>
      </c>
      <c r="D1189" s="18">
        <v>2002</v>
      </c>
      <c r="E1189" s="19"/>
      <c r="F1189" s="19"/>
    </row>
    <row r="1190" spans="1:6" ht="19.95" customHeight="1" x14ac:dyDescent="0.25">
      <c r="A1190" s="17" t="s">
        <v>22</v>
      </c>
      <c r="B1190" s="18" t="s">
        <v>14</v>
      </c>
      <c r="C1190" s="18"/>
      <c r="D1190" s="18">
        <v>2002</v>
      </c>
      <c r="E1190" s="19"/>
      <c r="F1190" s="19"/>
    </row>
    <row r="1191" spans="1:6" ht="19.95" customHeight="1" x14ac:dyDescent="0.25">
      <c r="A1191" s="17" t="s">
        <v>23</v>
      </c>
      <c r="B1191" s="18" t="s">
        <v>14</v>
      </c>
      <c r="C1191" s="18">
        <v>42.357274401473298</v>
      </c>
      <c r="D1191" s="18">
        <v>2002</v>
      </c>
      <c r="E1191" s="19"/>
      <c r="F1191" s="19"/>
    </row>
    <row r="1192" spans="1:6" ht="19.95" customHeight="1" x14ac:dyDescent="0.25">
      <c r="A1192" s="17" t="s">
        <v>24</v>
      </c>
      <c r="B1192" s="18" t="s">
        <v>14</v>
      </c>
      <c r="C1192" s="18">
        <v>16.008379477295801</v>
      </c>
      <c r="D1192" s="18">
        <v>2002</v>
      </c>
      <c r="E1192" s="19"/>
      <c r="F1192" s="19"/>
    </row>
    <row r="1193" spans="1:6" ht="19.95" customHeight="1" x14ac:dyDescent="0.25">
      <c r="A1193" s="17" t="s">
        <v>25</v>
      </c>
      <c r="B1193" s="18" t="s">
        <v>14</v>
      </c>
      <c r="C1193" s="18">
        <v>15.860637171211099</v>
      </c>
      <c r="D1193" s="18">
        <v>2002</v>
      </c>
      <c r="E1193" s="19"/>
      <c r="F1193" s="19"/>
    </row>
    <row r="1194" spans="1:6" ht="19.95" customHeight="1" x14ac:dyDescent="0.25">
      <c r="A1194" s="17" t="s">
        <v>26</v>
      </c>
      <c r="B1194" s="18" t="s">
        <v>14</v>
      </c>
      <c r="C1194" s="18">
        <v>28.087453813660801</v>
      </c>
      <c r="D1194" s="18">
        <v>2002</v>
      </c>
      <c r="E1194" s="19"/>
      <c r="F1194" s="19"/>
    </row>
    <row r="1195" spans="1:6" ht="19.95" customHeight="1" x14ac:dyDescent="0.25">
      <c r="A1195" s="17" t="s">
        <v>27</v>
      </c>
      <c r="B1195" s="18" t="s">
        <v>14</v>
      </c>
      <c r="C1195" s="18">
        <v>52.740427342644203</v>
      </c>
      <c r="D1195" s="18">
        <v>2002</v>
      </c>
      <c r="E1195" s="19"/>
      <c r="F1195" s="19"/>
    </row>
    <row r="1196" spans="1:6" ht="19.95" customHeight="1" x14ac:dyDescent="0.25">
      <c r="A1196" s="17" t="s">
        <v>28</v>
      </c>
      <c r="B1196" s="18" t="s">
        <v>14</v>
      </c>
      <c r="C1196" s="18">
        <v>24.410417552031799</v>
      </c>
      <c r="D1196" s="18">
        <v>2002</v>
      </c>
      <c r="E1196" s="19"/>
      <c r="F1196" s="19"/>
    </row>
    <row r="1197" spans="1:6" ht="19.95" customHeight="1" x14ac:dyDescent="0.25">
      <c r="A1197" s="17" t="s">
        <v>29</v>
      </c>
      <c r="B1197" s="18" t="s">
        <v>14</v>
      </c>
      <c r="C1197" s="18">
        <v>0.28575417216219601</v>
      </c>
      <c r="D1197" s="18">
        <v>2002</v>
      </c>
      <c r="E1197" s="19"/>
      <c r="F1197" s="19"/>
    </row>
    <row r="1198" spans="1:6" ht="19.95" customHeight="1" x14ac:dyDescent="0.25">
      <c r="A1198" s="17" t="s">
        <v>31</v>
      </c>
      <c r="B1198" s="18" t="s">
        <v>14</v>
      </c>
      <c r="C1198" s="18">
        <v>17.737129524228301</v>
      </c>
      <c r="D1198" s="18">
        <v>2002</v>
      </c>
      <c r="E1198" s="19"/>
      <c r="F1198" s="19"/>
    </row>
    <row r="1199" spans="1:6" ht="19.95" customHeight="1" x14ac:dyDescent="0.25">
      <c r="A1199" s="17" t="s">
        <v>32</v>
      </c>
      <c r="B1199" s="18" t="s">
        <v>14</v>
      </c>
      <c r="C1199" s="18">
        <v>18.8471358845682</v>
      </c>
      <c r="D1199" s="18">
        <v>2002</v>
      </c>
      <c r="E1199" s="19"/>
      <c r="F1199" s="19"/>
    </row>
    <row r="1200" spans="1:6" ht="19.95" customHeight="1" x14ac:dyDescent="0.25">
      <c r="A1200" s="17" t="s">
        <v>33</v>
      </c>
      <c r="B1200" s="18" t="s">
        <v>14</v>
      </c>
      <c r="C1200" s="18">
        <v>15.9079547593866</v>
      </c>
      <c r="D1200" s="18">
        <v>2002</v>
      </c>
      <c r="E1200" s="19"/>
      <c r="F1200" s="19"/>
    </row>
    <row r="1201" spans="1:6" ht="19.95" customHeight="1" x14ac:dyDescent="0.25">
      <c r="A1201" s="17" t="s">
        <v>34</v>
      </c>
      <c r="B1201" s="18" t="s">
        <v>14</v>
      </c>
      <c r="C1201" s="18">
        <v>7.0411824942002603</v>
      </c>
      <c r="D1201" s="18">
        <v>2002</v>
      </c>
      <c r="E1201" s="19"/>
      <c r="F1201" s="19"/>
    </row>
    <row r="1202" spans="1:6" ht="19.95" customHeight="1" x14ac:dyDescent="0.25">
      <c r="A1202" s="17" t="s">
        <v>35</v>
      </c>
      <c r="B1202" s="18" t="s">
        <v>14</v>
      </c>
      <c r="C1202" s="18"/>
      <c r="D1202" s="18">
        <v>2002</v>
      </c>
      <c r="E1202" s="19"/>
      <c r="F1202" s="19"/>
    </row>
    <row r="1203" spans="1:6" ht="19.95" customHeight="1" x14ac:dyDescent="0.25">
      <c r="A1203" s="17" t="s">
        <v>2</v>
      </c>
      <c r="B1203" s="18" t="s">
        <v>14</v>
      </c>
      <c r="C1203" s="18">
        <v>34.913330197833602</v>
      </c>
      <c r="D1203" s="18">
        <v>2002</v>
      </c>
      <c r="E1203" s="19"/>
      <c r="F1203" s="19"/>
    </row>
    <row r="1204" spans="1:6" ht="19.95" customHeight="1" x14ac:dyDescent="0.25">
      <c r="A1204" s="17" t="s">
        <v>36</v>
      </c>
      <c r="B1204" s="18" t="s">
        <v>14</v>
      </c>
      <c r="C1204" s="18">
        <v>65.461164917666395</v>
      </c>
      <c r="D1204" s="18">
        <v>2002</v>
      </c>
      <c r="E1204" s="19"/>
      <c r="F1204" s="19"/>
    </row>
    <row r="1205" spans="1:6" ht="19.95" customHeight="1" x14ac:dyDescent="0.25">
      <c r="A1205" s="17" t="s">
        <v>37</v>
      </c>
      <c r="B1205" s="18" t="s">
        <v>14</v>
      </c>
      <c r="C1205" s="18">
        <v>17.580753213148299</v>
      </c>
      <c r="D1205" s="18">
        <v>2002</v>
      </c>
      <c r="E1205" s="19"/>
      <c r="F1205" s="19"/>
    </row>
    <row r="1206" spans="1:6" ht="19.95" customHeight="1" x14ac:dyDescent="0.25">
      <c r="A1206" s="17" t="s">
        <v>38</v>
      </c>
      <c r="B1206" s="18" t="s">
        <v>14</v>
      </c>
      <c r="C1206" s="18">
        <v>11.2132791665583</v>
      </c>
      <c r="D1206" s="18">
        <v>2002</v>
      </c>
      <c r="E1206" s="19"/>
      <c r="F1206" s="19"/>
    </row>
    <row r="1207" spans="1:6" ht="19.95" customHeight="1" x14ac:dyDescent="0.25">
      <c r="A1207" s="17" t="s">
        <v>39</v>
      </c>
      <c r="B1207" s="18" t="s">
        <v>14</v>
      </c>
      <c r="C1207" s="18">
        <v>27.133678330869799</v>
      </c>
      <c r="D1207" s="18">
        <v>2002</v>
      </c>
      <c r="E1207" s="19"/>
      <c r="F1207" s="19"/>
    </row>
    <row r="1208" spans="1:6" ht="19.95" customHeight="1" x14ac:dyDescent="0.25">
      <c r="A1208" s="17" t="s">
        <v>40</v>
      </c>
      <c r="B1208" s="18" t="s">
        <v>14</v>
      </c>
      <c r="C1208" s="18">
        <v>31.834798869349001</v>
      </c>
      <c r="D1208" s="18">
        <v>2002</v>
      </c>
      <c r="E1208" s="19"/>
      <c r="F1208" s="19"/>
    </row>
    <row r="1209" spans="1:6" ht="19.95" customHeight="1" x14ac:dyDescent="0.25">
      <c r="A1209" s="17" t="s">
        <v>10</v>
      </c>
      <c r="B1209" s="18" t="s">
        <v>14</v>
      </c>
      <c r="C1209" s="18">
        <v>6.3814140254802796</v>
      </c>
      <c r="D1209" s="18">
        <v>2003</v>
      </c>
      <c r="E1209" s="19"/>
      <c r="F1209" s="19"/>
    </row>
    <row r="1210" spans="1:6" ht="19.95" customHeight="1" x14ac:dyDescent="0.25">
      <c r="A1210" s="17" t="s">
        <v>13</v>
      </c>
      <c r="B1210" s="18" t="s">
        <v>14</v>
      </c>
      <c r="C1210" s="18">
        <v>20.927784390508201</v>
      </c>
      <c r="D1210" s="18">
        <v>2003</v>
      </c>
      <c r="E1210" s="19"/>
      <c r="F1210" s="19"/>
    </row>
    <row r="1211" spans="1:6" ht="19.95" customHeight="1" x14ac:dyDescent="0.25">
      <c r="A1211" s="17" t="s">
        <v>16</v>
      </c>
      <c r="B1211" s="18" t="s">
        <v>14</v>
      </c>
      <c r="C1211" s="18">
        <v>24.632966906948099</v>
      </c>
      <c r="D1211" s="18">
        <v>2003</v>
      </c>
      <c r="E1211" s="19"/>
      <c r="F1211" s="19"/>
    </row>
    <row r="1212" spans="1:6" ht="19.95" customHeight="1" x14ac:dyDescent="0.25">
      <c r="A1212" s="17" t="s">
        <v>15</v>
      </c>
      <c r="B1212" s="18" t="s">
        <v>14</v>
      </c>
      <c r="C1212" s="18">
        <v>18.898967439190699</v>
      </c>
      <c r="D1212" s="18">
        <v>2003</v>
      </c>
      <c r="E1212" s="19"/>
      <c r="F1212" s="19"/>
    </row>
    <row r="1213" spans="1:6" ht="19.95" customHeight="1" x14ac:dyDescent="0.25">
      <c r="A1213" s="17" t="s">
        <v>17</v>
      </c>
      <c r="B1213" s="18" t="s">
        <v>14</v>
      </c>
      <c r="C1213" s="18"/>
      <c r="D1213" s="18">
        <v>2003</v>
      </c>
      <c r="E1213" s="19"/>
      <c r="F1213" s="19"/>
    </row>
    <row r="1214" spans="1:6" ht="19.95" customHeight="1" x14ac:dyDescent="0.25">
      <c r="A1214" s="17" t="s">
        <v>18</v>
      </c>
      <c r="B1214" s="18" t="s">
        <v>14</v>
      </c>
      <c r="C1214" s="18"/>
      <c r="D1214" s="18">
        <v>2003</v>
      </c>
      <c r="E1214" s="19"/>
      <c r="F1214" s="19"/>
    </row>
    <row r="1215" spans="1:6" ht="19.95" customHeight="1" x14ac:dyDescent="0.25">
      <c r="A1215" s="17" t="s">
        <v>19</v>
      </c>
      <c r="B1215" s="18" t="s">
        <v>14</v>
      </c>
      <c r="C1215" s="18">
        <v>25.956743348511498</v>
      </c>
      <c r="D1215" s="18">
        <v>2003</v>
      </c>
      <c r="E1215" s="19"/>
      <c r="F1215" s="19"/>
    </row>
    <row r="1216" spans="1:6" ht="19.95" customHeight="1" x14ac:dyDescent="0.25">
      <c r="A1216" s="17" t="s">
        <v>20</v>
      </c>
      <c r="B1216" s="18" t="s">
        <v>14</v>
      </c>
      <c r="C1216" s="18">
        <v>15.892048965413601</v>
      </c>
      <c r="D1216" s="18">
        <v>2003</v>
      </c>
      <c r="E1216" s="19"/>
      <c r="F1216" s="19"/>
    </row>
    <row r="1217" spans="1:6" ht="19.95" customHeight="1" x14ac:dyDescent="0.25">
      <c r="A1217" s="17" t="s">
        <v>21</v>
      </c>
      <c r="B1217" s="18" t="s">
        <v>14</v>
      </c>
      <c r="C1217" s="18">
        <v>24.086815305420998</v>
      </c>
      <c r="D1217" s="18">
        <v>2003</v>
      </c>
      <c r="E1217" s="19"/>
      <c r="F1217" s="19"/>
    </row>
    <row r="1218" spans="1:6" ht="19.95" customHeight="1" x14ac:dyDescent="0.25">
      <c r="A1218" s="17" t="s">
        <v>22</v>
      </c>
      <c r="B1218" s="18" t="s">
        <v>14</v>
      </c>
      <c r="C1218" s="18"/>
      <c r="D1218" s="18">
        <v>2003</v>
      </c>
      <c r="E1218" s="19"/>
      <c r="F1218" s="19"/>
    </row>
    <row r="1219" spans="1:6" ht="19.95" customHeight="1" x14ac:dyDescent="0.25">
      <c r="A1219" s="17" t="s">
        <v>23</v>
      </c>
      <c r="B1219" s="18" t="s">
        <v>14</v>
      </c>
      <c r="C1219" s="18">
        <v>36.057692307692299</v>
      </c>
      <c r="D1219" s="18">
        <v>2003</v>
      </c>
      <c r="E1219" s="19"/>
      <c r="F1219" s="19"/>
    </row>
    <row r="1220" spans="1:6" ht="19.95" customHeight="1" x14ac:dyDescent="0.25">
      <c r="A1220" s="17" t="s">
        <v>24</v>
      </c>
      <c r="B1220" s="18" t="s">
        <v>14</v>
      </c>
      <c r="C1220" s="18">
        <v>23.0857444087594</v>
      </c>
      <c r="D1220" s="18">
        <v>2003</v>
      </c>
      <c r="E1220" s="19"/>
      <c r="F1220" s="19"/>
    </row>
    <row r="1221" spans="1:6" ht="19.95" customHeight="1" x14ac:dyDescent="0.25">
      <c r="A1221" s="17" t="s">
        <v>25</v>
      </c>
      <c r="B1221" s="18" t="s">
        <v>14</v>
      </c>
      <c r="C1221" s="18">
        <v>20.170456553498301</v>
      </c>
      <c r="D1221" s="18">
        <v>2003</v>
      </c>
      <c r="E1221" s="19"/>
      <c r="F1221" s="19"/>
    </row>
    <row r="1222" spans="1:6" ht="19.95" customHeight="1" x14ac:dyDescent="0.25">
      <c r="A1222" s="17" t="s">
        <v>26</v>
      </c>
      <c r="B1222" s="18" t="s">
        <v>14</v>
      </c>
      <c r="C1222" s="18">
        <v>25.769340392594401</v>
      </c>
      <c r="D1222" s="18">
        <v>2003</v>
      </c>
      <c r="E1222" s="19"/>
      <c r="F1222" s="19"/>
    </row>
    <row r="1223" spans="1:6" ht="19.95" customHeight="1" x14ac:dyDescent="0.25">
      <c r="A1223" s="17" t="s">
        <v>27</v>
      </c>
      <c r="B1223" s="18" t="s">
        <v>14</v>
      </c>
      <c r="C1223" s="18">
        <v>53.481204079030199</v>
      </c>
      <c r="D1223" s="18">
        <v>2003</v>
      </c>
      <c r="E1223" s="19"/>
      <c r="F1223" s="19"/>
    </row>
    <row r="1224" spans="1:6" ht="19.95" customHeight="1" x14ac:dyDescent="0.25">
      <c r="A1224" s="17" t="s">
        <v>28</v>
      </c>
      <c r="B1224" s="18" t="s">
        <v>14</v>
      </c>
      <c r="C1224" s="18">
        <v>25.564246109953</v>
      </c>
      <c r="D1224" s="18">
        <v>2003</v>
      </c>
      <c r="E1224" s="19"/>
      <c r="F1224" s="19"/>
    </row>
    <row r="1225" spans="1:6" ht="19.95" customHeight="1" x14ac:dyDescent="0.25">
      <c r="A1225" s="17" t="s">
        <v>29</v>
      </c>
      <c r="B1225" s="18" t="s">
        <v>14</v>
      </c>
      <c r="C1225" s="18">
        <v>0.20756507236941499</v>
      </c>
      <c r="D1225" s="18">
        <v>2003</v>
      </c>
      <c r="E1225" s="19"/>
      <c r="F1225" s="19"/>
    </row>
    <row r="1226" spans="1:6" ht="19.95" customHeight="1" x14ac:dyDescent="0.25">
      <c r="A1226" s="17" t="s">
        <v>31</v>
      </c>
      <c r="B1226" s="18" t="s">
        <v>14</v>
      </c>
      <c r="C1226" s="18">
        <v>15.699864494515801</v>
      </c>
      <c r="D1226" s="18">
        <v>2003</v>
      </c>
      <c r="E1226" s="19"/>
      <c r="F1226" s="19"/>
    </row>
    <row r="1227" spans="1:6" ht="19.95" customHeight="1" x14ac:dyDescent="0.25">
      <c r="A1227" s="17" t="s">
        <v>32</v>
      </c>
      <c r="B1227" s="18" t="s">
        <v>14</v>
      </c>
      <c r="C1227" s="18">
        <v>20.704998914845</v>
      </c>
      <c r="D1227" s="18">
        <v>2003</v>
      </c>
      <c r="E1227" s="19"/>
      <c r="F1227" s="19"/>
    </row>
    <row r="1228" spans="1:6" ht="19.95" customHeight="1" x14ac:dyDescent="0.25">
      <c r="A1228" s="17" t="s">
        <v>33</v>
      </c>
      <c r="B1228" s="18" t="s">
        <v>14</v>
      </c>
      <c r="C1228" s="18">
        <v>15.197867401574801</v>
      </c>
      <c r="D1228" s="18">
        <v>2003</v>
      </c>
      <c r="E1228" s="19"/>
      <c r="F1228" s="19"/>
    </row>
    <row r="1229" spans="1:6" ht="19.95" customHeight="1" x14ac:dyDescent="0.25">
      <c r="A1229" s="17" t="s">
        <v>34</v>
      </c>
      <c r="B1229" s="18" t="s">
        <v>14</v>
      </c>
      <c r="C1229" s="18">
        <v>8.4526324729150595</v>
      </c>
      <c r="D1229" s="18">
        <v>2003</v>
      </c>
      <c r="E1229" s="19"/>
      <c r="F1229" s="19"/>
    </row>
    <row r="1230" spans="1:6" ht="19.95" customHeight="1" x14ac:dyDescent="0.25">
      <c r="A1230" s="17" t="s">
        <v>35</v>
      </c>
      <c r="B1230" s="18" t="s">
        <v>14</v>
      </c>
      <c r="C1230" s="18"/>
      <c r="D1230" s="18">
        <v>2003</v>
      </c>
      <c r="E1230" s="19"/>
      <c r="F1230" s="19"/>
    </row>
    <row r="1231" spans="1:6" ht="19.95" customHeight="1" x14ac:dyDescent="0.25">
      <c r="A1231" s="17" t="s">
        <v>2</v>
      </c>
      <c r="B1231" s="18" t="s">
        <v>14</v>
      </c>
      <c r="C1231" s="18">
        <v>34.653502832422802</v>
      </c>
      <c r="D1231" s="18">
        <v>2003</v>
      </c>
      <c r="E1231" s="19"/>
      <c r="F1231" s="19"/>
    </row>
    <row r="1232" spans="1:6" ht="19.95" customHeight="1" x14ac:dyDescent="0.25">
      <c r="A1232" s="17" t="s">
        <v>36</v>
      </c>
      <c r="B1232" s="18" t="s">
        <v>14</v>
      </c>
      <c r="C1232" s="18">
        <v>63.376862486377398</v>
      </c>
      <c r="D1232" s="18">
        <v>2003</v>
      </c>
      <c r="E1232" s="19"/>
      <c r="F1232" s="19"/>
    </row>
    <row r="1233" spans="1:6" ht="19.95" customHeight="1" x14ac:dyDescent="0.25">
      <c r="A1233" s="17" t="s">
        <v>37</v>
      </c>
      <c r="B1233" s="18" t="s">
        <v>14</v>
      </c>
      <c r="C1233" s="18">
        <v>18.562595946068502</v>
      </c>
      <c r="D1233" s="18">
        <v>2003</v>
      </c>
      <c r="E1233" s="19"/>
      <c r="F1233" s="19"/>
    </row>
    <row r="1234" spans="1:6" ht="19.95" customHeight="1" x14ac:dyDescent="0.25">
      <c r="A1234" s="17" t="s">
        <v>38</v>
      </c>
      <c r="B1234" s="18" t="s">
        <v>14</v>
      </c>
      <c r="C1234" s="18">
        <v>11.386724834337199</v>
      </c>
      <c r="D1234" s="18">
        <v>2003</v>
      </c>
      <c r="E1234" s="19"/>
      <c r="F1234" s="19"/>
    </row>
    <row r="1235" spans="1:6" ht="19.95" customHeight="1" x14ac:dyDescent="0.25">
      <c r="A1235" s="17" t="s">
        <v>39</v>
      </c>
      <c r="B1235" s="18" t="s">
        <v>14</v>
      </c>
      <c r="C1235" s="18">
        <v>25.683964030842699</v>
      </c>
      <c r="D1235" s="18">
        <v>2003</v>
      </c>
      <c r="E1235" s="19"/>
      <c r="F1235" s="19"/>
    </row>
    <row r="1236" spans="1:6" ht="19.95" customHeight="1" x14ac:dyDescent="0.25">
      <c r="A1236" s="17" t="s">
        <v>40</v>
      </c>
      <c r="B1236" s="18" t="s">
        <v>14</v>
      </c>
      <c r="C1236" s="18">
        <v>32.397059092095198</v>
      </c>
      <c r="D1236" s="18">
        <v>2003</v>
      </c>
      <c r="E1236" s="19"/>
      <c r="F1236" s="19"/>
    </row>
    <row r="1237" spans="1:6" ht="19.95" customHeight="1" x14ac:dyDescent="0.25">
      <c r="A1237" s="17" t="s">
        <v>10</v>
      </c>
      <c r="B1237" s="18" t="s">
        <v>14</v>
      </c>
      <c r="C1237" s="18">
        <v>6.9527482869070898</v>
      </c>
      <c r="D1237" s="18">
        <v>2004</v>
      </c>
      <c r="E1237" s="19"/>
      <c r="F1237" s="19"/>
    </row>
    <row r="1238" spans="1:6" ht="19.95" customHeight="1" x14ac:dyDescent="0.25">
      <c r="A1238" s="17" t="s">
        <v>13</v>
      </c>
      <c r="B1238" s="18" t="s">
        <v>14</v>
      </c>
      <c r="C1238" s="18">
        <v>22.709458644005899</v>
      </c>
      <c r="D1238" s="18">
        <v>2004</v>
      </c>
      <c r="E1238" s="19"/>
      <c r="F1238" s="19"/>
    </row>
    <row r="1239" spans="1:6" ht="19.95" customHeight="1" x14ac:dyDescent="0.25">
      <c r="A1239" s="17" t="s">
        <v>16</v>
      </c>
      <c r="B1239" s="18" t="s">
        <v>14</v>
      </c>
      <c r="C1239" s="18">
        <v>51.008858056715603</v>
      </c>
      <c r="D1239" s="18">
        <v>2004</v>
      </c>
      <c r="E1239" s="19"/>
      <c r="F1239" s="19"/>
    </row>
    <row r="1240" spans="1:6" ht="19.95" customHeight="1" x14ac:dyDescent="0.25">
      <c r="A1240" s="17" t="s">
        <v>15</v>
      </c>
      <c r="B1240" s="18" t="s">
        <v>14</v>
      </c>
      <c r="C1240" s="18">
        <v>15.469269518661401</v>
      </c>
      <c r="D1240" s="18">
        <v>2004</v>
      </c>
      <c r="E1240" s="19"/>
      <c r="F1240" s="19"/>
    </row>
    <row r="1241" spans="1:6" ht="19.95" customHeight="1" x14ac:dyDescent="0.25">
      <c r="A1241" s="17" t="s">
        <v>17</v>
      </c>
      <c r="B1241" s="18" t="s">
        <v>14</v>
      </c>
      <c r="C1241" s="18"/>
      <c r="D1241" s="18">
        <v>2004</v>
      </c>
      <c r="E1241" s="19"/>
      <c r="F1241" s="19"/>
    </row>
    <row r="1242" spans="1:6" ht="19.95" customHeight="1" x14ac:dyDescent="0.25">
      <c r="A1242" s="17" t="s">
        <v>18</v>
      </c>
      <c r="B1242" s="18" t="s">
        <v>14</v>
      </c>
      <c r="C1242" s="18"/>
      <c r="D1242" s="18">
        <v>2004</v>
      </c>
      <c r="E1242" s="19"/>
      <c r="F1242" s="19"/>
    </row>
    <row r="1243" spans="1:6" ht="19.95" customHeight="1" x14ac:dyDescent="0.25">
      <c r="A1243" s="17" t="s">
        <v>19</v>
      </c>
      <c r="B1243" s="18" t="s">
        <v>14</v>
      </c>
      <c r="C1243" s="18">
        <v>24.6259751804795</v>
      </c>
      <c r="D1243" s="18">
        <v>2004</v>
      </c>
      <c r="E1243" s="19"/>
      <c r="F1243" s="19"/>
    </row>
    <row r="1244" spans="1:6" ht="19.95" customHeight="1" x14ac:dyDescent="0.25">
      <c r="A1244" s="17" t="s">
        <v>20</v>
      </c>
      <c r="B1244" s="18" t="s">
        <v>14</v>
      </c>
      <c r="C1244" s="18">
        <v>14.4087415501435</v>
      </c>
      <c r="D1244" s="18">
        <v>2004</v>
      </c>
      <c r="E1244" s="19"/>
      <c r="F1244" s="19"/>
    </row>
    <row r="1245" spans="1:6" ht="19.95" customHeight="1" x14ac:dyDescent="0.25">
      <c r="A1245" s="17" t="s">
        <v>21</v>
      </c>
      <c r="B1245" s="18" t="s">
        <v>14</v>
      </c>
      <c r="C1245" s="18">
        <v>26.610258575297301</v>
      </c>
      <c r="D1245" s="18">
        <v>2004</v>
      </c>
      <c r="E1245" s="19"/>
      <c r="F1245" s="19"/>
    </row>
    <row r="1246" spans="1:6" ht="19.95" customHeight="1" x14ac:dyDescent="0.25">
      <c r="A1246" s="17" t="s">
        <v>22</v>
      </c>
      <c r="B1246" s="18" t="s">
        <v>14</v>
      </c>
      <c r="C1246" s="18"/>
      <c r="D1246" s="18">
        <v>2004</v>
      </c>
      <c r="E1246" s="19"/>
      <c r="F1246" s="19"/>
    </row>
    <row r="1247" spans="1:6" ht="19.95" customHeight="1" x14ac:dyDescent="0.25">
      <c r="A1247" s="17" t="s">
        <v>23</v>
      </c>
      <c r="B1247" s="18" t="s">
        <v>14</v>
      </c>
      <c r="C1247" s="18">
        <v>67.621655782599504</v>
      </c>
      <c r="D1247" s="18">
        <v>2004</v>
      </c>
      <c r="E1247" s="19"/>
      <c r="F1247" s="19"/>
    </row>
    <row r="1248" spans="1:6" ht="19.95" customHeight="1" x14ac:dyDescent="0.25">
      <c r="A1248" s="17" t="s">
        <v>24</v>
      </c>
      <c r="B1248" s="18" t="s">
        <v>14</v>
      </c>
      <c r="C1248" s="18">
        <v>32.636436784543001</v>
      </c>
      <c r="D1248" s="18">
        <v>2004</v>
      </c>
      <c r="E1248" s="19"/>
      <c r="F1248" s="19"/>
    </row>
    <row r="1249" spans="1:6" ht="19.95" customHeight="1" x14ac:dyDescent="0.25">
      <c r="A1249" s="17" t="s">
        <v>25</v>
      </c>
      <c r="B1249" s="18" t="s">
        <v>14</v>
      </c>
      <c r="C1249" s="18">
        <v>18.8482493164564</v>
      </c>
      <c r="D1249" s="18">
        <v>2004</v>
      </c>
      <c r="E1249" s="19"/>
      <c r="F1249" s="19"/>
    </row>
    <row r="1250" spans="1:6" ht="19.95" customHeight="1" x14ac:dyDescent="0.25">
      <c r="A1250" s="17" t="s">
        <v>26</v>
      </c>
      <c r="B1250" s="18" t="s">
        <v>14</v>
      </c>
      <c r="C1250" s="18">
        <v>23.677184706524098</v>
      </c>
      <c r="D1250" s="18">
        <v>2004</v>
      </c>
      <c r="E1250" s="19"/>
      <c r="F1250" s="19"/>
    </row>
    <row r="1251" spans="1:6" ht="19.95" customHeight="1" x14ac:dyDescent="0.25">
      <c r="A1251" s="17" t="s">
        <v>27</v>
      </c>
      <c r="B1251" s="18" t="s">
        <v>14</v>
      </c>
      <c r="C1251" s="18">
        <v>50.706798751752103</v>
      </c>
      <c r="D1251" s="18">
        <v>2004</v>
      </c>
      <c r="E1251" s="19"/>
      <c r="F1251" s="19"/>
    </row>
    <row r="1252" spans="1:6" ht="19.95" customHeight="1" x14ac:dyDescent="0.25">
      <c r="A1252" s="17" t="s">
        <v>28</v>
      </c>
      <c r="B1252" s="18" t="s">
        <v>14</v>
      </c>
      <c r="C1252" s="18">
        <v>28.925053876089201</v>
      </c>
      <c r="D1252" s="18">
        <v>2004</v>
      </c>
      <c r="E1252" s="19"/>
      <c r="F1252" s="19"/>
    </row>
    <row r="1253" spans="1:6" ht="19.95" customHeight="1" x14ac:dyDescent="0.25">
      <c r="A1253" s="17" t="s">
        <v>29</v>
      </c>
      <c r="B1253" s="18" t="s">
        <v>14</v>
      </c>
      <c r="C1253" s="18">
        <v>0.18673679388487299</v>
      </c>
      <c r="D1253" s="18">
        <v>2004</v>
      </c>
      <c r="E1253" s="19"/>
      <c r="F1253" s="19"/>
    </row>
    <row r="1254" spans="1:6" ht="19.95" customHeight="1" x14ac:dyDescent="0.25">
      <c r="A1254" s="17" t="s">
        <v>31</v>
      </c>
      <c r="B1254" s="18" t="s">
        <v>14</v>
      </c>
      <c r="C1254" s="18">
        <v>16.682695263521701</v>
      </c>
      <c r="D1254" s="18">
        <v>2004</v>
      </c>
      <c r="E1254" s="19"/>
      <c r="F1254" s="19"/>
    </row>
    <row r="1255" spans="1:6" ht="19.95" customHeight="1" x14ac:dyDescent="0.25">
      <c r="A1255" s="17" t="s">
        <v>32</v>
      </c>
      <c r="B1255" s="18" t="s">
        <v>14</v>
      </c>
      <c r="C1255" s="18">
        <v>23.059855739825601</v>
      </c>
      <c r="D1255" s="18">
        <v>2004</v>
      </c>
      <c r="E1255" s="19"/>
      <c r="F1255" s="19"/>
    </row>
    <row r="1256" spans="1:6" ht="19.95" customHeight="1" x14ac:dyDescent="0.25">
      <c r="A1256" s="17" t="s">
        <v>33</v>
      </c>
      <c r="B1256" s="18" t="s">
        <v>14</v>
      </c>
      <c r="C1256" s="18">
        <v>17.364273313492099</v>
      </c>
      <c r="D1256" s="18">
        <v>2004</v>
      </c>
      <c r="E1256" s="19"/>
      <c r="F1256" s="19"/>
    </row>
    <row r="1257" spans="1:6" ht="19.95" customHeight="1" x14ac:dyDescent="0.25">
      <c r="A1257" s="17" t="s">
        <v>34</v>
      </c>
      <c r="B1257" s="18" t="s">
        <v>14</v>
      </c>
      <c r="C1257" s="18">
        <v>11.1232693868449</v>
      </c>
      <c r="D1257" s="18">
        <v>2004</v>
      </c>
      <c r="E1257" s="19"/>
      <c r="F1257" s="19"/>
    </row>
    <row r="1258" spans="1:6" ht="19.95" customHeight="1" x14ac:dyDescent="0.25">
      <c r="A1258" s="17" t="s">
        <v>35</v>
      </c>
      <c r="B1258" s="18" t="s">
        <v>14</v>
      </c>
      <c r="C1258" s="18"/>
      <c r="D1258" s="18">
        <v>2004</v>
      </c>
      <c r="E1258" s="19"/>
      <c r="F1258" s="19"/>
    </row>
    <row r="1259" spans="1:6" ht="19.95" customHeight="1" x14ac:dyDescent="0.25">
      <c r="A1259" s="17" t="s">
        <v>2</v>
      </c>
      <c r="B1259" s="18" t="s">
        <v>14</v>
      </c>
      <c r="C1259" s="18">
        <v>35.330902732441203</v>
      </c>
      <c r="D1259" s="18">
        <v>2004</v>
      </c>
      <c r="E1259" s="19"/>
      <c r="F1259" s="19"/>
    </row>
    <row r="1260" spans="1:6" ht="19.95" customHeight="1" x14ac:dyDescent="0.25">
      <c r="A1260" s="17" t="s">
        <v>36</v>
      </c>
      <c r="B1260" s="18" t="s">
        <v>14</v>
      </c>
      <c r="C1260" s="18">
        <v>58.314112967673097</v>
      </c>
      <c r="D1260" s="18">
        <v>2004</v>
      </c>
      <c r="E1260" s="19"/>
      <c r="F1260" s="19"/>
    </row>
    <row r="1261" spans="1:6" ht="19.95" customHeight="1" x14ac:dyDescent="0.25">
      <c r="A1261" s="17" t="s">
        <v>37</v>
      </c>
      <c r="B1261" s="18" t="s">
        <v>14</v>
      </c>
      <c r="C1261" s="18">
        <v>19.6512752447967</v>
      </c>
      <c r="D1261" s="18">
        <v>2004</v>
      </c>
      <c r="E1261" s="19"/>
      <c r="F1261" s="19"/>
    </row>
    <row r="1262" spans="1:6" ht="19.95" customHeight="1" x14ac:dyDescent="0.25">
      <c r="A1262" s="17" t="s">
        <v>38</v>
      </c>
      <c r="B1262" s="18" t="s">
        <v>14</v>
      </c>
      <c r="C1262" s="18">
        <v>12.696880748841799</v>
      </c>
      <c r="D1262" s="18">
        <v>2004</v>
      </c>
      <c r="E1262" s="19"/>
      <c r="F1262" s="19"/>
    </row>
    <row r="1263" spans="1:6" ht="19.95" customHeight="1" x14ac:dyDescent="0.25">
      <c r="A1263" s="17" t="s">
        <v>39</v>
      </c>
      <c r="B1263" s="18" t="s">
        <v>14</v>
      </c>
      <c r="C1263" s="18">
        <v>33.539982251071898</v>
      </c>
      <c r="D1263" s="18">
        <v>2004</v>
      </c>
      <c r="E1263" s="19"/>
      <c r="F1263" s="19"/>
    </row>
    <row r="1264" spans="1:6" ht="19.95" customHeight="1" x14ac:dyDescent="0.25">
      <c r="A1264" s="17" t="s">
        <v>40</v>
      </c>
      <c r="B1264" s="18" t="s">
        <v>14</v>
      </c>
      <c r="C1264" s="18">
        <v>34.469799013310997</v>
      </c>
      <c r="D1264" s="18">
        <v>2004</v>
      </c>
      <c r="E1264" s="19"/>
      <c r="F1264" s="19"/>
    </row>
    <row r="1265" spans="1:6" ht="19.95" customHeight="1" x14ac:dyDescent="0.25">
      <c r="A1265" s="17" t="s">
        <v>10</v>
      </c>
      <c r="B1265" s="18" t="s">
        <v>14</v>
      </c>
      <c r="C1265" s="18">
        <v>8.2024991724594507</v>
      </c>
      <c r="D1265" s="18">
        <v>2005</v>
      </c>
      <c r="E1265" s="19"/>
      <c r="F1265" s="19"/>
    </row>
    <row r="1266" spans="1:6" ht="19.95" customHeight="1" x14ac:dyDescent="0.25">
      <c r="A1266" s="17" t="s">
        <v>13</v>
      </c>
      <c r="B1266" s="18" t="s">
        <v>14</v>
      </c>
      <c r="C1266" s="18">
        <v>24.597979150827499</v>
      </c>
      <c r="D1266" s="18">
        <v>2005</v>
      </c>
      <c r="E1266" s="19"/>
      <c r="F1266" s="19"/>
    </row>
    <row r="1267" spans="1:6" ht="19.95" customHeight="1" x14ac:dyDescent="0.25">
      <c r="A1267" s="17" t="s">
        <v>16</v>
      </c>
      <c r="B1267" s="18" t="s">
        <v>14</v>
      </c>
      <c r="C1267" s="18">
        <v>47.977274188704001</v>
      </c>
      <c r="D1267" s="18">
        <v>2005</v>
      </c>
      <c r="E1267" s="19"/>
      <c r="F1267" s="19"/>
    </row>
    <row r="1268" spans="1:6" ht="19.95" customHeight="1" x14ac:dyDescent="0.25">
      <c r="A1268" s="17" t="s">
        <v>15</v>
      </c>
      <c r="B1268" s="18" t="s">
        <v>14</v>
      </c>
      <c r="C1268" s="18">
        <v>15.012359697669501</v>
      </c>
      <c r="D1268" s="18">
        <v>2005</v>
      </c>
      <c r="E1268" s="19"/>
      <c r="F1268" s="19"/>
    </row>
    <row r="1269" spans="1:6" ht="19.95" customHeight="1" x14ac:dyDescent="0.25">
      <c r="A1269" s="17" t="s">
        <v>17</v>
      </c>
      <c r="B1269" s="18" t="s">
        <v>14</v>
      </c>
      <c r="C1269" s="18"/>
      <c r="D1269" s="18">
        <v>2005</v>
      </c>
      <c r="E1269" s="19"/>
      <c r="F1269" s="19"/>
    </row>
    <row r="1270" spans="1:6" ht="19.95" customHeight="1" x14ac:dyDescent="0.25">
      <c r="A1270" s="17" t="s">
        <v>18</v>
      </c>
      <c r="B1270" s="18" t="s">
        <v>14</v>
      </c>
      <c r="C1270" s="18"/>
      <c r="D1270" s="18">
        <v>2005</v>
      </c>
      <c r="E1270" s="19"/>
      <c r="F1270" s="19"/>
    </row>
    <row r="1271" spans="1:6" ht="19.95" customHeight="1" x14ac:dyDescent="0.25">
      <c r="A1271" s="17" t="s">
        <v>19</v>
      </c>
      <c r="B1271" s="18" t="s">
        <v>14</v>
      </c>
      <c r="C1271" s="18">
        <v>34.785653087248001</v>
      </c>
      <c r="D1271" s="18">
        <v>2005</v>
      </c>
      <c r="E1271" s="19"/>
      <c r="F1271" s="19"/>
    </row>
    <row r="1272" spans="1:6" ht="19.95" customHeight="1" x14ac:dyDescent="0.25">
      <c r="A1272" s="17" t="s">
        <v>20</v>
      </c>
      <c r="B1272" s="18" t="s">
        <v>14</v>
      </c>
      <c r="C1272" s="18">
        <v>14.0399321569911</v>
      </c>
      <c r="D1272" s="18">
        <v>2005</v>
      </c>
      <c r="E1272" s="19"/>
      <c r="F1272" s="19"/>
    </row>
    <row r="1273" spans="1:6" ht="19.95" customHeight="1" x14ac:dyDescent="0.25">
      <c r="A1273" s="17" t="s">
        <v>21</v>
      </c>
      <c r="B1273" s="18" t="s">
        <v>14</v>
      </c>
      <c r="C1273" s="18">
        <v>28.5090302142012</v>
      </c>
      <c r="D1273" s="18">
        <v>2005</v>
      </c>
      <c r="E1273" s="19"/>
      <c r="F1273" s="19"/>
    </row>
    <row r="1274" spans="1:6" ht="19.95" customHeight="1" x14ac:dyDescent="0.25">
      <c r="A1274" s="17" t="s">
        <v>22</v>
      </c>
      <c r="B1274" s="18" t="s">
        <v>14</v>
      </c>
      <c r="C1274" s="18"/>
      <c r="D1274" s="18">
        <v>2005</v>
      </c>
      <c r="E1274" s="19"/>
      <c r="F1274" s="19"/>
    </row>
    <row r="1275" spans="1:6" ht="19.95" customHeight="1" x14ac:dyDescent="0.25">
      <c r="A1275" s="17" t="s">
        <v>23</v>
      </c>
      <c r="B1275" s="18" t="s">
        <v>14</v>
      </c>
      <c r="C1275" s="18">
        <v>59.090909090909101</v>
      </c>
      <c r="D1275" s="18">
        <v>2005</v>
      </c>
      <c r="E1275" s="19"/>
      <c r="F1275" s="19"/>
    </row>
    <row r="1276" spans="1:6" ht="19.95" customHeight="1" x14ac:dyDescent="0.25">
      <c r="A1276" s="17" t="s">
        <v>24</v>
      </c>
      <c r="B1276" s="18" t="s">
        <v>14</v>
      </c>
      <c r="C1276" s="18">
        <v>28.212391969559199</v>
      </c>
      <c r="D1276" s="18">
        <v>2005</v>
      </c>
      <c r="E1276" s="19"/>
      <c r="F1276" s="19"/>
    </row>
    <row r="1277" spans="1:6" ht="19.95" customHeight="1" x14ac:dyDescent="0.25">
      <c r="A1277" s="17" t="s">
        <v>25</v>
      </c>
      <c r="B1277" s="18" t="s">
        <v>14</v>
      </c>
      <c r="C1277" s="18">
        <v>18.121155507343499</v>
      </c>
      <c r="D1277" s="18">
        <v>2005</v>
      </c>
      <c r="E1277" s="19"/>
      <c r="F1277" s="19"/>
    </row>
    <row r="1278" spans="1:6" ht="19.95" customHeight="1" x14ac:dyDescent="0.25">
      <c r="A1278" s="17" t="s">
        <v>26</v>
      </c>
      <c r="B1278" s="18" t="s">
        <v>14</v>
      </c>
      <c r="C1278" s="18">
        <v>22.988869341890201</v>
      </c>
      <c r="D1278" s="18">
        <v>2005</v>
      </c>
      <c r="E1278" s="19"/>
      <c r="F1278" s="19"/>
    </row>
    <row r="1279" spans="1:6" ht="19.95" customHeight="1" x14ac:dyDescent="0.25">
      <c r="A1279" s="17" t="s">
        <v>27</v>
      </c>
      <c r="B1279" s="18" t="s">
        <v>14</v>
      </c>
      <c r="C1279" s="18">
        <v>51.144304416867101</v>
      </c>
      <c r="D1279" s="18">
        <v>2005</v>
      </c>
      <c r="E1279" s="19"/>
      <c r="F1279" s="19"/>
    </row>
    <row r="1280" spans="1:6" ht="19.95" customHeight="1" x14ac:dyDescent="0.25">
      <c r="A1280" s="17" t="s">
        <v>28</v>
      </c>
      <c r="B1280" s="18" t="s">
        <v>14</v>
      </c>
      <c r="C1280" s="18">
        <v>30.190457444004899</v>
      </c>
      <c r="D1280" s="18">
        <v>2005</v>
      </c>
      <c r="E1280" s="19"/>
      <c r="F1280" s="19"/>
    </row>
    <row r="1281" spans="1:6" ht="19.95" customHeight="1" x14ac:dyDescent="0.25">
      <c r="A1281" s="17" t="s">
        <v>29</v>
      </c>
      <c r="B1281" s="18" t="s">
        <v>14</v>
      </c>
      <c r="C1281" s="18">
        <v>0.17845542977487</v>
      </c>
      <c r="D1281" s="18">
        <v>2005</v>
      </c>
      <c r="E1281" s="19"/>
      <c r="F1281" s="19"/>
    </row>
    <row r="1282" spans="1:6" ht="19.95" customHeight="1" x14ac:dyDescent="0.25">
      <c r="A1282" s="17" t="s">
        <v>31</v>
      </c>
      <c r="B1282" s="18" t="s">
        <v>14</v>
      </c>
      <c r="C1282" s="18">
        <v>14.5836867929394</v>
      </c>
      <c r="D1282" s="18">
        <v>2005</v>
      </c>
      <c r="E1282" s="19"/>
      <c r="F1282" s="19"/>
    </row>
    <row r="1283" spans="1:6" ht="19.95" customHeight="1" x14ac:dyDescent="0.25">
      <c r="A1283" s="17" t="s">
        <v>32</v>
      </c>
      <c r="B1283" s="18" t="s">
        <v>14</v>
      </c>
      <c r="C1283" s="18">
        <v>24.3821308946094</v>
      </c>
      <c r="D1283" s="18">
        <v>2005</v>
      </c>
      <c r="E1283" s="19"/>
      <c r="F1283" s="19"/>
    </row>
    <row r="1284" spans="1:6" ht="19.95" customHeight="1" x14ac:dyDescent="0.25">
      <c r="A1284" s="17" t="s">
        <v>33</v>
      </c>
      <c r="B1284" s="18" t="s">
        <v>14</v>
      </c>
      <c r="C1284" s="18">
        <v>16.595289794554901</v>
      </c>
      <c r="D1284" s="18">
        <v>2005</v>
      </c>
      <c r="E1284" s="19"/>
      <c r="F1284" s="19"/>
    </row>
    <row r="1285" spans="1:6" ht="19.95" customHeight="1" x14ac:dyDescent="0.25">
      <c r="A1285" s="17" t="s">
        <v>34</v>
      </c>
      <c r="B1285" s="18" t="s">
        <v>14</v>
      </c>
      <c r="C1285" s="18">
        <v>11.4261186320026</v>
      </c>
      <c r="D1285" s="18">
        <v>2005</v>
      </c>
      <c r="E1285" s="19"/>
      <c r="F1285" s="19"/>
    </row>
    <row r="1286" spans="1:6" ht="19.95" customHeight="1" x14ac:dyDescent="0.25">
      <c r="A1286" s="17" t="s">
        <v>35</v>
      </c>
      <c r="B1286" s="18" t="s">
        <v>14</v>
      </c>
      <c r="C1286" s="18"/>
      <c r="D1286" s="18">
        <v>2005</v>
      </c>
      <c r="E1286" s="19"/>
      <c r="F1286" s="19"/>
    </row>
    <row r="1287" spans="1:6" ht="19.95" customHeight="1" x14ac:dyDescent="0.25">
      <c r="A1287" s="17" t="s">
        <v>2</v>
      </c>
      <c r="B1287" s="18" t="s">
        <v>14</v>
      </c>
      <c r="C1287" s="18">
        <v>32.336872987489301</v>
      </c>
      <c r="D1287" s="18">
        <v>2005</v>
      </c>
      <c r="E1287" s="19"/>
      <c r="F1287" s="19"/>
    </row>
    <row r="1288" spans="1:6" ht="19.95" customHeight="1" x14ac:dyDescent="0.25">
      <c r="A1288" s="17" t="s">
        <v>36</v>
      </c>
      <c r="B1288" s="18" t="s">
        <v>14</v>
      </c>
      <c r="C1288" s="18">
        <v>26.994334285167799</v>
      </c>
      <c r="D1288" s="18">
        <v>2005</v>
      </c>
      <c r="E1288" s="19"/>
      <c r="F1288" s="19"/>
    </row>
    <row r="1289" spans="1:6" ht="19.95" customHeight="1" x14ac:dyDescent="0.25">
      <c r="A1289" s="17" t="s">
        <v>37</v>
      </c>
      <c r="B1289" s="18" t="s">
        <v>14</v>
      </c>
      <c r="C1289" s="18">
        <v>16.914313671501901</v>
      </c>
      <c r="D1289" s="18">
        <v>2005</v>
      </c>
      <c r="E1289" s="19"/>
      <c r="F1289" s="19"/>
    </row>
    <row r="1290" spans="1:6" ht="19.95" customHeight="1" x14ac:dyDescent="0.25">
      <c r="A1290" s="17" t="s">
        <v>38</v>
      </c>
      <c r="B1290" s="18" t="s">
        <v>14</v>
      </c>
      <c r="C1290" s="18">
        <v>14.179699980210801</v>
      </c>
      <c r="D1290" s="18">
        <v>2005</v>
      </c>
      <c r="E1290" s="19"/>
      <c r="F1290" s="19"/>
    </row>
    <row r="1291" spans="1:6" ht="19.95" customHeight="1" x14ac:dyDescent="0.25">
      <c r="A1291" s="17" t="s">
        <v>39</v>
      </c>
      <c r="B1291" s="18" t="s">
        <v>14</v>
      </c>
      <c r="C1291" s="18">
        <v>30.610712314381299</v>
      </c>
      <c r="D1291" s="18">
        <v>2005</v>
      </c>
      <c r="E1291" s="19"/>
      <c r="F1291" s="19"/>
    </row>
    <row r="1292" spans="1:6" ht="19.95" customHeight="1" x14ac:dyDescent="0.25">
      <c r="A1292" s="17" t="s">
        <v>40</v>
      </c>
      <c r="B1292" s="18" t="s">
        <v>14</v>
      </c>
      <c r="C1292" s="18">
        <v>33.548648189558598</v>
      </c>
      <c r="D1292" s="18">
        <v>2005</v>
      </c>
      <c r="E1292" s="19"/>
      <c r="F1292" s="19"/>
    </row>
    <row r="1293" spans="1:6" ht="19.95" customHeight="1" x14ac:dyDescent="0.25">
      <c r="A1293" s="17" t="s">
        <v>10</v>
      </c>
      <c r="B1293" s="18" t="s">
        <v>14</v>
      </c>
      <c r="C1293" s="18">
        <v>7.2820493242727302</v>
      </c>
      <c r="D1293" s="18">
        <v>2006</v>
      </c>
      <c r="E1293" s="19"/>
      <c r="F1293" s="19"/>
    </row>
    <row r="1294" spans="1:6" ht="19.95" customHeight="1" x14ac:dyDescent="0.25">
      <c r="A1294" s="17" t="s">
        <v>13</v>
      </c>
      <c r="B1294" s="18" t="s">
        <v>14</v>
      </c>
      <c r="C1294" s="18">
        <v>25.638614832303102</v>
      </c>
      <c r="D1294" s="18">
        <v>2006</v>
      </c>
      <c r="E1294" s="19"/>
      <c r="F1294" s="19"/>
    </row>
    <row r="1295" spans="1:6" ht="19.95" customHeight="1" x14ac:dyDescent="0.25">
      <c r="A1295" s="17" t="s">
        <v>16</v>
      </c>
      <c r="B1295" s="18" t="s">
        <v>14</v>
      </c>
      <c r="C1295" s="18">
        <v>47.5844412158485</v>
      </c>
      <c r="D1295" s="18">
        <v>2006</v>
      </c>
      <c r="E1295" s="19"/>
      <c r="F1295" s="19"/>
    </row>
    <row r="1296" spans="1:6" ht="19.95" customHeight="1" x14ac:dyDescent="0.25">
      <c r="A1296" s="17" t="s">
        <v>15</v>
      </c>
      <c r="B1296" s="18" t="s">
        <v>14</v>
      </c>
      <c r="C1296" s="18">
        <v>14.804946503918</v>
      </c>
      <c r="D1296" s="18">
        <v>2006</v>
      </c>
      <c r="E1296" s="19"/>
      <c r="F1296" s="19"/>
    </row>
    <row r="1297" spans="1:6" ht="19.95" customHeight="1" x14ac:dyDescent="0.25">
      <c r="A1297" s="17" t="s">
        <v>17</v>
      </c>
      <c r="B1297" s="18" t="s">
        <v>14</v>
      </c>
      <c r="C1297" s="18"/>
      <c r="D1297" s="18">
        <v>2006</v>
      </c>
      <c r="E1297" s="19"/>
      <c r="F1297" s="19"/>
    </row>
    <row r="1298" spans="1:6" ht="19.95" customHeight="1" x14ac:dyDescent="0.25">
      <c r="A1298" s="17" t="s">
        <v>18</v>
      </c>
      <c r="B1298" s="18" t="s">
        <v>14</v>
      </c>
      <c r="C1298" s="18"/>
      <c r="D1298" s="18">
        <v>2006</v>
      </c>
      <c r="E1298" s="19"/>
      <c r="F1298" s="19"/>
    </row>
    <row r="1299" spans="1:6" ht="19.95" customHeight="1" x14ac:dyDescent="0.25">
      <c r="A1299" s="17" t="s">
        <v>19</v>
      </c>
      <c r="B1299" s="18" t="s">
        <v>14</v>
      </c>
      <c r="C1299" s="18">
        <v>23.8243111628192</v>
      </c>
      <c r="D1299" s="18">
        <v>2006</v>
      </c>
      <c r="E1299" s="19"/>
      <c r="F1299" s="19"/>
    </row>
    <row r="1300" spans="1:6" ht="19.95" customHeight="1" x14ac:dyDescent="0.25">
      <c r="A1300" s="17" t="s">
        <v>20</v>
      </c>
      <c r="B1300" s="18" t="s">
        <v>14</v>
      </c>
      <c r="C1300" s="18">
        <v>14.4888352321724</v>
      </c>
      <c r="D1300" s="18">
        <v>2006</v>
      </c>
      <c r="E1300" s="19"/>
      <c r="F1300" s="19"/>
    </row>
    <row r="1301" spans="1:6" ht="19.95" customHeight="1" x14ac:dyDescent="0.25">
      <c r="A1301" s="17" t="s">
        <v>21</v>
      </c>
      <c r="B1301" s="18" t="s">
        <v>14</v>
      </c>
      <c r="C1301" s="18">
        <v>22.984939644186099</v>
      </c>
      <c r="D1301" s="18">
        <v>2006</v>
      </c>
      <c r="E1301" s="19"/>
      <c r="F1301" s="19"/>
    </row>
    <row r="1302" spans="1:6" ht="19.95" customHeight="1" x14ac:dyDescent="0.25">
      <c r="A1302" s="17" t="s">
        <v>22</v>
      </c>
      <c r="B1302" s="18" t="s">
        <v>14</v>
      </c>
      <c r="C1302" s="18">
        <v>12.624973082720601</v>
      </c>
      <c r="D1302" s="18">
        <v>2006</v>
      </c>
      <c r="E1302" s="19"/>
      <c r="F1302" s="19"/>
    </row>
    <row r="1303" spans="1:6" ht="19.95" customHeight="1" x14ac:dyDescent="0.25">
      <c r="A1303" s="17" t="s">
        <v>23</v>
      </c>
      <c r="B1303" s="18" t="s">
        <v>14</v>
      </c>
      <c r="C1303" s="18">
        <v>82.446386257346305</v>
      </c>
      <c r="D1303" s="18">
        <v>2006</v>
      </c>
      <c r="E1303" s="19"/>
      <c r="F1303" s="19"/>
    </row>
    <row r="1304" spans="1:6" ht="19.95" customHeight="1" x14ac:dyDescent="0.25">
      <c r="A1304" s="17" t="s">
        <v>24</v>
      </c>
      <c r="B1304" s="18" t="s">
        <v>14</v>
      </c>
      <c r="C1304" s="18">
        <v>29.728498171923398</v>
      </c>
      <c r="D1304" s="18">
        <v>2006</v>
      </c>
      <c r="E1304" s="19"/>
      <c r="F1304" s="19"/>
    </row>
    <row r="1305" spans="1:6" ht="19.95" customHeight="1" x14ac:dyDescent="0.25">
      <c r="A1305" s="17" t="s">
        <v>25</v>
      </c>
      <c r="B1305" s="18" t="s">
        <v>14</v>
      </c>
      <c r="C1305" s="18">
        <v>17.633835036062401</v>
      </c>
      <c r="D1305" s="18">
        <v>2006</v>
      </c>
      <c r="E1305" s="19"/>
      <c r="F1305" s="19"/>
    </row>
    <row r="1306" spans="1:6" ht="19.95" customHeight="1" x14ac:dyDescent="0.25">
      <c r="A1306" s="17" t="s">
        <v>26</v>
      </c>
      <c r="B1306" s="18" t="s">
        <v>14</v>
      </c>
      <c r="C1306" s="18">
        <v>28.428945099238099</v>
      </c>
      <c r="D1306" s="18">
        <v>2006</v>
      </c>
      <c r="E1306" s="19"/>
      <c r="F1306" s="19"/>
    </row>
    <row r="1307" spans="1:6" ht="19.95" customHeight="1" x14ac:dyDescent="0.25">
      <c r="A1307" s="17" t="s">
        <v>27</v>
      </c>
      <c r="B1307" s="18" t="s">
        <v>14</v>
      </c>
      <c r="C1307" s="18">
        <v>45.255965747432001</v>
      </c>
      <c r="D1307" s="18">
        <v>2006</v>
      </c>
      <c r="E1307" s="19"/>
      <c r="F1307" s="19"/>
    </row>
    <row r="1308" spans="1:6" ht="19.95" customHeight="1" x14ac:dyDescent="0.25">
      <c r="A1308" s="17" t="s">
        <v>28</v>
      </c>
      <c r="B1308" s="18" t="s">
        <v>14</v>
      </c>
      <c r="C1308" s="18">
        <v>30.216878733606201</v>
      </c>
      <c r="D1308" s="18">
        <v>2006</v>
      </c>
      <c r="E1308" s="19"/>
      <c r="F1308" s="19"/>
    </row>
    <row r="1309" spans="1:6" ht="19.95" customHeight="1" x14ac:dyDescent="0.25">
      <c r="A1309" s="17" t="s">
        <v>29</v>
      </c>
      <c r="B1309" s="18" t="s">
        <v>14</v>
      </c>
      <c r="C1309" s="18">
        <v>0.157094763445779</v>
      </c>
      <c r="D1309" s="18">
        <v>2006</v>
      </c>
      <c r="E1309" s="19"/>
      <c r="F1309" s="19"/>
    </row>
    <row r="1310" spans="1:6" ht="19.95" customHeight="1" x14ac:dyDescent="0.25">
      <c r="A1310" s="17" t="s">
        <v>31</v>
      </c>
      <c r="B1310" s="18" t="s">
        <v>14</v>
      </c>
      <c r="C1310" s="18">
        <v>13.4465909577363</v>
      </c>
      <c r="D1310" s="18">
        <v>2006</v>
      </c>
      <c r="E1310" s="19"/>
      <c r="F1310" s="19"/>
    </row>
    <row r="1311" spans="1:6" ht="19.95" customHeight="1" x14ac:dyDescent="0.25">
      <c r="A1311" s="17" t="s">
        <v>32</v>
      </c>
      <c r="B1311" s="18" t="s">
        <v>14</v>
      </c>
      <c r="C1311" s="18">
        <v>31.2666288650856</v>
      </c>
      <c r="D1311" s="18">
        <v>2006</v>
      </c>
      <c r="E1311" s="19"/>
      <c r="F1311" s="19"/>
    </row>
    <row r="1312" spans="1:6" ht="19.95" customHeight="1" x14ac:dyDescent="0.25">
      <c r="A1312" s="17" t="s">
        <v>33</v>
      </c>
      <c r="B1312" s="18" t="s">
        <v>14</v>
      </c>
      <c r="C1312" s="18">
        <v>16.412458740595699</v>
      </c>
      <c r="D1312" s="18">
        <v>2006</v>
      </c>
      <c r="E1312" s="19"/>
      <c r="F1312" s="19"/>
    </row>
    <row r="1313" spans="1:6" ht="19.95" customHeight="1" x14ac:dyDescent="0.25">
      <c r="A1313" s="17" t="s">
        <v>34</v>
      </c>
      <c r="B1313" s="18" t="s">
        <v>14</v>
      </c>
      <c r="C1313" s="18">
        <v>12.1499424553091</v>
      </c>
      <c r="D1313" s="18">
        <v>2006</v>
      </c>
      <c r="E1313" s="19"/>
      <c r="F1313" s="19"/>
    </row>
    <row r="1314" spans="1:6" ht="19.95" customHeight="1" x14ac:dyDescent="0.25">
      <c r="A1314" s="17" t="s">
        <v>35</v>
      </c>
      <c r="B1314" s="18" t="s">
        <v>14</v>
      </c>
      <c r="C1314" s="18"/>
      <c r="D1314" s="18">
        <v>2006</v>
      </c>
      <c r="E1314" s="19"/>
      <c r="F1314" s="19"/>
    </row>
    <row r="1315" spans="1:6" ht="19.95" customHeight="1" x14ac:dyDescent="0.25">
      <c r="A1315" s="17" t="s">
        <v>2</v>
      </c>
      <c r="B1315" s="18" t="s">
        <v>14</v>
      </c>
      <c r="C1315" s="18">
        <v>30.128527093797199</v>
      </c>
      <c r="D1315" s="18">
        <v>2006</v>
      </c>
      <c r="E1315" s="19"/>
      <c r="F1315" s="19"/>
    </row>
    <row r="1316" spans="1:6" ht="19.95" customHeight="1" x14ac:dyDescent="0.25">
      <c r="A1316" s="17" t="s">
        <v>36</v>
      </c>
      <c r="B1316" s="18" t="s">
        <v>14</v>
      </c>
      <c r="C1316" s="18">
        <v>23.191231738331702</v>
      </c>
      <c r="D1316" s="18">
        <v>2006</v>
      </c>
      <c r="E1316" s="19"/>
      <c r="F1316" s="19"/>
    </row>
    <row r="1317" spans="1:6" ht="19.95" customHeight="1" x14ac:dyDescent="0.25">
      <c r="A1317" s="17" t="s">
        <v>37</v>
      </c>
      <c r="B1317" s="18" t="s">
        <v>14</v>
      </c>
      <c r="C1317" s="18">
        <v>17.100833958327399</v>
      </c>
      <c r="D1317" s="18">
        <v>2006</v>
      </c>
      <c r="E1317" s="19"/>
      <c r="F1317" s="19"/>
    </row>
    <row r="1318" spans="1:6" ht="19.95" customHeight="1" x14ac:dyDescent="0.25">
      <c r="A1318" s="17" t="s">
        <v>38</v>
      </c>
      <c r="B1318" s="18" t="s">
        <v>14</v>
      </c>
      <c r="C1318" s="18">
        <v>15.2754133833713</v>
      </c>
      <c r="D1318" s="18">
        <v>2006</v>
      </c>
      <c r="E1318" s="19"/>
      <c r="F1318" s="19"/>
    </row>
    <row r="1319" spans="1:6" ht="19.95" customHeight="1" x14ac:dyDescent="0.25">
      <c r="A1319" s="17" t="s">
        <v>39</v>
      </c>
      <c r="B1319" s="18" t="s">
        <v>14</v>
      </c>
      <c r="C1319" s="18">
        <v>32.592958687188798</v>
      </c>
      <c r="D1319" s="18">
        <v>2006</v>
      </c>
      <c r="E1319" s="19"/>
      <c r="F1319" s="19"/>
    </row>
    <row r="1320" spans="1:6" ht="19.95" customHeight="1" x14ac:dyDescent="0.25">
      <c r="A1320" s="17" t="s">
        <v>40</v>
      </c>
      <c r="B1320" s="18" t="s">
        <v>14</v>
      </c>
      <c r="C1320" s="18">
        <v>35.956168527450899</v>
      </c>
      <c r="D1320" s="18">
        <v>2006</v>
      </c>
      <c r="E1320" s="19"/>
      <c r="F1320" s="19"/>
    </row>
    <row r="1321" spans="1:6" ht="19.95" customHeight="1" x14ac:dyDescent="0.25">
      <c r="A1321" s="17" t="s">
        <v>10</v>
      </c>
      <c r="B1321" s="18" t="s">
        <v>14</v>
      </c>
      <c r="C1321" s="18">
        <v>7.2584690886783401</v>
      </c>
      <c r="D1321" s="18">
        <v>2007</v>
      </c>
      <c r="E1321" s="19"/>
      <c r="F1321" s="19"/>
    </row>
    <row r="1322" spans="1:6" ht="19.95" customHeight="1" x14ac:dyDescent="0.25">
      <c r="A1322" s="17" t="s">
        <v>13</v>
      </c>
      <c r="B1322" s="18" t="s">
        <v>14</v>
      </c>
      <c r="C1322" s="18">
        <v>28.885404502632699</v>
      </c>
      <c r="D1322" s="18">
        <v>2007</v>
      </c>
      <c r="E1322" s="19"/>
      <c r="F1322" s="19"/>
    </row>
    <row r="1323" spans="1:6" ht="19.95" customHeight="1" x14ac:dyDescent="0.25">
      <c r="A1323" s="17" t="s">
        <v>16</v>
      </c>
      <c r="B1323" s="18" t="s">
        <v>14</v>
      </c>
      <c r="C1323" s="18">
        <v>44.503493857755601</v>
      </c>
      <c r="D1323" s="18">
        <v>2007</v>
      </c>
      <c r="E1323" s="19"/>
      <c r="F1323" s="19"/>
    </row>
    <row r="1324" spans="1:6" ht="19.95" customHeight="1" x14ac:dyDescent="0.25">
      <c r="A1324" s="17" t="s">
        <v>15</v>
      </c>
      <c r="B1324" s="18" t="s">
        <v>14</v>
      </c>
      <c r="C1324" s="18">
        <v>15.4578850698813</v>
      </c>
      <c r="D1324" s="18">
        <v>2007</v>
      </c>
      <c r="E1324" s="19"/>
      <c r="F1324" s="19"/>
    </row>
    <row r="1325" spans="1:6" ht="19.95" customHeight="1" x14ac:dyDescent="0.25">
      <c r="A1325" s="17" t="s">
        <v>17</v>
      </c>
      <c r="B1325" s="18" t="s">
        <v>14</v>
      </c>
      <c r="C1325" s="18"/>
      <c r="D1325" s="18">
        <v>2007</v>
      </c>
      <c r="E1325" s="19"/>
      <c r="F1325" s="19"/>
    </row>
    <row r="1326" spans="1:6" ht="19.95" customHeight="1" x14ac:dyDescent="0.25">
      <c r="A1326" s="17" t="s">
        <v>18</v>
      </c>
      <c r="B1326" s="18" t="s">
        <v>14</v>
      </c>
      <c r="C1326" s="18"/>
      <c r="D1326" s="18">
        <v>2007</v>
      </c>
      <c r="E1326" s="19"/>
      <c r="F1326" s="19"/>
    </row>
    <row r="1327" spans="1:6" ht="19.95" customHeight="1" x14ac:dyDescent="0.25">
      <c r="A1327" s="17" t="s">
        <v>19</v>
      </c>
      <c r="B1327" s="18" t="s">
        <v>14</v>
      </c>
      <c r="C1327" s="18">
        <v>23.5509581400425</v>
      </c>
      <c r="D1327" s="18">
        <v>2007</v>
      </c>
      <c r="E1327" s="19"/>
      <c r="F1327" s="19"/>
    </row>
    <row r="1328" spans="1:6" ht="19.95" customHeight="1" x14ac:dyDescent="0.25">
      <c r="A1328" s="17" t="s">
        <v>20</v>
      </c>
      <c r="B1328" s="18" t="s">
        <v>14</v>
      </c>
      <c r="C1328" s="18">
        <v>13.421925400935899</v>
      </c>
      <c r="D1328" s="18">
        <v>2007</v>
      </c>
      <c r="E1328" s="19"/>
      <c r="F1328" s="19"/>
    </row>
    <row r="1329" spans="1:6" ht="19.95" customHeight="1" x14ac:dyDescent="0.25">
      <c r="A1329" s="17" t="s">
        <v>21</v>
      </c>
      <c r="B1329" s="18" t="s">
        <v>14</v>
      </c>
      <c r="C1329" s="18">
        <v>21.918991293369899</v>
      </c>
      <c r="D1329" s="18">
        <v>2007</v>
      </c>
      <c r="E1329" s="19"/>
      <c r="F1329" s="19"/>
    </row>
    <row r="1330" spans="1:6" ht="19.95" customHeight="1" x14ac:dyDescent="0.25">
      <c r="A1330" s="17" t="s">
        <v>22</v>
      </c>
      <c r="B1330" s="18" t="s">
        <v>14</v>
      </c>
      <c r="C1330" s="18">
        <v>15.478648694568699</v>
      </c>
      <c r="D1330" s="18">
        <v>2007</v>
      </c>
      <c r="E1330" s="19"/>
      <c r="F1330" s="19"/>
    </row>
    <row r="1331" spans="1:6" ht="19.95" customHeight="1" x14ac:dyDescent="0.25">
      <c r="A1331" s="17" t="s">
        <v>23</v>
      </c>
      <c r="B1331" s="18" t="s">
        <v>14</v>
      </c>
      <c r="C1331" s="18">
        <v>74.963411360231405</v>
      </c>
      <c r="D1331" s="18">
        <v>2007</v>
      </c>
      <c r="E1331" s="19"/>
      <c r="F1331" s="19"/>
    </row>
    <row r="1332" spans="1:6" ht="19.95" customHeight="1" x14ac:dyDescent="0.25">
      <c r="A1332" s="17" t="s">
        <v>24</v>
      </c>
      <c r="B1332" s="18" t="s">
        <v>14</v>
      </c>
      <c r="C1332" s="18">
        <v>30.323654742471</v>
      </c>
      <c r="D1332" s="18">
        <v>2007</v>
      </c>
      <c r="E1332" s="19"/>
      <c r="F1332" s="19"/>
    </row>
    <row r="1333" spans="1:6" ht="19.95" customHeight="1" x14ac:dyDescent="0.25">
      <c r="A1333" s="17" t="s">
        <v>25</v>
      </c>
      <c r="B1333" s="18" t="s">
        <v>14</v>
      </c>
      <c r="C1333" s="18">
        <v>23.3114453084264</v>
      </c>
      <c r="D1333" s="18">
        <v>2007</v>
      </c>
      <c r="E1333" s="19"/>
      <c r="F1333" s="19"/>
    </row>
    <row r="1334" spans="1:6" ht="19.95" customHeight="1" x14ac:dyDescent="0.25">
      <c r="A1334" s="17" t="s">
        <v>26</v>
      </c>
      <c r="B1334" s="18" t="s">
        <v>14</v>
      </c>
      <c r="C1334" s="18">
        <v>24.152111150700499</v>
      </c>
      <c r="D1334" s="18">
        <v>2007</v>
      </c>
      <c r="E1334" s="19"/>
      <c r="F1334" s="19"/>
    </row>
    <row r="1335" spans="1:6" ht="19.95" customHeight="1" x14ac:dyDescent="0.25">
      <c r="A1335" s="17" t="s">
        <v>27</v>
      </c>
      <c r="B1335" s="18" t="s">
        <v>14</v>
      </c>
      <c r="C1335" s="18">
        <v>47.452462232945898</v>
      </c>
      <c r="D1335" s="18">
        <v>2007</v>
      </c>
      <c r="E1335" s="19"/>
      <c r="F1335" s="19"/>
    </row>
    <row r="1336" spans="1:6" ht="19.95" customHeight="1" x14ac:dyDescent="0.25">
      <c r="A1336" s="17" t="s">
        <v>28</v>
      </c>
      <c r="B1336" s="18" t="s">
        <v>14</v>
      </c>
      <c r="C1336" s="18">
        <v>30.837282338301399</v>
      </c>
      <c r="D1336" s="18">
        <v>2007</v>
      </c>
      <c r="E1336" s="19"/>
      <c r="F1336" s="19"/>
    </row>
    <row r="1337" spans="1:6" ht="19.95" customHeight="1" x14ac:dyDescent="0.25">
      <c r="A1337" s="17" t="s">
        <v>29</v>
      </c>
      <c r="B1337" s="18" t="s">
        <v>14</v>
      </c>
      <c r="C1337" s="18">
        <v>0.13818068336634301</v>
      </c>
      <c r="D1337" s="18">
        <v>2007</v>
      </c>
      <c r="E1337" s="19"/>
      <c r="F1337" s="19"/>
    </row>
    <row r="1338" spans="1:6" ht="19.95" customHeight="1" x14ac:dyDescent="0.25">
      <c r="A1338" s="17" t="s">
        <v>31</v>
      </c>
      <c r="B1338" s="18" t="s">
        <v>14</v>
      </c>
      <c r="C1338" s="18">
        <v>12.855664876406101</v>
      </c>
      <c r="D1338" s="18">
        <v>2007</v>
      </c>
      <c r="E1338" s="19"/>
      <c r="F1338" s="19"/>
    </row>
    <row r="1339" spans="1:6" ht="19.95" customHeight="1" x14ac:dyDescent="0.25">
      <c r="A1339" s="17" t="s">
        <v>32</v>
      </c>
      <c r="B1339" s="18" t="s">
        <v>14</v>
      </c>
      <c r="C1339" s="18">
        <v>33.063573042367402</v>
      </c>
      <c r="D1339" s="18">
        <v>2007</v>
      </c>
      <c r="E1339" s="19"/>
      <c r="F1339" s="19"/>
    </row>
    <row r="1340" spans="1:6" ht="19.95" customHeight="1" x14ac:dyDescent="0.25">
      <c r="A1340" s="17" t="s">
        <v>33</v>
      </c>
      <c r="B1340" s="18" t="s">
        <v>14</v>
      </c>
      <c r="C1340" s="18">
        <v>17.428434177335799</v>
      </c>
      <c r="D1340" s="18">
        <v>2007</v>
      </c>
      <c r="E1340" s="19"/>
      <c r="F1340" s="19"/>
    </row>
    <row r="1341" spans="1:6" ht="19.95" customHeight="1" x14ac:dyDescent="0.25">
      <c r="A1341" s="17" t="s">
        <v>34</v>
      </c>
      <c r="B1341" s="18" t="s">
        <v>14</v>
      </c>
      <c r="C1341" s="18">
        <v>15.664663719229599</v>
      </c>
      <c r="D1341" s="18">
        <v>2007</v>
      </c>
      <c r="E1341" s="19"/>
      <c r="F1341" s="19"/>
    </row>
    <row r="1342" spans="1:6" ht="19.95" customHeight="1" x14ac:dyDescent="0.25">
      <c r="A1342" s="17" t="s">
        <v>35</v>
      </c>
      <c r="B1342" s="18" t="s">
        <v>14</v>
      </c>
      <c r="C1342" s="18"/>
      <c r="D1342" s="18">
        <v>2007</v>
      </c>
      <c r="E1342" s="19"/>
      <c r="F1342" s="19"/>
    </row>
    <row r="1343" spans="1:6" ht="19.95" customHeight="1" x14ac:dyDescent="0.25">
      <c r="A1343" s="17" t="s">
        <v>2</v>
      </c>
      <c r="B1343" s="18" t="s">
        <v>14</v>
      </c>
      <c r="C1343" s="18">
        <v>29.1149996870361</v>
      </c>
      <c r="D1343" s="18">
        <v>2007</v>
      </c>
      <c r="E1343" s="19"/>
      <c r="F1343" s="19"/>
    </row>
    <row r="1344" spans="1:6" ht="19.95" customHeight="1" x14ac:dyDescent="0.25">
      <c r="A1344" s="17" t="s">
        <v>36</v>
      </c>
      <c r="B1344" s="18" t="s">
        <v>14</v>
      </c>
      <c r="C1344" s="18">
        <v>20.612993547038901</v>
      </c>
      <c r="D1344" s="18">
        <v>2007</v>
      </c>
      <c r="E1344" s="19"/>
      <c r="F1344" s="19"/>
    </row>
    <row r="1345" spans="1:6" ht="19.95" customHeight="1" x14ac:dyDescent="0.25">
      <c r="A1345" s="17" t="s">
        <v>37</v>
      </c>
      <c r="B1345" s="18" t="s">
        <v>14</v>
      </c>
      <c r="C1345" s="18">
        <v>18.919116129904602</v>
      </c>
      <c r="D1345" s="18">
        <v>2007</v>
      </c>
      <c r="E1345" s="19"/>
      <c r="F1345" s="19"/>
    </row>
    <row r="1346" spans="1:6" ht="19.95" customHeight="1" x14ac:dyDescent="0.25">
      <c r="A1346" s="17" t="s">
        <v>38</v>
      </c>
      <c r="B1346" s="18" t="s">
        <v>14</v>
      </c>
      <c r="C1346" s="18">
        <v>16.7250685272735</v>
      </c>
      <c r="D1346" s="18">
        <v>2007</v>
      </c>
      <c r="E1346" s="19"/>
      <c r="F1346" s="19"/>
    </row>
    <row r="1347" spans="1:6" ht="19.95" customHeight="1" x14ac:dyDescent="0.25">
      <c r="A1347" s="17" t="s">
        <v>39</v>
      </c>
      <c r="B1347" s="18" t="s">
        <v>14</v>
      </c>
      <c r="C1347" s="18">
        <v>33.591193205013298</v>
      </c>
      <c r="D1347" s="18">
        <v>2007</v>
      </c>
      <c r="E1347" s="19"/>
      <c r="F1347" s="19"/>
    </row>
    <row r="1348" spans="1:6" ht="19.95" customHeight="1" x14ac:dyDescent="0.25">
      <c r="A1348" s="17" t="s">
        <v>40</v>
      </c>
      <c r="B1348" s="18" t="s">
        <v>14</v>
      </c>
      <c r="C1348" s="18">
        <v>37.7853732974542</v>
      </c>
      <c r="D1348" s="18">
        <v>2007</v>
      </c>
      <c r="E1348" s="19"/>
      <c r="F1348" s="19"/>
    </row>
    <row r="1349" spans="1:6" ht="19.95" customHeight="1" x14ac:dyDescent="0.25">
      <c r="A1349" s="17" t="s">
        <v>10</v>
      </c>
      <c r="B1349" s="18" t="s">
        <v>14</v>
      </c>
      <c r="C1349" s="18">
        <v>9.4917578104558107</v>
      </c>
      <c r="D1349" s="18">
        <v>2008</v>
      </c>
      <c r="E1349" s="19"/>
      <c r="F1349" s="19"/>
    </row>
    <row r="1350" spans="1:6" ht="19.95" customHeight="1" x14ac:dyDescent="0.25">
      <c r="A1350" s="17" t="s">
        <v>13</v>
      </c>
      <c r="B1350" s="18" t="s">
        <v>14</v>
      </c>
      <c r="C1350" s="18">
        <v>29.057696145247402</v>
      </c>
      <c r="D1350" s="18">
        <v>2008</v>
      </c>
      <c r="E1350" s="19"/>
      <c r="F1350" s="19"/>
    </row>
    <row r="1351" spans="1:6" ht="19.95" customHeight="1" x14ac:dyDescent="0.25">
      <c r="A1351" s="17" t="s">
        <v>16</v>
      </c>
      <c r="B1351" s="18" t="s">
        <v>14</v>
      </c>
      <c r="C1351" s="18">
        <v>42.694505409321003</v>
      </c>
      <c r="D1351" s="18">
        <v>2008</v>
      </c>
      <c r="E1351" s="19"/>
      <c r="F1351" s="19"/>
    </row>
    <row r="1352" spans="1:6" ht="19.95" customHeight="1" x14ac:dyDescent="0.25">
      <c r="A1352" s="17" t="s">
        <v>15</v>
      </c>
      <c r="B1352" s="18" t="s">
        <v>14</v>
      </c>
      <c r="C1352" s="18">
        <v>14.170267278325801</v>
      </c>
      <c r="D1352" s="18">
        <v>2008</v>
      </c>
      <c r="E1352" s="19"/>
      <c r="F1352" s="19"/>
    </row>
    <row r="1353" spans="1:6" ht="19.95" customHeight="1" x14ac:dyDescent="0.25">
      <c r="A1353" s="17" t="s">
        <v>17</v>
      </c>
      <c r="B1353" s="18" t="s">
        <v>14</v>
      </c>
      <c r="C1353" s="18"/>
      <c r="D1353" s="18">
        <v>2008</v>
      </c>
      <c r="E1353" s="19"/>
      <c r="F1353" s="19"/>
    </row>
    <row r="1354" spans="1:6" ht="19.95" customHeight="1" x14ac:dyDescent="0.25">
      <c r="A1354" s="17" t="s">
        <v>18</v>
      </c>
      <c r="B1354" s="18" t="s">
        <v>14</v>
      </c>
      <c r="C1354" s="18"/>
      <c r="D1354" s="18">
        <v>2008</v>
      </c>
      <c r="E1354" s="19"/>
      <c r="F1354" s="19"/>
    </row>
    <row r="1355" spans="1:6" ht="19.95" customHeight="1" x14ac:dyDescent="0.25">
      <c r="A1355" s="17" t="s">
        <v>19</v>
      </c>
      <c r="B1355" s="18" t="s">
        <v>14</v>
      </c>
      <c r="C1355" s="18">
        <v>21.640464581614399</v>
      </c>
      <c r="D1355" s="18">
        <v>2008</v>
      </c>
      <c r="E1355" s="19"/>
      <c r="F1355" s="19"/>
    </row>
    <row r="1356" spans="1:6" ht="19.95" customHeight="1" x14ac:dyDescent="0.25">
      <c r="A1356" s="17" t="s">
        <v>20</v>
      </c>
      <c r="B1356" s="18" t="s">
        <v>14</v>
      </c>
      <c r="C1356" s="18">
        <v>12.721178019873101</v>
      </c>
      <c r="D1356" s="18">
        <v>2008</v>
      </c>
      <c r="E1356" s="19"/>
      <c r="F1356" s="19"/>
    </row>
    <row r="1357" spans="1:6" ht="19.95" customHeight="1" x14ac:dyDescent="0.25">
      <c r="A1357" s="17" t="s">
        <v>21</v>
      </c>
      <c r="B1357" s="18" t="s">
        <v>14</v>
      </c>
      <c r="C1357" s="18">
        <v>22.674057553226699</v>
      </c>
      <c r="D1357" s="18">
        <v>2008</v>
      </c>
      <c r="E1357" s="19"/>
      <c r="F1357" s="19"/>
    </row>
    <row r="1358" spans="1:6" ht="19.95" customHeight="1" x14ac:dyDescent="0.25">
      <c r="A1358" s="17" t="s">
        <v>22</v>
      </c>
      <c r="B1358" s="18" t="s">
        <v>14</v>
      </c>
      <c r="C1358" s="18">
        <v>15.661183973146301</v>
      </c>
      <c r="D1358" s="18">
        <v>2008</v>
      </c>
      <c r="E1358" s="19"/>
      <c r="F1358" s="19"/>
    </row>
    <row r="1359" spans="1:6" ht="19.95" customHeight="1" x14ac:dyDescent="0.25">
      <c r="A1359" s="17" t="s">
        <v>23</v>
      </c>
      <c r="B1359" s="18" t="s">
        <v>14</v>
      </c>
      <c r="C1359" s="18">
        <v>34.392490710736702</v>
      </c>
      <c r="D1359" s="18">
        <v>2008</v>
      </c>
      <c r="E1359" s="19"/>
      <c r="F1359" s="19"/>
    </row>
    <row r="1360" spans="1:6" ht="19.95" customHeight="1" x14ac:dyDescent="0.25">
      <c r="A1360" s="17" t="s">
        <v>24</v>
      </c>
      <c r="B1360" s="18" t="s">
        <v>14</v>
      </c>
      <c r="C1360" s="18">
        <v>26.5413389654451</v>
      </c>
      <c r="D1360" s="18">
        <v>2008</v>
      </c>
      <c r="E1360" s="19"/>
      <c r="F1360" s="19"/>
    </row>
    <row r="1361" spans="1:6" ht="19.95" customHeight="1" x14ac:dyDescent="0.25">
      <c r="A1361" s="17" t="s">
        <v>25</v>
      </c>
      <c r="B1361" s="18" t="s">
        <v>14</v>
      </c>
      <c r="C1361" s="18">
        <v>22.656758692724399</v>
      </c>
      <c r="D1361" s="18">
        <v>2008</v>
      </c>
      <c r="E1361" s="19"/>
      <c r="F1361" s="19"/>
    </row>
    <row r="1362" spans="1:6" ht="19.95" customHeight="1" x14ac:dyDescent="0.25">
      <c r="A1362" s="17" t="s">
        <v>26</v>
      </c>
      <c r="B1362" s="18" t="s">
        <v>14</v>
      </c>
      <c r="C1362" s="18">
        <v>25.2677563340639</v>
      </c>
      <c r="D1362" s="18">
        <v>2008</v>
      </c>
      <c r="E1362" s="19"/>
      <c r="F1362" s="19"/>
    </row>
    <row r="1363" spans="1:6" ht="19.95" customHeight="1" x14ac:dyDescent="0.25">
      <c r="A1363" s="17" t="s">
        <v>27</v>
      </c>
      <c r="B1363" s="18" t="s">
        <v>14</v>
      </c>
      <c r="C1363" s="18">
        <v>40.819043779042602</v>
      </c>
      <c r="D1363" s="18">
        <v>2008</v>
      </c>
      <c r="E1363" s="19"/>
      <c r="F1363" s="19"/>
    </row>
    <row r="1364" spans="1:6" ht="19.95" customHeight="1" x14ac:dyDescent="0.25">
      <c r="A1364" s="17" t="s">
        <v>28</v>
      </c>
      <c r="B1364" s="18" t="s">
        <v>14</v>
      </c>
      <c r="C1364" s="18">
        <v>29.337176578513201</v>
      </c>
      <c r="D1364" s="18">
        <v>2008</v>
      </c>
      <c r="E1364" s="19"/>
      <c r="F1364" s="19"/>
    </row>
    <row r="1365" spans="1:6" ht="19.95" customHeight="1" x14ac:dyDescent="0.25">
      <c r="A1365" s="17" t="s">
        <v>29</v>
      </c>
      <c r="B1365" s="18" t="s">
        <v>14</v>
      </c>
      <c r="C1365" s="18">
        <v>0.11655616706543601</v>
      </c>
      <c r="D1365" s="18">
        <v>2008</v>
      </c>
      <c r="E1365" s="19"/>
      <c r="F1365" s="19"/>
    </row>
    <row r="1366" spans="1:6" ht="19.95" customHeight="1" x14ac:dyDescent="0.25">
      <c r="A1366" s="17" t="s">
        <v>31</v>
      </c>
      <c r="B1366" s="18" t="s">
        <v>14</v>
      </c>
      <c r="C1366" s="18">
        <v>12.7758202580003</v>
      </c>
      <c r="D1366" s="18">
        <v>2008</v>
      </c>
      <c r="E1366" s="19"/>
      <c r="F1366" s="19"/>
    </row>
    <row r="1367" spans="1:6" ht="19.95" customHeight="1" x14ac:dyDescent="0.25">
      <c r="A1367" s="17" t="s">
        <v>32</v>
      </c>
      <c r="B1367" s="18" t="s">
        <v>14</v>
      </c>
      <c r="C1367" s="18">
        <v>34.470462001104799</v>
      </c>
      <c r="D1367" s="18">
        <v>2008</v>
      </c>
      <c r="E1367" s="19"/>
      <c r="F1367" s="19"/>
    </row>
    <row r="1368" spans="1:6" ht="19.95" customHeight="1" x14ac:dyDescent="0.25">
      <c r="A1368" s="17" t="s">
        <v>33</v>
      </c>
      <c r="B1368" s="18" t="s">
        <v>14</v>
      </c>
      <c r="C1368" s="18">
        <v>17.7301309484203</v>
      </c>
      <c r="D1368" s="18">
        <v>2008</v>
      </c>
      <c r="E1368" s="19"/>
      <c r="F1368" s="19"/>
    </row>
    <row r="1369" spans="1:6" ht="19.95" customHeight="1" x14ac:dyDescent="0.25">
      <c r="A1369" s="17" t="s">
        <v>34</v>
      </c>
      <c r="B1369" s="18" t="s">
        <v>14</v>
      </c>
      <c r="C1369" s="18">
        <v>12.549146517938601</v>
      </c>
      <c r="D1369" s="18">
        <v>2008</v>
      </c>
      <c r="E1369" s="19"/>
      <c r="F1369" s="19"/>
    </row>
    <row r="1370" spans="1:6" ht="19.95" customHeight="1" x14ac:dyDescent="0.25">
      <c r="A1370" s="17" t="s">
        <v>35</v>
      </c>
      <c r="B1370" s="18" t="s">
        <v>14</v>
      </c>
      <c r="C1370" s="18"/>
      <c r="D1370" s="18">
        <v>2008</v>
      </c>
      <c r="E1370" s="19"/>
      <c r="F1370" s="19"/>
    </row>
    <row r="1371" spans="1:6" ht="19.95" customHeight="1" x14ac:dyDescent="0.25">
      <c r="A1371" s="17" t="s">
        <v>2</v>
      </c>
      <c r="B1371" s="18" t="s">
        <v>14</v>
      </c>
      <c r="C1371" s="18">
        <v>24.841487098820501</v>
      </c>
      <c r="D1371" s="18">
        <v>2008</v>
      </c>
      <c r="E1371" s="19"/>
      <c r="F1371" s="19"/>
    </row>
    <row r="1372" spans="1:6" ht="19.95" customHeight="1" x14ac:dyDescent="0.25">
      <c r="A1372" s="17" t="s">
        <v>36</v>
      </c>
      <c r="B1372" s="18" t="s">
        <v>14</v>
      </c>
      <c r="C1372" s="18">
        <v>16.758165529602</v>
      </c>
      <c r="D1372" s="18">
        <v>2008</v>
      </c>
      <c r="E1372" s="19"/>
      <c r="F1372" s="19"/>
    </row>
    <row r="1373" spans="1:6" ht="19.95" customHeight="1" x14ac:dyDescent="0.25">
      <c r="A1373" s="17" t="s">
        <v>37</v>
      </c>
      <c r="B1373" s="18" t="s">
        <v>14</v>
      </c>
      <c r="C1373" s="18">
        <v>18.648670738518302</v>
      </c>
      <c r="D1373" s="18">
        <v>2008</v>
      </c>
      <c r="E1373" s="19"/>
      <c r="F1373" s="19"/>
    </row>
    <row r="1374" spans="1:6" ht="19.95" customHeight="1" x14ac:dyDescent="0.25">
      <c r="A1374" s="17" t="s">
        <v>38</v>
      </c>
      <c r="B1374" s="18" t="s">
        <v>14</v>
      </c>
      <c r="C1374" s="18">
        <v>24.280142344324201</v>
      </c>
      <c r="D1374" s="18">
        <v>2008</v>
      </c>
      <c r="E1374" s="19"/>
      <c r="F1374" s="19"/>
    </row>
    <row r="1375" spans="1:6" ht="19.95" customHeight="1" x14ac:dyDescent="0.25">
      <c r="A1375" s="17" t="s">
        <v>39</v>
      </c>
      <c r="B1375" s="18" t="s">
        <v>14</v>
      </c>
      <c r="C1375" s="18">
        <v>28.9193597052566</v>
      </c>
      <c r="D1375" s="18">
        <v>2008</v>
      </c>
      <c r="E1375" s="19"/>
      <c r="F1375" s="19"/>
    </row>
    <row r="1376" spans="1:6" ht="19.95" customHeight="1" x14ac:dyDescent="0.25">
      <c r="A1376" s="17" t="s">
        <v>40</v>
      </c>
      <c r="B1376" s="18" t="s">
        <v>14</v>
      </c>
      <c r="C1376" s="18">
        <v>41.466848719981797</v>
      </c>
      <c r="D1376" s="18">
        <v>2008</v>
      </c>
      <c r="E1376" s="19"/>
      <c r="F1376" s="19"/>
    </row>
    <row r="1377" spans="1:6" ht="19.95" customHeight="1" x14ac:dyDescent="0.25">
      <c r="A1377" s="17" t="s">
        <v>10</v>
      </c>
      <c r="B1377" s="18" t="s">
        <v>14</v>
      </c>
      <c r="C1377" s="18">
        <v>6.8023584237864601</v>
      </c>
      <c r="D1377" s="18">
        <v>2009</v>
      </c>
      <c r="E1377" s="19"/>
      <c r="F1377" s="19"/>
    </row>
    <row r="1378" spans="1:6" ht="19.95" customHeight="1" x14ac:dyDescent="0.25">
      <c r="A1378" s="17" t="s">
        <v>13</v>
      </c>
      <c r="B1378" s="18" t="s">
        <v>14</v>
      </c>
      <c r="C1378" s="18">
        <v>21.4032647777329</v>
      </c>
      <c r="D1378" s="18">
        <v>2009</v>
      </c>
      <c r="E1378" s="19"/>
      <c r="F1378" s="19"/>
    </row>
    <row r="1379" spans="1:6" ht="19.95" customHeight="1" x14ac:dyDescent="0.25">
      <c r="A1379" s="17" t="s">
        <v>16</v>
      </c>
      <c r="B1379" s="18" t="s">
        <v>14</v>
      </c>
      <c r="C1379" s="18">
        <v>35.138352879852498</v>
      </c>
      <c r="D1379" s="18">
        <v>2009</v>
      </c>
      <c r="E1379" s="19"/>
      <c r="F1379" s="19"/>
    </row>
    <row r="1380" spans="1:6" ht="19.95" customHeight="1" x14ac:dyDescent="0.25">
      <c r="A1380" s="17" t="s">
        <v>15</v>
      </c>
      <c r="B1380" s="18" t="s">
        <v>14</v>
      </c>
      <c r="C1380" s="18">
        <v>14.8240198249158</v>
      </c>
      <c r="D1380" s="18">
        <v>2009</v>
      </c>
      <c r="E1380" s="19"/>
      <c r="F1380" s="19"/>
    </row>
    <row r="1381" spans="1:6" ht="19.95" customHeight="1" x14ac:dyDescent="0.25">
      <c r="A1381" s="17" t="s">
        <v>17</v>
      </c>
      <c r="B1381" s="18" t="s">
        <v>14</v>
      </c>
      <c r="C1381" s="18"/>
      <c r="D1381" s="18">
        <v>2009</v>
      </c>
      <c r="E1381" s="19"/>
      <c r="F1381" s="19"/>
    </row>
    <row r="1382" spans="1:6" ht="19.95" customHeight="1" x14ac:dyDescent="0.25">
      <c r="A1382" s="17" t="s">
        <v>18</v>
      </c>
      <c r="B1382" s="18" t="s">
        <v>14</v>
      </c>
      <c r="C1382" s="18"/>
      <c r="D1382" s="18">
        <v>2009</v>
      </c>
      <c r="E1382" s="19"/>
      <c r="F1382" s="19"/>
    </row>
    <row r="1383" spans="1:6" ht="19.95" customHeight="1" x14ac:dyDescent="0.25">
      <c r="A1383" s="17" t="s">
        <v>19</v>
      </c>
      <c r="B1383" s="18" t="s">
        <v>14</v>
      </c>
      <c r="C1383" s="18">
        <v>22.515791077574299</v>
      </c>
      <c r="D1383" s="18">
        <v>2009</v>
      </c>
      <c r="E1383" s="19"/>
      <c r="F1383" s="19"/>
    </row>
    <row r="1384" spans="1:6" ht="19.95" customHeight="1" x14ac:dyDescent="0.25">
      <c r="A1384" s="17" t="s">
        <v>20</v>
      </c>
      <c r="B1384" s="18" t="s">
        <v>14</v>
      </c>
      <c r="C1384" s="18">
        <v>15.7100194116769</v>
      </c>
      <c r="D1384" s="18">
        <v>2009</v>
      </c>
      <c r="E1384" s="19"/>
      <c r="F1384" s="19"/>
    </row>
    <row r="1385" spans="1:6" ht="19.95" customHeight="1" x14ac:dyDescent="0.25">
      <c r="A1385" s="17" t="s">
        <v>21</v>
      </c>
      <c r="B1385" s="18" t="s">
        <v>14</v>
      </c>
      <c r="C1385" s="18">
        <v>20.032629252907402</v>
      </c>
      <c r="D1385" s="18">
        <v>2009</v>
      </c>
      <c r="E1385" s="19"/>
      <c r="F1385" s="19"/>
    </row>
    <row r="1386" spans="1:6" ht="19.95" customHeight="1" x14ac:dyDescent="0.25">
      <c r="A1386" s="17" t="s">
        <v>22</v>
      </c>
      <c r="B1386" s="18" t="s">
        <v>14</v>
      </c>
      <c r="C1386" s="18">
        <v>17.0581875368587</v>
      </c>
      <c r="D1386" s="18">
        <v>2009</v>
      </c>
      <c r="E1386" s="19"/>
      <c r="F1386" s="19"/>
    </row>
    <row r="1387" spans="1:6" ht="19.95" customHeight="1" x14ac:dyDescent="0.25">
      <c r="A1387" s="17" t="s">
        <v>23</v>
      </c>
      <c r="B1387" s="18" t="s">
        <v>14</v>
      </c>
      <c r="C1387" s="18">
        <v>15.264380978566001</v>
      </c>
      <c r="D1387" s="18">
        <v>2009</v>
      </c>
      <c r="E1387" s="19"/>
      <c r="F1387" s="19"/>
    </row>
    <row r="1388" spans="1:6" ht="19.95" customHeight="1" x14ac:dyDescent="0.25">
      <c r="A1388" s="17" t="s">
        <v>24</v>
      </c>
      <c r="B1388" s="18" t="s">
        <v>14</v>
      </c>
      <c r="C1388" s="18">
        <v>22.369390438987502</v>
      </c>
      <c r="D1388" s="18">
        <v>2009</v>
      </c>
      <c r="E1388" s="19"/>
      <c r="F1388" s="19"/>
    </row>
    <row r="1389" spans="1:6" ht="19.95" customHeight="1" x14ac:dyDescent="0.25">
      <c r="A1389" s="17" t="s">
        <v>25</v>
      </c>
      <c r="B1389" s="18" t="s">
        <v>14</v>
      </c>
      <c r="C1389" s="18">
        <v>20.028653475018899</v>
      </c>
      <c r="D1389" s="18">
        <v>2009</v>
      </c>
      <c r="E1389" s="19"/>
      <c r="F1389" s="19"/>
    </row>
    <row r="1390" spans="1:6" ht="19.95" customHeight="1" x14ac:dyDescent="0.25">
      <c r="A1390" s="17" t="s">
        <v>26</v>
      </c>
      <c r="B1390" s="18" t="s">
        <v>14</v>
      </c>
      <c r="C1390" s="18">
        <v>21.7344772232622</v>
      </c>
      <c r="D1390" s="18">
        <v>2009</v>
      </c>
      <c r="E1390" s="19"/>
      <c r="F1390" s="19"/>
    </row>
    <row r="1391" spans="1:6" ht="19.95" customHeight="1" x14ac:dyDescent="0.25">
      <c r="A1391" s="17" t="s">
        <v>27</v>
      </c>
      <c r="B1391" s="18" t="s">
        <v>14</v>
      </c>
      <c r="C1391" s="18">
        <v>36.872122518751198</v>
      </c>
      <c r="D1391" s="18">
        <v>2009</v>
      </c>
      <c r="E1391" s="19"/>
      <c r="F1391" s="19"/>
    </row>
    <row r="1392" spans="1:6" ht="19.95" customHeight="1" x14ac:dyDescent="0.25">
      <c r="A1392" s="17" t="s">
        <v>28</v>
      </c>
      <c r="B1392" s="18" t="s">
        <v>14</v>
      </c>
      <c r="C1392" s="18">
        <v>29.969513431970601</v>
      </c>
      <c r="D1392" s="18">
        <v>2009</v>
      </c>
      <c r="E1392" s="19"/>
      <c r="F1392" s="19"/>
    </row>
    <row r="1393" spans="1:6" ht="19.95" customHeight="1" x14ac:dyDescent="0.25">
      <c r="A1393" s="17" t="s">
        <v>29</v>
      </c>
      <c r="B1393" s="18" t="s">
        <v>14</v>
      </c>
      <c r="C1393" s="18">
        <v>0.10271275104536</v>
      </c>
      <c r="D1393" s="18">
        <v>2009</v>
      </c>
      <c r="E1393" s="19"/>
      <c r="F1393" s="19"/>
    </row>
    <row r="1394" spans="1:6" ht="19.95" customHeight="1" x14ac:dyDescent="0.25">
      <c r="A1394" s="17" t="s">
        <v>31</v>
      </c>
      <c r="B1394" s="18" t="s">
        <v>14</v>
      </c>
      <c r="C1394" s="18">
        <v>12.4193541858921</v>
      </c>
      <c r="D1394" s="18">
        <v>2009</v>
      </c>
      <c r="E1394" s="19"/>
      <c r="F1394" s="19"/>
    </row>
    <row r="1395" spans="1:6" ht="19.95" customHeight="1" x14ac:dyDescent="0.25">
      <c r="A1395" s="17" t="s">
        <v>32</v>
      </c>
      <c r="B1395" s="18" t="s">
        <v>14</v>
      </c>
      <c r="C1395" s="18">
        <v>33.981494209613899</v>
      </c>
      <c r="D1395" s="18">
        <v>2009</v>
      </c>
      <c r="E1395" s="19"/>
      <c r="F1395" s="19"/>
    </row>
    <row r="1396" spans="1:6" ht="19.95" customHeight="1" x14ac:dyDescent="0.25">
      <c r="A1396" s="17" t="s">
        <v>33</v>
      </c>
      <c r="B1396" s="18" t="s">
        <v>14</v>
      </c>
      <c r="C1396" s="18">
        <v>20.321513455057101</v>
      </c>
      <c r="D1396" s="18">
        <v>2009</v>
      </c>
      <c r="E1396" s="19"/>
      <c r="F1396" s="19"/>
    </row>
    <row r="1397" spans="1:6" ht="19.95" customHeight="1" x14ac:dyDescent="0.25">
      <c r="A1397" s="17" t="s">
        <v>34</v>
      </c>
      <c r="B1397" s="18" t="s">
        <v>14</v>
      </c>
      <c r="C1397" s="18">
        <v>11.7337968746473</v>
      </c>
      <c r="D1397" s="18">
        <v>2009</v>
      </c>
      <c r="E1397" s="19"/>
      <c r="F1397" s="19"/>
    </row>
    <row r="1398" spans="1:6" ht="19.95" customHeight="1" x14ac:dyDescent="0.25">
      <c r="A1398" s="17" t="s">
        <v>35</v>
      </c>
      <c r="B1398" s="18" t="s">
        <v>14</v>
      </c>
      <c r="C1398" s="18"/>
      <c r="D1398" s="18">
        <v>2009</v>
      </c>
      <c r="E1398" s="19"/>
      <c r="F1398" s="19"/>
    </row>
    <row r="1399" spans="1:6" ht="19.95" customHeight="1" x14ac:dyDescent="0.25">
      <c r="A1399" s="17" t="s">
        <v>2</v>
      </c>
      <c r="B1399" s="18" t="s">
        <v>14</v>
      </c>
      <c r="C1399" s="18">
        <v>21.328366243783002</v>
      </c>
      <c r="D1399" s="18">
        <v>2009</v>
      </c>
      <c r="E1399" s="19"/>
      <c r="F1399" s="19"/>
    </row>
    <row r="1400" spans="1:6" ht="19.95" customHeight="1" x14ac:dyDescent="0.25">
      <c r="A1400" s="17" t="s">
        <v>36</v>
      </c>
      <c r="B1400" s="18" t="s">
        <v>14</v>
      </c>
      <c r="C1400" s="18">
        <v>15.1702547446494</v>
      </c>
      <c r="D1400" s="18">
        <v>2009</v>
      </c>
      <c r="E1400" s="19"/>
      <c r="F1400" s="19"/>
    </row>
    <row r="1401" spans="1:6" ht="19.95" customHeight="1" x14ac:dyDescent="0.25">
      <c r="A1401" s="17" t="s">
        <v>37</v>
      </c>
      <c r="B1401" s="18" t="s">
        <v>14</v>
      </c>
      <c r="C1401" s="18">
        <v>17.373845954712401</v>
      </c>
      <c r="D1401" s="18">
        <v>2009</v>
      </c>
      <c r="E1401" s="19"/>
      <c r="F1401" s="19"/>
    </row>
    <row r="1402" spans="1:6" ht="19.95" customHeight="1" x14ac:dyDescent="0.25">
      <c r="A1402" s="17" t="s">
        <v>38</v>
      </c>
      <c r="B1402" s="18" t="s">
        <v>14</v>
      </c>
      <c r="C1402" s="18">
        <v>17.267979217193101</v>
      </c>
      <c r="D1402" s="18">
        <v>2009</v>
      </c>
      <c r="E1402" s="19"/>
      <c r="F1402" s="19"/>
    </row>
    <row r="1403" spans="1:6" ht="19.95" customHeight="1" x14ac:dyDescent="0.25">
      <c r="A1403" s="17" t="s">
        <v>39</v>
      </c>
      <c r="B1403" s="18" t="s">
        <v>14</v>
      </c>
      <c r="C1403" s="18">
        <v>29.250997669334801</v>
      </c>
      <c r="D1403" s="18">
        <v>2009</v>
      </c>
      <c r="E1403" s="19"/>
      <c r="F1403" s="19"/>
    </row>
    <row r="1404" spans="1:6" ht="19.95" customHeight="1" x14ac:dyDescent="0.25">
      <c r="A1404" s="17" t="s">
        <v>40</v>
      </c>
      <c r="B1404" s="18" t="s">
        <v>14</v>
      </c>
      <c r="C1404" s="18">
        <v>21.836555452011702</v>
      </c>
      <c r="D1404" s="18">
        <v>2009</v>
      </c>
      <c r="E1404" s="19"/>
      <c r="F1404" s="19"/>
    </row>
    <row r="1405" spans="1:6" ht="19.95" customHeight="1" x14ac:dyDescent="0.25">
      <c r="A1405" s="17" t="s">
        <v>10</v>
      </c>
      <c r="B1405" s="18" t="s">
        <v>14</v>
      </c>
      <c r="C1405" s="18">
        <v>8.9166426143287794</v>
      </c>
      <c r="D1405" s="18">
        <v>2010</v>
      </c>
      <c r="E1405" s="19"/>
      <c r="F1405" s="19"/>
    </row>
    <row r="1406" spans="1:6" ht="19.95" customHeight="1" x14ac:dyDescent="0.25">
      <c r="A1406" s="17" t="s">
        <v>13</v>
      </c>
      <c r="B1406" s="18" t="s">
        <v>14</v>
      </c>
      <c r="C1406" s="18">
        <v>22.172144086635399</v>
      </c>
      <c r="D1406" s="18">
        <v>2010</v>
      </c>
      <c r="E1406" s="19"/>
      <c r="F1406" s="19"/>
    </row>
    <row r="1407" spans="1:6" ht="19.95" customHeight="1" x14ac:dyDescent="0.25">
      <c r="A1407" s="17" t="s">
        <v>16</v>
      </c>
      <c r="B1407" s="18" t="s">
        <v>14</v>
      </c>
      <c r="C1407" s="18">
        <v>36.845605903367101</v>
      </c>
      <c r="D1407" s="18">
        <v>2010</v>
      </c>
      <c r="E1407" s="19"/>
      <c r="F1407" s="19"/>
    </row>
    <row r="1408" spans="1:6" ht="19.95" customHeight="1" x14ac:dyDescent="0.25">
      <c r="A1408" s="17" t="s">
        <v>15</v>
      </c>
      <c r="B1408" s="18" t="s">
        <v>14</v>
      </c>
      <c r="C1408" s="18">
        <v>16.481425330870401</v>
      </c>
      <c r="D1408" s="18">
        <v>2010</v>
      </c>
      <c r="E1408" s="19"/>
      <c r="F1408" s="19"/>
    </row>
    <row r="1409" spans="1:6" ht="19.95" customHeight="1" x14ac:dyDescent="0.25">
      <c r="A1409" s="17" t="s">
        <v>17</v>
      </c>
      <c r="B1409" s="18" t="s">
        <v>14</v>
      </c>
      <c r="C1409" s="18"/>
      <c r="D1409" s="18">
        <v>2010</v>
      </c>
      <c r="E1409" s="19"/>
      <c r="F1409" s="19"/>
    </row>
    <row r="1410" spans="1:6" ht="19.95" customHeight="1" x14ac:dyDescent="0.25">
      <c r="A1410" s="17" t="s">
        <v>18</v>
      </c>
      <c r="B1410" s="18" t="s">
        <v>14</v>
      </c>
      <c r="C1410" s="18"/>
      <c r="D1410" s="18">
        <v>2010</v>
      </c>
      <c r="E1410" s="19"/>
      <c r="F1410" s="19"/>
    </row>
    <row r="1411" spans="1:6" ht="19.95" customHeight="1" x14ac:dyDescent="0.25">
      <c r="A1411" s="17" t="s">
        <v>19</v>
      </c>
      <c r="B1411" s="18" t="s">
        <v>14</v>
      </c>
      <c r="C1411" s="18">
        <v>30.341203976310499</v>
      </c>
      <c r="D1411" s="18">
        <v>2010</v>
      </c>
      <c r="E1411" s="19"/>
      <c r="F1411" s="19"/>
    </row>
    <row r="1412" spans="1:6" ht="19.95" customHeight="1" x14ac:dyDescent="0.25">
      <c r="A1412" s="17" t="s">
        <v>20</v>
      </c>
      <c r="B1412" s="18" t="s">
        <v>14</v>
      </c>
      <c r="C1412" s="18">
        <v>15.342083970151901</v>
      </c>
      <c r="D1412" s="18">
        <v>2010</v>
      </c>
      <c r="E1412" s="19"/>
      <c r="F1412" s="19"/>
    </row>
    <row r="1413" spans="1:6" ht="19.95" customHeight="1" x14ac:dyDescent="0.25">
      <c r="A1413" s="17" t="s">
        <v>21</v>
      </c>
      <c r="B1413" s="18" t="s">
        <v>14</v>
      </c>
      <c r="C1413" s="18">
        <v>20.656983247274301</v>
      </c>
      <c r="D1413" s="18">
        <v>2010</v>
      </c>
      <c r="E1413" s="19"/>
      <c r="F1413" s="19"/>
    </row>
    <row r="1414" spans="1:6" ht="19.95" customHeight="1" x14ac:dyDescent="0.25">
      <c r="A1414" s="17" t="s">
        <v>22</v>
      </c>
      <c r="B1414" s="18" t="s">
        <v>14</v>
      </c>
      <c r="C1414" s="18">
        <v>19.845056343147899</v>
      </c>
      <c r="D1414" s="18">
        <v>2010</v>
      </c>
      <c r="E1414" s="19"/>
      <c r="F1414" s="19"/>
    </row>
    <row r="1415" spans="1:6" ht="19.95" customHeight="1" x14ac:dyDescent="0.25">
      <c r="A1415" s="17" t="s">
        <v>23</v>
      </c>
      <c r="B1415" s="18" t="s">
        <v>14</v>
      </c>
      <c r="C1415" s="18">
        <v>19.139077514755801</v>
      </c>
      <c r="D1415" s="18">
        <v>2010</v>
      </c>
      <c r="E1415" s="19"/>
      <c r="F1415" s="19"/>
    </row>
    <row r="1416" spans="1:6" ht="19.95" customHeight="1" x14ac:dyDescent="0.25">
      <c r="A1416" s="17" t="s">
        <v>24</v>
      </c>
      <c r="B1416" s="18" t="s">
        <v>14</v>
      </c>
      <c r="C1416" s="18">
        <v>24.974099901080301</v>
      </c>
      <c r="D1416" s="18">
        <v>2010</v>
      </c>
      <c r="E1416" s="19"/>
      <c r="F1416" s="19"/>
    </row>
    <row r="1417" spans="1:6" ht="19.95" customHeight="1" x14ac:dyDescent="0.25">
      <c r="A1417" s="17" t="s">
        <v>25</v>
      </c>
      <c r="B1417" s="18" t="s">
        <v>14</v>
      </c>
      <c r="C1417" s="18">
        <v>22.7870608045788</v>
      </c>
      <c r="D1417" s="18">
        <v>2010</v>
      </c>
      <c r="E1417" s="19"/>
      <c r="F1417" s="19"/>
    </row>
    <row r="1418" spans="1:6" ht="19.95" customHeight="1" x14ac:dyDescent="0.25">
      <c r="A1418" s="17" t="s">
        <v>26</v>
      </c>
      <c r="B1418" s="18" t="s">
        <v>14</v>
      </c>
      <c r="C1418" s="18">
        <v>22.8371701772321</v>
      </c>
      <c r="D1418" s="18">
        <v>2010</v>
      </c>
      <c r="E1418" s="19"/>
      <c r="F1418" s="19"/>
    </row>
    <row r="1419" spans="1:6" ht="19.95" customHeight="1" x14ac:dyDescent="0.25">
      <c r="A1419" s="17" t="s">
        <v>27</v>
      </c>
      <c r="B1419" s="18" t="s">
        <v>14</v>
      </c>
      <c r="C1419" s="18">
        <v>39.225215375223101</v>
      </c>
      <c r="D1419" s="18">
        <v>2010</v>
      </c>
      <c r="E1419" s="19"/>
      <c r="F1419" s="19"/>
    </row>
    <row r="1420" spans="1:6" ht="19.95" customHeight="1" x14ac:dyDescent="0.25">
      <c r="A1420" s="17" t="s">
        <v>28</v>
      </c>
      <c r="B1420" s="18" t="s">
        <v>14</v>
      </c>
      <c r="C1420" s="18">
        <v>31.5102163297875</v>
      </c>
      <c r="D1420" s="18">
        <v>2010</v>
      </c>
      <c r="E1420" s="19"/>
      <c r="F1420" s="19"/>
    </row>
    <row r="1421" spans="1:6" ht="19.95" customHeight="1" x14ac:dyDescent="0.25">
      <c r="A1421" s="17" t="s">
        <v>29</v>
      </c>
      <c r="B1421" s="18" t="s">
        <v>14</v>
      </c>
      <c r="C1421" s="18">
        <v>0.10912350491329199</v>
      </c>
      <c r="D1421" s="18">
        <v>2010</v>
      </c>
      <c r="E1421" s="19"/>
      <c r="F1421" s="19"/>
    </row>
    <row r="1422" spans="1:6" ht="19.95" customHeight="1" x14ac:dyDescent="0.25">
      <c r="A1422" s="17" t="s">
        <v>31</v>
      </c>
      <c r="B1422" s="18" t="s">
        <v>14</v>
      </c>
      <c r="C1422" s="18">
        <v>9.5825361719822908</v>
      </c>
      <c r="D1422" s="18">
        <v>2010</v>
      </c>
      <c r="E1422" s="19"/>
      <c r="F1422" s="19"/>
    </row>
    <row r="1423" spans="1:6" ht="19.95" customHeight="1" x14ac:dyDescent="0.25">
      <c r="A1423" s="17" t="s">
        <v>32</v>
      </c>
      <c r="B1423" s="18" t="s">
        <v>14</v>
      </c>
      <c r="C1423" s="18">
        <v>40.4671151559929</v>
      </c>
      <c r="D1423" s="18">
        <v>2010</v>
      </c>
      <c r="E1423" s="19"/>
      <c r="F1423" s="19"/>
    </row>
    <row r="1424" spans="1:6" ht="19.95" customHeight="1" x14ac:dyDescent="0.25">
      <c r="A1424" s="17" t="s">
        <v>33</v>
      </c>
      <c r="B1424" s="18" t="s">
        <v>14</v>
      </c>
      <c r="C1424" s="18">
        <v>22.198252577599899</v>
      </c>
      <c r="D1424" s="18">
        <v>2010</v>
      </c>
      <c r="E1424" s="19"/>
      <c r="F1424" s="19"/>
    </row>
    <row r="1425" spans="1:6" ht="19.95" customHeight="1" x14ac:dyDescent="0.25">
      <c r="A1425" s="17" t="s">
        <v>34</v>
      </c>
      <c r="B1425" s="18" t="s">
        <v>14</v>
      </c>
      <c r="C1425" s="18">
        <v>12.0393097445866</v>
      </c>
      <c r="D1425" s="18">
        <v>2010</v>
      </c>
      <c r="E1425" s="19"/>
      <c r="F1425" s="19"/>
    </row>
    <row r="1426" spans="1:6" ht="19.95" customHeight="1" x14ac:dyDescent="0.25">
      <c r="A1426" s="17" t="s">
        <v>35</v>
      </c>
      <c r="B1426" s="18" t="s">
        <v>14</v>
      </c>
      <c r="C1426" s="18"/>
      <c r="D1426" s="18">
        <v>2010</v>
      </c>
      <c r="E1426" s="19"/>
      <c r="F1426" s="19"/>
    </row>
    <row r="1427" spans="1:6" ht="19.95" customHeight="1" x14ac:dyDescent="0.25">
      <c r="A1427" s="17" t="s">
        <v>2</v>
      </c>
      <c r="B1427" s="18" t="s">
        <v>14</v>
      </c>
      <c r="C1427" s="18">
        <v>19.552321697973799</v>
      </c>
      <c r="D1427" s="18">
        <v>2010</v>
      </c>
      <c r="E1427" s="19"/>
      <c r="F1427" s="19"/>
    </row>
    <row r="1428" spans="1:6" ht="19.95" customHeight="1" x14ac:dyDescent="0.25">
      <c r="A1428" s="17" t="s">
        <v>36</v>
      </c>
      <c r="B1428" s="18" t="s">
        <v>14</v>
      </c>
      <c r="C1428" s="18">
        <v>14.9373516114801</v>
      </c>
      <c r="D1428" s="18">
        <v>2010</v>
      </c>
      <c r="E1428" s="19"/>
      <c r="F1428" s="19"/>
    </row>
    <row r="1429" spans="1:6" ht="19.95" customHeight="1" x14ac:dyDescent="0.25">
      <c r="A1429" s="17" t="s">
        <v>37</v>
      </c>
      <c r="B1429" s="18" t="s">
        <v>14</v>
      </c>
      <c r="C1429" s="18">
        <v>18.7464132724043</v>
      </c>
      <c r="D1429" s="18">
        <v>2010</v>
      </c>
      <c r="E1429" s="19"/>
      <c r="F1429" s="19"/>
    </row>
    <row r="1430" spans="1:6" ht="19.95" customHeight="1" x14ac:dyDescent="0.25">
      <c r="A1430" s="17" t="s">
        <v>38</v>
      </c>
      <c r="B1430" s="18" t="s">
        <v>14</v>
      </c>
      <c r="C1430" s="18">
        <v>17.1317969486892</v>
      </c>
      <c r="D1430" s="18">
        <v>2010</v>
      </c>
      <c r="E1430" s="19"/>
      <c r="F1430" s="19"/>
    </row>
    <row r="1431" spans="1:6" ht="19.95" customHeight="1" x14ac:dyDescent="0.25">
      <c r="A1431" s="17" t="s">
        <v>39</v>
      </c>
      <c r="B1431" s="18" t="s">
        <v>14</v>
      </c>
      <c r="C1431" s="18">
        <v>37.025939172501602</v>
      </c>
      <c r="D1431" s="18">
        <v>2010</v>
      </c>
      <c r="E1431" s="19"/>
      <c r="F1431" s="19"/>
    </row>
    <row r="1432" spans="1:6" ht="19.95" customHeight="1" x14ac:dyDescent="0.25">
      <c r="A1432" s="17" t="s">
        <v>40</v>
      </c>
      <c r="B1432" s="18" t="s">
        <v>14</v>
      </c>
      <c r="C1432" s="18">
        <v>35.193293001282598</v>
      </c>
      <c r="D1432" s="18">
        <v>2010</v>
      </c>
      <c r="E1432" s="19"/>
      <c r="F1432" s="19"/>
    </row>
    <row r="1433" spans="1:6" ht="19.95" customHeight="1" x14ac:dyDescent="0.25">
      <c r="A1433" s="17" t="s">
        <v>10</v>
      </c>
      <c r="B1433" s="18" t="s">
        <v>14</v>
      </c>
      <c r="C1433" s="18">
        <v>9.3537104674061204</v>
      </c>
      <c r="D1433" s="18">
        <v>2011</v>
      </c>
      <c r="E1433" s="19"/>
      <c r="F1433" s="19"/>
    </row>
    <row r="1434" spans="1:6" ht="19.95" customHeight="1" x14ac:dyDescent="0.25">
      <c r="A1434" s="17" t="s">
        <v>13</v>
      </c>
      <c r="B1434" s="18" t="s">
        <v>14</v>
      </c>
      <c r="C1434" s="18">
        <v>25.9320736431239</v>
      </c>
      <c r="D1434" s="18">
        <v>2011</v>
      </c>
      <c r="E1434" s="19"/>
      <c r="F1434" s="19"/>
    </row>
    <row r="1435" spans="1:6" ht="19.95" customHeight="1" x14ac:dyDescent="0.25">
      <c r="A1435" s="17" t="s">
        <v>16</v>
      </c>
      <c r="B1435" s="18" t="s">
        <v>14</v>
      </c>
      <c r="C1435" s="18">
        <v>38.877256932024103</v>
      </c>
      <c r="D1435" s="18">
        <v>2011</v>
      </c>
      <c r="E1435" s="19"/>
      <c r="F1435" s="19"/>
    </row>
    <row r="1436" spans="1:6" ht="19.95" customHeight="1" x14ac:dyDescent="0.25">
      <c r="A1436" s="17" t="s">
        <v>15</v>
      </c>
      <c r="B1436" s="18" t="s">
        <v>14</v>
      </c>
      <c r="C1436" s="18">
        <v>17.351605802829098</v>
      </c>
      <c r="D1436" s="18">
        <v>2011</v>
      </c>
      <c r="E1436" s="19"/>
      <c r="F1436" s="19"/>
    </row>
    <row r="1437" spans="1:6" ht="19.95" customHeight="1" x14ac:dyDescent="0.25">
      <c r="A1437" s="17" t="s">
        <v>17</v>
      </c>
      <c r="B1437" s="18" t="s">
        <v>14</v>
      </c>
      <c r="C1437" s="18"/>
      <c r="D1437" s="18">
        <v>2011</v>
      </c>
      <c r="E1437" s="19"/>
      <c r="F1437" s="19"/>
    </row>
    <row r="1438" spans="1:6" ht="19.95" customHeight="1" x14ac:dyDescent="0.25">
      <c r="A1438" s="17" t="s">
        <v>18</v>
      </c>
      <c r="B1438" s="18" t="s">
        <v>14</v>
      </c>
      <c r="C1438" s="18">
        <v>16.686853199733701</v>
      </c>
      <c r="D1438" s="18">
        <v>2011</v>
      </c>
      <c r="E1438" s="19"/>
      <c r="F1438" s="19"/>
    </row>
    <row r="1439" spans="1:6" ht="19.95" customHeight="1" x14ac:dyDescent="0.25">
      <c r="A1439" s="17" t="s">
        <v>19</v>
      </c>
      <c r="B1439" s="18" t="s">
        <v>14</v>
      </c>
      <c r="C1439" s="18">
        <v>32.602241227285703</v>
      </c>
      <c r="D1439" s="18">
        <v>2011</v>
      </c>
      <c r="E1439" s="19"/>
      <c r="F1439" s="19"/>
    </row>
    <row r="1440" spans="1:6" ht="19.95" customHeight="1" x14ac:dyDescent="0.25">
      <c r="A1440" s="17" t="s">
        <v>20</v>
      </c>
      <c r="B1440" s="18" t="s">
        <v>14</v>
      </c>
      <c r="C1440" s="18">
        <v>17.4499924055816</v>
      </c>
      <c r="D1440" s="18">
        <v>2011</v>
      </c>
      <c r="E1440" s="19"/>
      <c r="F1440" s="19"/>
    </row>
    <row r="1441" spans="1:6" ht="19.95" customHeight="1" x14ac:dyDescent="0.25">
      <c r="A1441" s="17" t="s">
        <v>21</v>
      </c>
      <c r="B1441" s="18" t="s">
        <v>14</v>
      </c>
      <c r="C1441" s="18">
        <v>21.625194710111401</v>
      </c>
      <c r="D1441" s="18">
        <v>2011</v>
      </c>
      <c r="E1441" s="19"/>
      <c r="F1441" s="19"/>
    </row>
    <row r="1442" spans="1:6" ht="19.95" customHeight="1" x14ac:dyDescent="0.25">
      <c r="A1442" s="17" t="s">
        <v>22</v>
      </c>
      <c r="B1442" s="18" t="s">
        <v>14</v>
      </c>
      <c r="C1442" s="18">
        <v>23.632130384167599</v>
      </c>
      <c r="D1442" s="18">
        <v>2011</v>
      </c>
      <c r="E1442" s="19"/>
      <c r="F1442" s="19"/>
    </row>
    <row r="1443" spans="1:6" ht="19.95" customHeight="1" x14ac:dyDescent="0.25">
      <c r="A1443" s="17" t="s">
        <v>23</v>
      </c>
      <c r="B1443" s="18" t="s">
        <v>14</v>
      </c>
      <c r="C1443" s="18">
        <v>21.807434968292998</v>
      </c>
      <c r="D1443" s="18">
        <v>2011</v>
      </c>
      <c r="E1443" s="19"/>
      <c r="F1443" s="19"/>
    </row>
    <row r="1444" spans="1:6" ht="19.95" customHeight="1" x14ac:dyDescent="0.25">
      <c r="A1444" s="17" t="s">
        <v>24</v>
      </c>
      <c r="B1444" s="18" t="s">
        <v>14</v>
      </c>
      <c r="C1444" s="18">
        <v>26.7428014544383</v>
      </c>
      <c r="D1444" s="18">
        <v>2011</v>
      </c>
      <c r="E1444" s="19"/>
      <c r="F1444" s="19"/>
    </row>
    <row r="1445" spans="1:6" ht="19.95" customHeight="1" x14ac:dyDescent="0.25">
      <c r="A1445" s="17" t="s">
        <v>25</v>
      </c>
      <c r="B1445" s="18" t="s">
        <v>14</v>
      </c>
      <c r="C1445" s="18">
        <v>20.777167283281202</v>
      </c>
      <c r="D1445" s="18">
        <v>2011</v>
      </c>
      <c r="E1445" s="19"/>
      <c r="F1445" s="19"/>
    </row>
    <row r="1446" spans="1:6" ht="19.95" customHeight="1" x14ac:dyDescent="0.25">
      <c r="A1446" s="17" t="s">
        <v>26</v>
      </c>
      <c r="B1446" s="18" t="s">
        <v>14</v>
      </c>
      <c r="C1446" s="18">
        <v>22.7261779161711</v>
      </c>
      <c r="D1446" s="18">
        <v>2011</v>
      </c>
      <c r="E1446" s="19"/>
      <c r="F1446" s="19"/>
    </row>
    <row r="1447" spans="1:6" ht="19.95" customHeight="1" x14ac:dyDescent="0.25">
      <c r="A1447" s="17" t="s">
        <v>27</v>
      </c>
      <c r="B1447" s="18" t="s">
        <v>14</v>
      </c>
      <c r="C1447" s="18">
        <v>44.970957223212103</v>
      </c>
      <c r="D1447" s="18">
        <v>2011</v>
      </c>
      <c r="E1447" s="19"/>
      <c r="F1447" s="19"/>
    </row>
    <row r="1448" spans="1:6" ht="19.95" customHeight="1" x14ac:dyDescent="0.25">
      <c r="A1448" s="17" t="s">
        <v>28</v>
      </c>
      <c r="B1448" s="18" t="s">
        <v>14</v>
      </c>
      <c r="C1448" s="18">
        <v>33.426692070247803</v>
      </c>
      <c r="D1448" s="18">
        <v>2011</v>
      </c>
      <c r="E1448" s="19"/>
      <c r="F1448" s="19"/>
    </row>
    <row r="1449" spans="1:6" ht="19.95" customHeight="1" x14ac:dyDescent="0.25">
      <c r="A1449" s="17" t="s">
        <v>29</v>
      </c>
      <c r="B1449" s="18" t="s">
        <v>14</v>
      </c>
      <c r="C1449" s="18">
        <v>9.9464912540158906E-2</v>
      </c>
      <c r="D1449" s="18">
        <v>2011</v>
      </c>
      <c r="E1449" s="19"/>
      <c r="F1449" s="19"/>
    </row>
    <row r="1450" spans="1:6" ht="19.95" customHeight="1" x14ac:dyDescent="0.25">
      <c r="A1450" s="17" t="s">
        <v>31</v>
      </c>
      <c r="B1450" s="18" t="s">
        <v>14</v>
      </c>
      <c r="C1450" s="18">
        <v>8.9040304209212593</v>
      </c>
      <c r="D1450" s="18">
        <v>2011</v>
      </c>
      <c r="E1450" s="19"/>
      <c r="F1450" s="19"/>
    </row>
    <row r="1451" spans="1:6" ht="19.95" customHeight="1" x14ac:dyDescent="0.25">
      <c r="A1451" s="17" t="s">
        <v>32</v>
      </c>
      <c r="B1451" s="18" t="s">
        <v>14</v>
      </c>
      <c r="C1451" s="18">
        <v>45.0169781525763</v>
      </c>
      <c r="D1451" s="18">
        <v>2011</v>
      </c>
      <c r="E1451" s="19"/>
      <c r="F1451" s="19"/>
    </row>
    <row r="1452" spans="1:6" ht="19.95" customHeight="1" x14ac:dyDescent="0.25">
      <c r="A1452" s="17" t="s">
        <v>33</v>
      </c>
      <c r="B1452" s="18" t="s">
        <v>14</v>
      </c>
      <c r="C1452" s="18">
        <v>20.902366521507702</v>
      </c>
      <c r="D1452" s="18">
        <v>2011</v>
      </c>
      <c r="E1452" s="19"/>
      <c r="F1452" s="19"/>
    </row>
    <row r="1453" spans="1:6" ht="19.95" customHeight="1" x14ac:dyDescent="0.25">
      <c r="A1453" s="17" t="s">
        <v>34</v>
      </c>
      <c r="B1453" s="18" t="s">
        <v>14</v>
      </c>
      <c r="C1453" s="18">
        <v>13.645423570636</v>
      </c>
      <c r="D1453" s="18">
        <v>2011</v>
      </c>
      <c r="E1453" s="19"/>
      <c r="F1453" s="19"/>
    </row>
    <row r="1454" spans="1:6" ht="19.95" customHeight="1" x14ac:dyDescent="0.25">
      <c r="A1454" s="17" t="s">
        <v>35</v>
      </c>
      <c r="B1454" s="18" t="s">
        <v>14</v>
      </c>
      <c r="C1454" s="18"/>
      <c r="D1454" s="18">
        <v>2011</v>
      </c>
      <c r="E1454" s="19"/>
      <c r="F1454" s="19"/>
    </row>
    <row r="1455" spans="1:6" ht="19.95" customHeight="1" x14ac:dyDescent="0.25">
      <c r="A1455" s="17" t="s">
        <v>2</v>
      </c>
      <c r="B1455" s="18" t="s">
        <v>14</v>
      </c>
      <c r="C1455" s="18">
        <v>20.896839580967502</v>
      </c>
      <c r="D1455" s="18">
        <v>2011</v>
      </c>
      <c r="E1455" s="19"/>
      <c r="F1455" s="19"/>
    </row>
    <row r="1456" spans="1:6" ht="19.95" customHeight="1" x14ac:dyDescent="0.25">
      <c r="A1456" s="17" t="s">
        <v>36</v>
      </c>
      <c r="B1456" s="18" t="s">
        <v>14</v>
      </c>
      <c r="C1456" s="18">
        <v>16.447132629002599</v>
      </c>
      <c r="D1456" s="18">
        <v>2011</v>
      </c>
      <c r="E1456" s="19"/>
      <c r="F1456" s="19"/>
    </row>
    <row r="1457" spans="1:6" ht="19.95" customHeight="1" x14ac:dyDescent="0.25">
      <c r="A1457" s="17" t="s">
        <v>37</v>
      </c>
      <c r="B1457" s="18" t="s">
        <v>14</v>
      </c>
      <c r="C1457" s="18">
        <v>20.756418338336101</v>
      </c>
      <c r="D1457" s="18">
        <v>2011</v>
      </c>
      <c r="E1457" s="19"/>
      <c r="F1457" s="19"/>
    </row>
    <row r="1458" spans="1:6" ht="19.95" customHeight="1" x14ac:dyDescent="0.25">
      <c r="A1458" s="17" t="s">
        <v>38</v>
      </c>
      <c r="B1458" s="18" t="s">
        <v>14</v>
      </c>
      <c r="C1458" s="18">
        <v>19.0175749239841</v>
      </c>
      <c r="D1458" s="18">
        <v>2011</v>
      </c>
      <c r="E1458" s="19"/>
      <c r="F1458" s="19"/>
    </row>
    <row r="1459" spans="1:6" ht="19.95" customHeight="1" x14ac:dyDescent="0.25">
      <c r="A1459" s="17" t="s">
        <v>39</v>
      </c>
      <c r="B1459" s="18" t="s">
        <v>14</v>
      </c>
      <c r="C1459" s="18">
        <v>40.470216824151002</v>
      </c>
      <c r="D1459" s="18">
        <v>2011</v>
      </c>
      <c r="E1459" s="19"/>
      <c r="F1459" s="19"/>
    </row>
    <row r="1460" spans="1:6" ht="19.95" customHeight="1" x14ac:dyDescent="0.25">
      <c r="A1460" s="17" t="s">
        <v>40</v>
      </c>
      <c r="B1460" s="18" t="s">
        <v>14</v>
      </c>
      <c r="C1460" s="18">
        <v>40.563716972454998</v>
      </c>
      <c r="D1460" s="18">
        <v>2011</v>
      </c>
      <c r="E1460" s="19"/>
      <c r="F1460" s="19"/>
    </row>
    <row r="1461" spans="1:6" ht="19.95" customHeight="1" x14ac:dyDescent="0.25">
      <c r="A1461" s="17" t="s">
        <v>10</v>
      </c>
      <c r="B1461" s="18" t="s">
        <v>14</v>
      </c>
      <c r="C1461" s="18">
        <v>8.9501289217801592</v>
      </c>
      <c r="D1461" s="18">
        <v>2012</v>
      </c>
      <c r="E1461" s="19"/>
      <c r="F1461" s="19"/>
    </row>
    <row r="1462" spans="1:6" ht="19.95" customHeight="1" x14ac:dyDescent="0.25">
      <c r="A1462" s="17" t="s">
        <v>13</v>
      </c>
      <c r="B1462" s="18" t="s">
        <v>14</v>
      </c>
      <c r="C1462" s="18">
        <v>26.1182006061942</v>
      </c>
      <c r="D1462" s="18">
        <v>2012</v>
      </c>
      <c r="E1462" s="19"/>
      <c r="F1462" s="19"/>
    </row>
    <row r="1463" spans="1:6" ht="19.95" customHeight="1" x14ac:dyDescent="0.25">
      <c r="A1463" s="17" t="s">
        <v>16</v>
      </c>
      <c r="B1463" s="18" t="s">
        <v>14</v>
      </c>
      <c r="C1463" s="18">
        <v>38.468054216236197</v>
      </c>
      <c r="D1463" s="18">
        <v>2012</v>
      </c>
      <c r="E1463" s="19"/>
      <c r="F1463" s="19"/>
    </row>
    <row r="1464" spans="1:6" ht="19.95" customHeight="1" x14ac:dyDescent="0.25">
      <c r="A1464" s="17" t="s">
        <v>15</v>
      </c>
      <c r="B1464" s="18" t="s">
        <v>14</v>
      </c>
      <c r="C1464" s="18">
        <v>15.686103750537599</v>
      </c>
      <c r="D1464" s="18">
        <v>2012</v>
      </c>
      <c r="E1464" s="19"/>
      <c r="F1464" s="19"/>
    </row>
    <row r="1465" spans="1:6" ht="19.95" customHeight="1" x14ac:dyDescent="0.25">
      <c r="A1465" s="17" t="s">
        <v>17</v>
      </c>
      <c r="B1465" s="18" t="s">
        <v>14</v>
      </c>
      <c r="C1465" s="18"/>
      <c r="D1465" s="18">
        <v>2012</v>
      </c>
      <c r="E1465" s="19"/>
      <c r="F1465" s="19"/>
    </row>
    <row r="1466" spans="1:6" ht="19.95" customHeight="1" x14ac:dyDescent="0.25">
      <c r="A1466" s="17" t="s">
        <v>18</v>
      </c>
      <c r="B1466" s="18" t="s">
        <v>14</v>
      </c>
      <c r="C1466" s="18">
        <v>13.7672981990263</v>
      </c>
      <c r="D1466" s="18">
        <v>2012</v>
      </c>
      <c r="E1466" s="19"/>
      <c r="F1466" s="19"/>
    </row>
    <row r="1467" spans="1:6" ht="19.95" customHeight="1" x14ac:dyDescent="0.25">
      <c r="A1467" s="17" t="s">
        <v>19</v>
      </c>
      <c r="B1467" s="18" t="s">
        <v>14</v>
      </c>
      <c r="C1467" s="18">
        <v>33.1373915984787</v>
      </c>
      <c r="D1467" s="18">
        <v>2012</v>
      </c>
      <c r="E1467" s="19"/>
      <c r="F1467" s="19"/>
    </row>
    <row r="1468" spans="1:6" ht="19.95" customHeight="1" x14ac:dyDescent="0.25">
      <c r="A1468" s="17" t="s">
        <v>20</v>
      </c>
      <c r="B1468" s="18" t="s">
        <v>14</v>
      </c>
      <c r="C1468" s="18">
        <v>16.9072215228265</v>
      </c>
      <c r="D1468" s="18">
        <v>2012</v>
      </c>
      <c r="E1468" s="19"/>
      <c r="F1468" s="19"/>
    </row>
    <row r="1469" spans="1:6" ht="19.95" customHeight="1" x14ac:dyDescent="0.25">
      <c r="A1469" s="17" t="s">
        <v>21</v>
      </c>
      <c r="B1469" s="18" t="s">
        <v>14</v>
      </c>
      <c r="C1469" s="18">
        <v>22.261822198698301</v>
      </c>
      <c r="D1469" s="18">
        <v>2012</v>
      </c>
      <c r="E1469" s="19"/>
      <c r="F1469" s="19"/>
    </row>
    <row r="1470" spans="1:6" ht="19.95" customHeight="1" x14ac:dyDescent="0.25">
      <c r="A1470" s="17" t="s">
        <v>22</v>
      </c>
      <c r="B1470" s="18" t="s">
        <v>14</v>
      </c>
      <c r="C1470" s="18">
        <v>23.253147793085699</v>
      </c>
      <c r="D1470" s="18">
        <v>2012</v>
      </c>
      <c r="E1470" s="19"/>
      <c r="F1470" s="19"/>
    </row>
    <row r="1471" spans="1:6" ht="19.95" customHeight="1" x14ac:dyDescent="0.25">
      <c r="A1471" s="17" t="s">
        <v>23</v>
      </c>
      <c r="B1471" s="18" t="s">
        <v>14</v>
      </c>
      <c r="C1471" s="18">
        <v>32.912705272255799</v>
      </c>
      <c r="D1471" s="18">
        <v>2012</v>
      </c>
      <c r="E1471" s="19"/>
      <c r="F1471" s="19"/>
    </row>
    <row r="1472" spans="1:6" ht="19.95" customHeight="1" x14ac:dyDescent="0.25">
      <c r="A1472" s="17" t="s">
        <v>24</v>
      </c>
      <c r="B1472" s="18" t="s">
        <v>14</v>
      </c>
      <c r="C1472" s="18">
        <v>28.557779803661699</v>
      </c>
      <c r="D1472" s="18">
        <v>2012</v>
      </c>
      <c r="E1472" s="19"/>
      <c r="F1472" s="19"/>
    </row>
    <row r="1473" spans="1:6" ht="19.95" customHeight="1" x14ac:dyDescent="0.25">
      <c r="A1473" s="17" t="s">
        <v>25</v>
      </c>
      <c r="B1473" s="18" t="s">
        <v>14</v>
      </c>
      <c r="C1473" s="18">
        <v>26.203401493376699</v>
      </c>
      <c r="D1473" s="18">
        <v>2012</v>
      </c>
      <c r="E1473" s="19"/>
      <c r="F1473" s="19"/>
    </row>
    <row r="1474" spans="1:6" ht="19.95" customHeight="1" x14ac:dyDescent="0.25">
      <c r="A1474" s="17" t="s">
        <v>26</v>
      </c>
      <c r="B1474" s="18" t="s">
        <v>14</v>
      </c>
      <c r="C1474" s="18">
        <v>26.8925571346712</v>
      </c>
      <c r="D1474" s="18">
        <v>2012</v>
      </c>
      <c r="E1474" s="19"/>
      <c r="F1474" s="19"/>
    </row>
    <row r="1475" spans="1:6" ht="19.95" customHeight="1" x14ac:dyDescent="0.25">
      <c r="A1475" s="17" t="s">
        <v>27</v>
      </c>
      <c r="B1475" s="18" t="s">
        <v>14</v>
      </c>
      <c r="C1475" s="18">
        <v>43.482916310925397</v>
      </c>
      <c r="D1475" s="18">
        <v>2012</v>
      </c>
      <c r="E1475" s="19"/>
      <c r="F1475" s="19"/>
    </row>
    <row r="1476" spans="1:6" ht="19.95" customHeight="1" x14ac:dyDescent="0.25">
      <c r="A1476" s="17" t="s">
        <v>28</v>
      </c>
      <c r="B1476" s="18" t="s">
        <v>14</v>
      </c>
      <c r="C1476" s="18">
        <v>32.376133012249703</v>
      </c>
      <c r="D1476" s="18">
        <v>2012</v>
      </c>
      <c r="E1476" s="19"/>
      <c r="F1476" s="19"/>
    </row>
    <row r="1477" spans="1:6" ht="19.95" customHeight="1" x14ac:dyDescent="0.25">
      <c r="A1477" s="17" t="s">
        <v>29</v>
      </c>
      <c r="B1477" s="18" t="s">
        <v>14</v>
      </c>
      <c r="C1477" s="18">
        <v>11.4983610766133</v>
      </c>
      <c r="D1477" s="18">
        <v>2012</v>
      </c>
      <c r="E1477" s="19"/>
      <c r="F1477" s="19"/>
    </row>
    <row r="1478" spans="1:6" ht="19.95" customHeight="1" x14ac:dyDescent="0.25">
      <c r="A1478" s="17" t="s">
        <v>31</v>
      </c>
      <c r="B1478" s="18" t="s">
        <v>14</v>
      </c>
      <c r="C1478" s="18">
        <v>10.073892980232401</v>
      </c>
      <c r="D1478" s="18">
        <v>2012</v>
      </c>
      <c r="E1478" s="19"/>
      <c r="F1478" s="19"/>
    </row>
    <row r="1479" spans="1:6" ht="19.95" customHeight="1" x14ac:dyDescent="0.25">
      <c r="A1479" s="17" t="s">
        <v>32</v>
      </c>
      <c r="B1479" s="18" t="s">
        <v>14</v>
      </c>
      <c r="C1479" s="18">
        <v>47.469175558778197</v>
      </c>
      <c r="D1479" s="18">
        <v>2012</v>
      </c>
      <c r="E1479" s="19"/>
      <c r="F1479" s="19"/>
    </row>
    <row r="1480" spans="1:6" ht="19.95" customHeight="1" x14ac:dyDescent="0.25">
      <c r="A1480" s="17" t="s">
        <v>33</v>
      </c>
      <c r="B1480" s="18" t="s">
        <v>14</v>
      </c>
      <c r="C1480" s="18">
        <v>21.8589148537915</v>
      </c>
      <c r="D1480" s="18">
        <v>2012</v>
      </c>
      <c r="E1480" s="19"/>
      <c r="F1480" s="19"/>
    </row>
    <row r="1481" spans="1:6" ht="19.95" customHeight="1" x14ac:dyDescent="0.25">
      <c r="A1481" s="17" t="s">
        <v>34</v>
      </c>
      <c r="B1481" s="18" t="s">
        <v>14</v>
      </c>
      <c r="C1481" s="18">
        <v>12.7868823188936</v>
      </c>
      <c r="D1481" s="18">
        <v>2012</v>
      </c>
      <c r="E1481" s="19"/>
      <c r="F1481" s="19"/>
    </row>
    <row r="1482" spans="1:6" ht="19.95" customHeight="1" x14ac:dyDescent="0.25">
      <c r="A1482" s="17" t="s">
        <v>35</v>
      </c>
      <c r="B1482" s="18" t="s">
        <v>14</v>
      </c>
      <c r="C1482" s="18"/>
      <c r="D1482" s="18">
        <v>2012</v>
      </c>
      <c r="E1482" s="19"/>
      <c r="F1482" s="19"/>
    </row>
    <row r="1483" spans="1:6" ht="19.95" customHeight="1" x14ac:dyDescent="0.25">
      <c r="A1483" s="17" t="s">
        <v>2</v>
      </c>
      <c r="B1483" s="18" t="s">
        <v>14</v>
      </c>
      <c r="C1483" s="18">
        <v>19.816482474646602</v>
      </c>
      <c r="D1483" s="18">
        <v>2012</v>
      </c>
      <c r="E1483" s="19"/>
      <c r="F1483" s="19"/>
    </row>
    <row r="1484" spans="1:6" ht="19.95" customHeight="1" x14ac:dyDescent="0.25">
      <c r="A1484" s="17" t="s">
        <v>36</v>
      </c>
      <c r="B1484" s="18" t="s">
        <v>14</v>
      </c>
      <c r="C1484" s="18">
        <v>17.186636101440399</v>
      </c>
      <c r="D1484" s="18">
        <v>2012</v>
      </c>
      <c r="E1484" s="19"/>
      <c r="F1484" s="19"/>
    </row>
    <row r="1485" spans="1:6" ht="19.95" customHeight="1" x14ac:dyDescent="0.25">
      <c r="A1485" s="17" t="s">
        <v>37</v>
      </c>
      <c r="B1485" s="18" t="s">
        <v>14</v>
      </c>
      <c r="C1485" s="18">
        <v>21.285309859524201</v>
      </c>
      <c r="D1485" s="18">
        <v>2012</v>
      </c>
      <c r="E1485" s="19"/>
      <c r="F1485" s="19"/>
    </row>
    <row r="1486" spans="1:6" ht="19.95" customHeight="1" x14ac:dyDescent="0.25">
      <c r="A1486" s="17" t="s">
        <v>38</v>
      </c>
      <c r="B1486" s="18" t="s">
        <v>14</v>
      </c>
      <c r="C1486" s="18">
        <v>20.216720958749999</v>
      </c>
      <c r="D1486" s="18">
        <v>2012</v>
      </c>
      <c r="E1486" s="19"/>
      <c r="F1486" s="19"/>
    </row>
    <row r="1487" spans="1:6" ht="19.95" customHeight="1" x14ac:dyDescent="0.25">
      <c r="A1487" s="17" t="s">
        <v>39</v>
      </c>
      <c r="B1487" s="18" t="s">
        <v>14</v>
      </c>
      <c r="C1487" s="18">
        <v>40.082423337535801</v>
      </c>
      <c r="D1487" s="18">
        <v>2012</v>
      </c>
      <c r="E1487" s="19"/>
      <c r="F1487" s="19"/>
    </row>
    <row r="1488" spans="1:6" ht="19.95" customHeight="1" x14ac:dyDescent="0.25">
      <c r="A1488" s="17" t="s">
        <v>40</v>
      </c>
      <c r="B1488" s="18" t="s">
        <v>14</v>
      </c>
      <c r="C1488" s="18">
        <v>30.238062370314601</v>
      </c>
      <c r="D1488" s="18">
        <v>2012</v>
      </c>
      <c r="E1488" s="19"/>
      <c r="F1488" s="19"/>
    </row>
    <row r="1489" spans="1:6" ht="19.95" customHeight="1" x14ac:dyDescent="0.25">
      <c r="A1489" s="17" t="s">
        <v>10</v>
      </c>
      <c r="B1489" s="18" t="s">
        <v>14</v>
      </c>
      <c r="C1489" s="18">
        <v>7.3958211319558096</v>
      </c>
      <c r="D1489" s="18">
        <v>2013</v>
      </c>
      <c r="E1489" s="19"/>
      <c r="F1489" s="19"/>
    </row>
    <row r="1490" spans="1:6" ht="19.95" customHeight="1" x14ac:dyDescent="0.25">
      <c r="A1490" s="17" t="s">
        <v>13</v>
      </c>
      <c r="B1490" s="18" t="s">
        <v>14</v>
      </c>
      <c r="C1490" s="18">
        <v>25.567764284212501</v>
      </c>
      <c r="D1490" s="18">
        <v>2013</v>
      </c>
      <c r="E1490" s="19"/>
      <c r="F1490" s="19"/>
    </row>
    <row r="1491" spans="1:6" ht="19.95" customHeight="1" x14ac:dyDescent="0.25">
      <c r="A1491" s="17" t="s">
        <v>16</v>
      </c>
      <c r="B1491" s="18" t="s">
        <v>14</v>
      </c>
      <c r="C1491" s="18">
        <v>33.565591667752997</v>
      </c>
      <c r="D1491" s="18">
        <v>2013</v>
      </c>
      <c r="E1491" s="19"/>
      <c r="F1491" s="19"/>
    </row>
    <row r="1492" spans="1:6" ht="19.95" customHeight="1" x14ac:dyDescent="0.25">
      <c r="A1492" s="17" t="s">
        <v>15</v>
      </c>
      <c r="B1492" s="18" t="s">
        <v>14</v>
      </c>
      <c r="C1492" s="18">
        <v>16.320600040377901</v>
      </c>
      <c r="D1492" s="18">
        <v>2013</v>
      </c>
      <c r="E1492" s="19"/>
      <c r="F1492" s="19"/>
    </row>
    <row r="1493" spans="1:6" ht="19.95" customHeight="1" x14ac:dyDescent="0.25">
      <c r="A1493" s="17" t="s">
        <v>17</v>
      </c>
      <c r="B1493" s="18" t="s">
        <v>14</v>
      </c>
      <c r="C1493" s="18">
        <v>36.646944141220601</v>
      </c>
      <c r="D1493" s="18">
        <v>2013</v>
      </c>
      <c r="E1493" s="19"/>
      <c r="F1493" s="19"/>
    </row>
    <row r="1494" spans="1:6" ht="19.95" customHeight="1" x14ac:dyDescent="0.25">
      <c r="A1494" s="17" t="s">
        <v>18</v>
      </c>
      <c r="B1494" s="18" t="s">
        <v>14</v>
      </c>
      <c r="C1494" s="18">
        <v>12.484073558977</v>
      </c>
      <c r="D1494" s="18">
        <v>2013</v>
      </c>
      <c r="E1494" s="19"/>
      <c r="F1494" s="19"/>
    </row>
    <row r="1495" spans="1:6" ht="19.95" customHeight="1" x14ac:dyDescent="0.25">
      <c r="A1495" s="17" t="s">
        <v>19</v>
      </c>
      <c r="B1495" s="18" t="s">
        <v>14</v>
      </c>
      <c r="C1495" s="18">
        <v>26.470620645956199</v>
      </c>
      <c r="D1495" s="18">
        <v>2013</v>
      </c>
      <c r="E1495" s="19"/>
      <c r="F1495" s="19"/>
    </row>
    <row r="1496" spans="1:6" ht="19.95" customHeight="1" x14ac:dyDescent="0.25">
      <c r="A1496" s="17" t="s">
        <v>20</v>
      </c>
      <c r="B1496" s="18" t="s">
        <v>14</v>
      </c>
      <c r="C1496" s="18">
        <v>18.255390009245101</v>
      </c>
      <c r="D1496" s="18">
        <v>2013</v>
      </c>
      <c r="E1496" s="19"/>
      <c r="F1496" s="19"/>
    </row>
    <row r="1497" spans="1:6" ht="19.95" customHeight="1" x14ac:dyDescent="0.25">
      <c r="A1497" s="17" t="s">
        <v>21</v>
      </c>
      <c r="B1497" s="18" t="s">
        <v>14</v>
      </c>
      <c r="C1497" s="18">
        <v>19.9253882154437</v>
      </c>
      <c r="D1497" s="18">
        <v>2013</v>
      </c>
      <c r="E1497" s="19"/>
      <c r="F1497" s="19"/>
    </row>
    <row r="1498" spans="1:6" ht="19.95" customHeight="1" x14ac:dyDescent="0.25">
      <c r="A1498" s="17" t="s">
        <v>22</v>
      </c>
      <c r="B1498" s="18" t="s">
        <v>14</v>
      </c>
      <c r="C1498" s="18">
        <v>21.896878577997999</v>
      </c>
      <c r="D1498" s="18">
        <v>2013</v>
      </c>
      <c r="E1498" s="19"/>
      <c r="F1498" s="19"/>
    </row>
    <row r="1499" spans="1:6" ht="19.95" customHeight="1" x14ac:dyDescent="0.25">
      <c r="A1499" s="17" t="s">
        <v>23</v>
      </c>
      <c r="B1499" s="18" t="s">
        <v>14</v>
      </c>
      <c r="C1499" s="18">
        <v>34.579717441561797</v>
      </c>
      <c r="D1499" s="18">
        <v>2013</v>
      </c>
      <c r="E1499" s="19"/>
      <c r="F1499" s="19"/>
    </row>
    <row r="1500" spans="1:6" ht="19.95" customHeight="1" x14ac:dyDescent="0.25">
      <c r="A1500" s="17" t="s">
        <v>24</v>
      </c>
      <c r="B1500" s="18" t="s">
        <v>14</v>
      </c>
      <c r="C1500" s="18">
        <v>30.064300988592102</v>
      </c>
      <c r="D1500" s="18">
        <v>2013</v>
      </c>
      <c r="E1500" s="19"/>
      <c r="F1500" s="19"/>
    </row>
    <row r="1501" spans="1:6" ht="19.95" customHeight="1" x14ac:dyDescent="0.25">
      <c r="A1501" s="17" t="s">
        <v>25</v>
      </c>
      <c r="B1501" s="18" t="s">
        <v>14</v>
      </c>
      <c r="C1501" s="18">
        <v>35.659773814225701</v>
      </c>
      <c r="D1501" s="18">
        <v>2013</v>
      </c>
      <c r="E1501" s="19"/>
      <c r="F1501" s="19"/>
    </row>
    <row r="1502" spans="1:6" ht="19.95" customHeight="1" x14ac:dyDescent="0.25">
      <c r="A1502" s="17" t="s">
        <v>26</v>
      </c>
      <c r="B1502" s="18" t="s">
        <v>14</v>
      </c>
      <c r="C1502" s="18">
        <v>24.926607651465499</v>
      </c>
      <c r="D1502" s="18">
        <v>2013</v>
      </c>
      <c r="E1502" s="19"/>
      <c r="F1502" s="19"/>
    </row>
    <row r="1503" spans="1:6" ht="19.95" customHeight="1" x14ac:dyDescent="0.25">
      <c r="A1503" s="17" t="s">
        <v>27</v>
      </c>
      <c r="B1503" s="18" t="s">
        <v>14</v>
      </c>
      <c r="C1503" s="18">
        <v>43.343945876032201</v>
      </c>
      <c r="D1503" s="18">
        <v>2013</v>
      </c>
      <c r="E1503" s="19"/>
      <c r="F1503" s="19"/>
    </row>
    <row r="1504" spans="1:6" ht="19.95" customHeight="1" x14ac:dyDescent="0.25">
      <c r="A1504" s="17" t="s">
        <v>28</v>
      </c>
      <c r="B1504" s="18" t="s">
        <v>14</v>
      </c>
      <c r="C1504" s="18">
        <v>30.3693090502289</v>
      </c>
      <c r="D1504" s="18">
        <v>2013</v>
      </c>
      <c r="E1504" s="19"/>
      <c r="F1504" s="19"/>
    </row>
    <row r="1505" spans="1:6" ht="19.95" customHeight="1" x14ac:dyDescent="0.25">
      <c r="A1505" s="17" t="s">
        <v>29</v>
      </c>
      <c r="B1505" s="18" t="s">
        <v>14</v>
      </c>
      <c r="C1505" s="18">
        <v>19.635098316327099</v>
      </c>
      <c r="D1505" s="18">
        <v>2013</v>
      </c>
      <c r="E1505" s="19"/>
      <c r="F1505" s="19"/>
    </row>
    <row r="1506" spans="1:6" ht="19.95" customHeight="1" x14ac:dyDescent="0.25">
      <c r="A1506" s="17" t="s">
        <v>31</v>
      </c>
      <c r="B1506" s="18" t="s">
        <v>14</v>
      </c>
      <c r="C1506" s="18">
        <v>10.689075174143399</v>
      </c>
      <c r="D1506" s="18">
        <v>2013</v>
      </c>
      <c r="E1506" s="19"/>
      <c r="F1506" s="19"/>
    </row>
    <row r="1507" spans="1:6" ht="19.95" customHeight="1" x14ac:dyDescent="0.25">
      <c r="A1507" s="17" t="s">
        <v>32</v>
      </c>
      <c r="B1507" s="18" t="s">
        <v>14</v>
      </c>
      <c r="C1507" s="18">
        <v>45.214269490206398</v>
      </c>
      <c r="D1507" s="18">
        <v>2013</v>
      </c>
      <c r="E1507" s="19"/>
      <c r="F1507" s="19"/>
    </row>
    <row r="1508" spans="1:6" ht="19.95" customHeight="1" x14ac:dyDescent="0.25">
      <c r="A1508" s="17" t="s">
        <v>33</v>
      </c>
      <c r="B1508" s="18" t="s">
        <v>14</v>
      </c>
      <c r="C1508" s="18">
        <v>22.635506301814502</v>
      </c>
      <c r="D1508" s="18">
        <v>2013</v>
      </c>
      <c r="E1508" s="19"/>
      <c r="F1508" s="19"/>
    </row>
    <row r="1509" spans="1:6" ht="19.95" customHeight="1" x14ac:dyDescent="0.25">
      <c r="A1509" s="17" t="s">
        <v>34</v>
      </c>
      <c r="B1509" s="18" t="s">
        <v>14</v>
      </c>
      <c r="C1509" s="18">
        <v>14.0904245050836</v>
      </c>
      <c r="D1509" s="18">
        <v>2013</v>
      </c>
      <c r="E1509" s="19"/>
      <c r="F1509" s="19"/>
    </row>
    <row r="1510" spans="1:6" ht="19.95" customHeight="1" x14ac:dyDescent="0.25">
      <c r="A1510" s="17" t="s">
        <v>35</v>
      </c>
      <c r="B1510" s="18" t="s">
        <v>14</v>
      </c>
      <c r="C1510" s="18"/>
      <c r="D1510" s="18">
        <v>2013</v>
      </c>
      <c r="E1510" s="19"/>
      <c r="F1510" s="19"/>
    </row>
    <row r="1511" spans="1:6" ht="19.95" customHeight="1" x14ac:dyDescent="0.25">
      <c r="A1511" s="17" t="s">
        <v>2</v>
      </c>
      <c r="B1511" s="18" t="s">
        <v>14</v>
      </c>
      <c r="C1511" s="18">
        <v>20.320398243350699</v>
      </c>
      <c r="D1511" s="18">
        <v>2013</v>
      </c>
      <c r="E1511" s="19"/>
      <c r="F1511" s="19"/>
    </row>
    <row r="1512" spans="1:6" ht="19.95" customHeight="1" x14ac:dyDescent="0.25">
      <c r="A1512" s="17" t="s">
        <v>36</v>
      </c>
      <c r="B1512" s="18" t="s">
        <v>14</v>
      </c>
      <c r="C1512" s="18">
        <v>11.287360434272999</v>
      </c>
      <c r="D1512" s="18">
        <v>2013</v>
      </c>
      <c r="E1512" s="19"/>
      <c r="F1512" s="19"/>
    </row>
    <row r="1513" spans="1:6" ht="19.95" customHeight="1" x14ac:dyDescent="0.25">
      <c r="A1513" s="17" t="s">
        <v>37</v>
      </c>
      <c r="B1513" s="18" t="s">
        <v>14</v>
      </c>
      <c r="C1513" s="18">
        <v>17.651226297459601</v>
      </c>
      <c r="D1513" s="18">
        <v>2013</v>
      </c>
      <c r="E1513" s="19"/>
      <c r="F1513" s="19"/>
    </row>
    <row r="1514" spans="1:6" ht="19.95" customHeight="1" x14ac:dyDescent="0.25">
      <c r="A1514" s="17" t="s">
        <v>38</v>
      </c>
      <c r="B1514" s="18" t="s">
        <v>14</v>
      </c>
      <c r="C1514" s="18">
        <v>20.298028404477801</v>
      </c>
      <c r="D1514" s="18">
        <v>2013</v>
      </c>
      <c r="E1514" s="19"/>
      <c r="F1514" s="19"/>
    </row>
    <row r="1515" spans="1:6" ht="19.95" customHeight="1" x14ac:dyDescent="0.25">
      <c r="A1515" s="17" t="s">
        <v>39</v>
      </c>
      <c r="B1515" s="18" t="s">
        <v>14</v>
      </c>
      <c r="C1515" s="18">
        <v>40.482850449843198</v>
      </c>
      <c r="D1515" s="18">
        <v>2013</v>
      </c>
      <c r="E1515" s="19"/>
      <c r="F1515" s="19"/>
    </row>
    <row r="1516" spans="1:6" ht="19.95" customHeight="1" x14ac:dyDescent="0.25">
      <c r="A1516" s="17" t="s">
        <v>40</v>
      </c>
      <c r="B1516" s="18" t="s">
        <v>14</v>
      </c>
      <c r="C1516" s="18">
        <v>27.166387754691101</v>
      </c>
      <c r="D1516" s="18">
        <v>2013</v>
      </c>
      <c r="E1516" s="19"/>
      <c r="F1516" s="19"/>
    </row>
    <row r="1517" spans="1:6" ht="19.95" customHeight="1" x14ac:dyDescent="0.25">
      <c r="A1517" s="17" t="s">
        <v>10</v>
      </c>
      <c r="B1517" s="18" t="s">
        <v>14</v>
      </c>
      <c r="C1517" s="18">
        <v>7.7681825197047303</v>
      </c>
      <c r="D1517" s="18">
        <v>2014</v>
      </c>
      <c r="E1517" s="19"/>
      <c r="F1517" s="19"/>
    </row>
    <row r="1518" spans="1:6" ht="19.95" customHeight="1" x14ac:dyDescent="0.25">
      <c r="A1518" s="17" t="s">
        <v>13</v>
      </c>
      <c r="B1518" s="18" t="s">
        <v>14</v>
      </c>
      <c r="C1518" s="18">
        <v>24.938074189187802</v>
      </c>
      <c r="D1518" s="18">
        <v>2014</v>
      </c>
      <c r="E1518" s="19"/>
      <c r="F1518" s="19"/>
    </row>
    <row r="1519" spans="1:6" ht="19.95" customHeight="1" x14ac:dyDescent="0.25">
      <c r="A1519" s="17" t="s">
        <v>16</v>
      </c>
      <c r="B1519" s="18" t="s">
        <v>14</v>
      </c>
      <c r="C1519" s="18">
        <v>34.161362887521697</v>
      </c>
      <c r="D1519" s="18">
        <v>2014</v>
      </c>
      <c r="E1519" s="19"/>
      <c r="F1519" s="19"/>
    </row>
    <row r="1520" spans="1:6" ht="19.95" customHeight="1" x14ac:dyDescent="0.25">
      <c r="A1520" s="17" t="s">
        <v>15</v>
      </c>
      <c r="B1520" s="18" t="s">
        <v>14</v>
      </c>
      <c r="C1520" s="18">
        <v>16.874713510748801</v>
      </c>
      <c r="D1520" s="18">
        <v>2014</v>
      </c>
      <c r="E1520" s="19"/>
      <c r="F1520" s="19"/>
    </row>
    <row r="1521" spans="1:6" ht="19.95" customHeight="1" x14ac:dyDescent="0.25">
      <c r="A1521" s="17" t="s">
        <v>17</v>
      </c>
      <c r="B1521" s="18" t="s">
        <v>14</v>
      </c>
      <c r="C1521" s="18">
        <v>34.942186472794802</v>
      </c>
      <c r="D1521" s="18">
        <v>2014</v>
      </c>
      <c r="E1521" s="19"/>
      <c r="F1521" s="19"/>
    </row>
    <row r="1522" spans="1:6" ht="19.95" customHeight="1" x14ac:dyDescent="0.25">
      <c r="A1522" s="17" t="s">
        <v>18</v>
      </c>
      <c r="B1522" s="18" t="s">
        <v>14</v>
      </c>
      <c r="C1522" s="18">
        <v>11.6416199095703</v>
      </c>
      <c r="D1522" s="18">
        <v>2014</v>
      </c>
      <c r="E1522" s="19"/>
      <c r="F1522" s="19"/>
    </row>
    <row r="1523" spans="1:6" ht="19.95" customHeight="1" x14ac:dyDescent="0.25">
      <c r="A1523" s="17" t="s">
        <v>19</v>
      </c>
      <c r="B1523" s="18" t="s">
        <v>14</v>
      </c>
      <c r="C1523" s="18">
        <v>26.297297897089699</v>
      </c>
      <c r="D1523" s="18">
        <v>2014</v>
      </c>
      <c r="E1523" s="19"/>
      <c r="F1523" s="19"/>
    </row>
    <row r="1524" spans="1:6" ht="19.95" customHeight="1" x14ac:dyDescent="0.25">
      <c r="A1524" s="17" t="s">
        <v>20</v>
      </c>
      <c r="B1524" s="18" t="s">
        <v>14</v>
      </c>
      <c r="C1524" s="18">
        <v>18.517241819551401</v>
      </c>
      <c r="D1524" s="18">
        <v>2014</v>
      </c>
      <c r="E1524" s="19"/>
      <c r="F1524" s="19"/>
    </row>
    <row r="1525" spans="1:6" ht="19.95" customHeight="1" x14ac:dyDescent="0.25">
      <c r="A1525" s="17" t="s">
        <v>21</v>
      </c>
      <c r="B1525" s="18" t="s">
        <v>14</v>
      </c>
      <c r="C1525" s="18">
        <v>18.296980919547899</v>
      </c>
      <c r="D1525" s="18">
        <v>2014</v>
      </c>
      <c r="E1525" s="19"/>
      <c r="F1525" s="19"/>
    </row>
    <row r="1526" spans="1:6" ht="19.95" customHeight="1" x14ac:dyDescent="0.25">
      <c r="A1526" s="17" t="s">
        <v>22</v>
      </c>
      <c r="B1526" s="18" t="s">
        <v>14</v>
      </c>
      <c r="C1526" s="18">
        <v>22.502020655590499</v>
      </c>
      <c r="D1526" s="18">
        <v>2014</v>
      </c>
      <c r="E1526" s="19"/>
      <c r="F1526" s="19"/>
    </row>
    <row r="1527" spans="1:6" ht="19.95" customHeight="1" x14ac:dyDescent="0.25">
      <c r="A1527" s="17" t="s">
        <v>23</v>
      </c>
      <c r="B1527" s="18" t="s">
        <v>14</v>
      </c>
      <c r="C1527" s="18">
        <v>28.4320168902136</v>
      </c>
      <c r="D1527" s="18">
        <v>2014</v>
      </c>
      <c r="E1527" s="19"/>
      <c r="F1527" s="19"/>
    </row>
    <row r="1528" spans="1:6" ht="19.95" customHeight="1" x14ac:dyDescent="0.25">
      <c r="A1528" s="17" t="s">
        <v>24</v>
      </c>
      <c r="B1528" s="18" t="s">
        <v>14</v>
      </c>
      <c r="C1528" s="18">
        <v>32.758229294121797</v>
      </c>
      <c r="D1528" s="18">
        <v>2014</v>
      </c>
      <c r="E1528" s="19"/>
      <c r="F1528" s="19"/>
    </row>
    <row r="1529" spans="1:6" ht="19.95" customHeight="1" x14ac:dyDescent="0.25">
      <c r="A1529" s="17" t="s">
        <v>25</v>
      </c>
      <c r="B1529" s="18" t="s">
        <v>14</v>
      </c>
      <c r="C1529" s="18">
        <v>33.701567964221802</v>
      </c>
      <c r="D1529" s="18">
        <v>2014</v>
      </c>
      <c r="E1529" s="19"/>
      <c r="F1529" s="19"/>
    </row>
    <row r="1530" spans="1:6" ht="19.95" customHeight="1" x14ac:dyDescent="0.25">
      <c r="A1530" s="17" t="s">
        <v>26</v>
      </c>
      <c r="B1530" s="18" t="s">
        <v>14</v>
      </c>
      <c r="C1530" s="18">
        <v>22.4917117714363</v>
      </c>
      <c r="D1530" s="18">
        <v>2014</v>
      </c>
      <c r="E1530" s="19"/>
      <c r="F1530" s="19"/>
    </row>
    <row r="1531" spans="1:6" ht="19.95" customHeight="1" x14ac:dyDescent="0.25">
      <c r="A1531" s="17" t="s">
        <v>27</v>
      </c>
      <c r="B1531" s="18" t="s">
        <v>14</v>
      </c>
      <c r="C1531" s="18">
        <v>41.533244087461</v>
      </c>
      <c r="D1531" s="18">
        <v>2014</v>
      </c>
      <c r="E1531" s="19"/>
      <c r="F1531" s="19"/>
    </row>
    <row r="1532" spans="1:6" ht="19.95" customHeight="1" x14ac:dyDescent="0.25">
      <c r="A1532" s="17" t="s">
        <v>28</v>
      </c>
      <c r="B1532" s="18" t="s">
        <v>14</v>
      </c>
      <c r="C1532" s="18">
        <v>33.359304134363001</v>
      </c>
      <c r="D1532" s="18">
        <v>2014</v>
      </c>
      <c r="E1532" s="19"/>
      <c r="F1532" s="19"/>
    </row>
    <row r="1533" spans="1:6" ht="19.95" customHeight="1" x14ac:dyDescent="0.25">
      <c r="A1533" s="17" t="s">
        <v>29</v>
      </c>
      <c r="B1533" s="18" t="s">
        <v>14</v>
      </c>
      <c r="C1533" s="18">
        <v>20.090339886052501</v>
      </c>
      <c r="D1533" s="18">
        <v>2014</v>
      </c>
      <c r="E1533" s="19"/>
      <c r="F1533" s="19"/>
    </row>
    <row r="1534" spans="1:6" ht="19.95" customHeight="1" x14ac:dyDescent="0.25">
      <c r="A1534" s="17" t="s">
        <v>31</v>
      </c>
      <c r="B1534" s="18" t="s">
        <v>14</v>
      </c>
      <c r="C1534" s="18">
        <v>11.5050876388893</v>
      </c>
      <c r="D1534" s="18">
        <v>2014</v>
      </c>
      <c r="E1534" s="19"/>
      <c r="F1534" s="19"/>
    </row>
    <row r="1535" spans="1:6" ht="19.95" customHeight="1" x14ac:dyDescent="0.25">
      <c r="A1535" s="17" t="s">
        <v>32</v>
      </c>
      <c r="B1535" s="18" t="s">
        <v>14</v>
      </c>
      <c r="C1535" s="18">
        <v>45.008072249633997</v>
      </c>
      <c r="D1535" s="18">
        <v>2014</v>
      </c>
      <c r="E1535" s="19"/>
      <c r="F1535" s="19"/>
    </row>
    <row r="1536" spans="1:6" ht="19.95" customHeight="1" x14ac:dyDescent="0.25">
      <c r="A1536" s="17" t="s">
        <v>33</v>
      </c>
      <c r="B1536" s="18" t="s">
        <v>14</v>
      </c>
      <c r="C1536" s="18">
        <v>21.019770567884201</v>
      </c>
      <c r="D1536" s="18">
        <v>2014</v>
      </c>
      <c r="E1536" s="19"/>
      <c r="F1536" s="19"/>
    </row>
    <row r="1537" spans="1:6" ht="19.95" customHeight="1" x14ac:dyDescent="0.25">
      <c r="A1537" s="17" t="s">
        <v>34</v>
      </c>
      <c r="B1537" s="18" t="s">
        <v>14</v>
      </c>
      <c r="C1537" s="18">
        <v>14.7221145338989</v>
      </c>
      <c r="D1537" s="18">
        <v>2014</v>
      </c>
      <c r="E1537" s="19"/>
      <c r="F1537" s="19"/>
    </row>
    <row r="1538" spans="1:6" ht="19.95" customHeight="1" x14ac:dyDescent="0.25">
      <c r="A1538" s="17" t="s">
        <v>35</v>
      </c>
      <c r="B1538" s="18" t="s">
        <v>14</v>
      </c>
      <c r="C1538" s="18"/>
      <c r="D1538" s="18">
        <v>2014</v>
      </c>
      <c r="E1538" s="19"/>
      <c r="F1538" s="19"/>
    </row>
    <row r="1539" spans="1:6" ht="19.95" customHeight="1" x14ac:dyDescent="0.25">
      <c r="A1539" s="17" t="s">
        <v>2</v>
      </c>
      <c r="B1539" s="18" t="s">
        <v>14</v>
      </c>
      <c r="C1539" s="18">
        <v>21.088762290752999</v>
      </c>
      <c r="D1539" s="18">
        <v>2014</v>
      </c>
      <c r="E1539" s="19"/>
      <c r="F1539" s="19"/>
    </row>
    <row r="1540" spans="1:6" ht="19.95" customHeight="1" x14ac:dyDescent="0.25">
      <c r="A1540" s="17" t="s">
        <v>36</v>
      </c>
      <c r="B1540" s="18" t="s">
        <v>14</v>
      </c>
      <c r="C1540" s="18">
        <v>9.0540394516414793</v>
      </c>
      <c r="D1540" s="18">
        <v>2014</v>
      </c>
      <c r="E1540" s="19"/>
      <c r="F1540" s="19"/>
    </row>
    <row r="1541" spans="1:6" ht="19.95" customHeight="1" x14ac:dyDescent="0.25">
      <c r="A1541" s="17" t="s">
        <v>37</v>
      </c>
      <c r="B1541" s="18" t="s">
        <v>14</v>
      </c>
      <c r="C1541" s="18">
        <v>19.4141823209435</v>
      </c>
      <c r="D1541" s="18">
        <v>2014</v>
      </c>
      <c r="E1541" s="19"/>
      <c r="F1541" s="19"/>
    </row>
    <row r="1542" spans="1:6" ht="19.95" customHeight="1" x14ac:dyDescent="0.25">
      <c r="A1542" s="17" t="s">
        <v>38</v>
      </c>
      <c r="B1542" s="18" t="s">
        <v>14</v>
      </c>
      <c r="C1542" s="18">
        <v>18.1702567498821</v>
      </c>
      <c r="D1542" s="18">
        <v>2014</v>
      </c>
      <c r="E1542" s="19"/>
      <c r="F1542" s="19"/>
    </row>
    <row r="1543" spans="1:6" ht="19.95" customHeight="1" x14ac:dyDescent="0.25">
      <c r="A1543" s="17" t="s">
        <v>39</v>
      </c>
      <c r="B1543" s="18" t="s">
        <v>14</v>
      </c>
      <c r="C1543" s="18">
        <v>38.822429369467301</v>
      </c>
      <c r="D1543" s="18">
        <v>2014</v>
      </c>
      <c r="E1543" s="19"/>
      <c r="F1543" s="19"/>
    </row>
    <row r="1544" spans="1:6" ht="19.95" customHeight="1" x14ac:dyDescent="0.25">
      <c r="A1544" s="17" t="s">
        <v>40</v>
      </c>
      <c r="B1544" s="18" t="s">
        <v>14</v>
      </c>
      <c r="C1544" s="18">
        <v>25.6776040942596</v>
      </c>
      <c r="D1544" s="18">
        <v>2014</v>
      </c>
      <c r="E1544" s="19"/>
      <c r="F1544" s="19"/>
    </row>
    <row r="1545" spans="1:6" ht="19.95" customHeight="1" x14ac:dyDescent="0.25">
      <c r="A1545" s="17" t="s">
        <v>10</v>
      </c>
      <c r="B1545" s="18" t="s">
        <v>14</v>
      </c>
      <c r="C1545" s="18">
        <v>6.2526184101750202</v>
      </c>
      <c r="D1545" s="18">
        <v>2015</v>
      </c>
      <c r="E1545" s="19"/>
      <c r="F1545" s="19"/>
    </row>
    <row r="1546" spans="1:6" ht="19.95" customHeight="1" x14ac:dyDescent="0.25">
      <c r="A1546" s="17" t="s">
        <v>13</v>
      </c>
      <c r="B1546" s="18" t="s">
        <v>14</v>
      </c>
      <c r="C1546" s="18">
        <v>22.259666218622101</v>
      </c>
      <c r="D1546" s="18">
        <v>2015</v>
      </c>
      <c r="E1546" s="19"/>
      <c r="F1546" s="19"/>
    </row>
    <row r="1547" spans="1:6" ht="19.95" customHeight="1" x14ac:dyDescent="0.25">
      <c r="A1547" s="17" t="s">
        <v>16</v>
      </c>
      <c r="B1547" s="18" t="s">
        <v>14</v>
      </c>
      <c r="C1547" s="18">
        <v>29.8930571008835</v>
      </c>
      <c r="D1547" s="18">
        <v>2015</v>
      </c>
      <c r="E1547" s="19"/>
      <c r="F1547" s="19"/>
    </row>
    <row r="1548" spans="1:6" ht="19.95" customHeight="1" x14ac:dyDescent="0.25">
      <c r="A1548" s="17" t="s">
        <v>15</v>
      </c>
      <c r="B1548" s="18" t="s">
        <v>14</v>
      </c>
      <c r="C1548" s="18">
        <v>17.790416703903901</v>
      </c>
      <c r="D1548" s="18">
        <v>2015</v>
      </c>
      <c r="E1548" s="19"/>
      <c r="F1548" s="19"/>
    </row>
    <row r="1549" spans="1:6" ht="19.95" customHeight="1" x14ac:dyDescent="0.25">
      <c r="A1549" s="17" t="s">
        <v>17</v>
      </c>
      <c r="B1549" s="18" t="s">
        <v>14</v>
      </c>
      <c r="C1549" s="18">
        <v>38.676265148838901</v>
      </c>
      <c r="D1549" s="18">
        <v>2015</v>
      </c>
      <c r="E1549" s="19"/>
      <c r="F1549" s="19"/>
    </row>
    <row r="1550" spans="1:6" ht="19.95" customHeight="1" x14ac:dyDescent="0.25">
      <c r="A1550" s="17" t="s">
        <v>18</v>
      </c>
      <c r="B1550" s="18" t="s">
        <v>14</v>
      </c>
      <c r="C1550" s="18">
        <v>9.3633135973592605</v>
      </c>
      <c r="D1550" s="18">
        <v>2015</v>
      </c>
      <c r="E1550" s="19"/>
      <c r="F1550" s="19"/>
    </row>
    <row r="1551" spans="1:6" ht="19.95" customHeight="1" x14ac:dyDescent="0.25">
      <c r="A1551" s="17" t="s">
        <v>19</v>
      </c>
      <c r="B1551" s="18" t="s">
        <v>14</v>
      </c>
      <c r="C1551" s="18">
        <v>23.063515379677</v>
      </c>
      <c r="D1551" s="18">
        <v>2015</v>
      </c>
      <c r="E1551" s="19"/>
      <c r="F1551" s="19"/>
    </row>
    <row r="1552" spans="1:6" ht="19.95" customHeight="1" x14ac:dyDescent="0.25">
      <c r="A1552" s="17" t="s">
        <v>20</v>
      </c>
      <c r="B1552" s="18" t="s">
        <v>14</v>
      </c>
      <c r="C1552" s="18">
        <v>20.007364674113202</v>
      </c>
      <c r="D1552" s="18">
        <v>2015</v>
      </c>
      <c r="E1552" s="19"/>
      <c r="F1552" s="19"/>
    </row>
    <row r="1553" spans="1:6" ht="19.95" customHeight="1" x14ac:dyDescent="0.25">
      <c r="A1553" s="17" t="s">
        <v>21</v>
      </c>
      <c r="B1553" s="18" t="s">
        <v>14</v>
      </c>
      <c r="C1553" s="18">
        <v>16.592443318291</v>
      </c>
      <c r="D1553" s="18">
        <v>2015</v>
      </c>
      <c r="E1553" s="19"/>
      <c r="F1553" s="19"/>
    </row>
    <row r="1554" spans="1:6" ht="19.95" customHeight="1" x14ac:dyDescent="0.25">
      <c r="A1554" s="17" t="s">
        <v>22</v>
      </c>
      <c r="B1554" s="18" t="s">
        <v>14</v>
      </c>
      <c r="C1554" s="18">
        <v>21.939416900583801</v>
      </c>
      <c r="D1554" s="18">
        <v>2015</v>
      </c>
      <c r="E1554" s="19"/>
      <c r="F1554" s="19"/>
    </row>
    <row r="1555" spans="1:6" ht="19.95" customHeight="1" x14ac:dyDescent="0.25">
      <c r="A1555" s="17" t="s">
        <v>23</v>
      </c>
      <c r="B1555" s="18" t="s">
        <v>14</v>
      </c>
      <c r="C1555" s="18">
        <v>19.469026548672598</v>
      </c>
      <c r="D1555" s="18">
        <v>2015</v>
      </c>
      <c r="E1555" s="19"/>
      <c r="F1555" s="19"/>
    </row>
    <row r="1556" spans="1:6" ht="19.95" customHeight="1" x14ac:dyDescent="0.25">
      <c r="A1556" s="17" t="s">
        <v>24</v>
      </c>
      <c r="B1556" s="18" t="s">
        <v>14</v>
      </c>
      <c r="C1556" s="18">
        <v>32.064005118253</v>
      </c>
      <c r="D1556" s="18">
        <v>2015</v>
      </c>
      <c r="E1556" s="19"/>
      <c r="F1556" s="19"/>
    </row>
    <row r="1557" spans="1:6" ht="19.95" customHeight="1" x14ac:dyDescent="0.25">
      <c r="A1557" s="17" t="s">
        <v>25</v>
      </c>
      <c r="B1557" s="18" t="s">
        <v>14</v>
      </c>
      <c r="C1557" s="18">
        <v>29.1565198766117</v>
      </c>
      <c r="D1557" s="18">
        <v>2015</v>
      </c>
      <c r="E1557" s="19"/>
      <c r="F1557" s="19"/>
    </row>
    <row r="1558" spans="1:6" ht="19.95" customHeight="1" x14ac:dyDescent="0.25">
      <c r="A1558" s="17" t="s">
        <v>26</v>
      </c>
      <c r="B1558" s="18" t="s">
        <v>14</v>
      </c>
      <c r="C1558" s="18">
        <v>24.043227932297</v>
      </c>
      <c r="D1558" s="18">
        <v>2015</v>
      </c>
      <c r="E1558" s="19"/>
      <c r="F1558" s="19"/>
    </row>
    <row r="1559" spans="1:6" ht="19.95" customHeight="1" x14ac:dyDescent="0.25">
      <c r="A1559" s="17" t="s">
        <v>27</v>
      </c>
      <c r="B1559" s="18" t="s">
        <v>14</v>
      </c>
      <c r="C1559" s="18">
        <v>42.804529915227299</v>
      </c>
      <c r="D1559" s="18">
        <v>2015</v>
      </c>
      <c r="E1559" s="19"/>
      <c r="F1559" s="19"/>
    </row>
    <row r="1560" spans="1:6" ht="19.95" customHeight="1" x14ac:dyDescent="0.25">
      <c r="A1560" s="17" t="s">
        <v>28</v>
      </c>
      <c r="B1560" s="18" t="s">
        <v>14</v>
      </c>
      <c r="C1560" s="18">
        <v>32.216277673686399</v>
      </c>
      <c r="D1560" s="18">
        <v>2015</v>
      </c>
      <c r="E1560" s="19"/>
      <c r="F1560" s="19"/>
    </row>
    <row r="1561" spans="1:6" ht="19.95" customHeight="1" x14ac:dyDescent="0.25">
      <c r="A1561" s="17" t="s">
        <v>29</v>
      </c>
      <c r="B1561" s="18" t="s">
        <v>14</v>
      </c>
      <c r="C1561" s="18">
        <v>20.799172855575499</v>
      </c>
      <c r="D1561" s="18">
        <v>2015</v>
      </c>
      <c r="E1561" s="19"/>
      <c r="F1561" s="19"/>
    </row>
    <row r="1562" spans="1:6" ht="19.95" customHeight="1" x14ac:dyDescent="0.25">
      <c r="A1562" s="17" t="s">
        <v>31</v>
      </c>
      <c r="B1562" s="18" t="s">
        <v>14</v>
      </c>
      <c r="C1562" s="18">
        <v>11.6219397442892</v>
      </c>
      <c r="D1562" s="18">
        <v>2015</v>
      </c>
      <c r="E1562" s="19"/>
      <c r="F1562" s="19"/>
    </row>
    <row r="1563" spans="1:6" ht="19.95" customHeight="1" x14ac:dyDescent="0.25">
      <c r="A1563" s="17" t="s">
        <v>32</v>
      </c>
      <c r="B1563" s="18" t="s">
        <v>14</v>
      </c>
      <c r="C1563" s="18">
        <v>40.5508552960546</v>
      </c>
      <c r="D1563" s="18">
        <v>2015</v>
      </c>
      <c r="E1563" s="19"/>
      <c r="F1563" s="19"/>
    </row>
    <row r="1564" spans="1:6" ht="19.95" customHeight="1" x14ac:dyDescent="0.25">
      <c r="A1564" s="17" t="s">
        <v>33</v>
      </c>
      <c r="B1564" s="18" t="s">
        <v>14</v>
      </c>
      <c r="C1564" s="18">
        <v>18.188851286616199</v>
      </c>
      <c r="D1564" s="18">
        <v>2015</v>
      </c>
      <c r="E1564" s="19"/>
      <c r="F1564" s="19"/>
    </row>
    <row r="1565" spans="1:6" ht="19.95" customHeight="1" x14ac:dyDescent="0.25">
      <c r="A1565" s="17" t="s">
        <v>34</v>
      </c>
      <c r="B1565" s="18" t="s">
        <v>14</v>
      </c>
      <c r="C1565" s="18">
        <v>14.2427395121912</v>
      </c>
      <c r="D1565" s="18">
        <v>2015</v>
      </c>
      <c r="E1565" s="19"/>
      <c r="F1565" s="19"/>
    </row>
    <row r="1566" spans="1:6" ht="19.95" customHeight="1" x14ac:dyDescent="0.25">
      <c r="A1566" s="17" t="s">
        <v>35</v>
      </c>
      <c r="B1566" s="18" t="s">
        <v>14</v>
      </c>
      <c r="C1566" s="18"/>
      <c r="D1566" s="18">
        <v>2015</v>
      </c>
      <c r="E1566" s="19"/>
      <c r="F1566" s="19"/>
    </row>
    <row r="1567" spans="1:6" ht="19.95" customHeight="1" x14ac:dyDescent="0.25">
      <c r="A1567" s="17" t="s">
        <v>2</v>
      </c>
      <c r="B1567" s="18" t="s">
        <v>14</v>
      </c>
      <c r="C1567" s="18">
        <v>21.013103191359001</v>
      </c>
      <c r="D1567" s="18">
        <v>2015</v>
      </c>
      <c r="E1567" s="19"/>
      <c r="F1567" s="19"/>
    </row>
    <row r="1568" spans="1:6" ht="19.95" customHeight="1" x14ac:dyDescent="0.25">
      <c r="A1568" s="17" t="s">
        <v>36</v>
      </c>
      <c r="B1568" s="18" t="s">
        <v>14</v>
      </c>
      <c r="C1568" s="18">
        <v>10.5039418118409</v>
      </c>
      <c r="D1568" s="18">
        <v>2015</v>
      </c>
      <c r="E1568" s="19"/>
      <c r="F1568" s="19"/>
    </row>
    <row r="1569" spans="1:6" ht="19.95" customHeight="1" x14ac:dyDescent="0.25">
      <c r="A1569" s="17" t="s">
        <v>37</v>
      </c>
      <c r="B1569" s="18" t="s">
        <v>14</v>
      </c>
      <c r="C1569" s="18">
        <v>21.623518041850101</v>
      </c>
      <c r="D1569" s="18">
        <v>2015</v>
      </c>
      <c r="E1569" s="19"/>
      <c r="F1569" s="19"/>
    </row>
    <row r="1570" spans="1:6" ht="19.95" customHeight="1" x14ac:dyDescent="0.25">
      <c r="A1570" s="17" t="s">
        <v>38</v>
      </c>
      <c r="B1570" s="18" t="s">
        <v>14</v>
      </c>
      <c r="C1570" s="18">
        <v>18.4443044055058</v>
      </c>
      <c r="D1570" s="18">
        <v>2015</v>
      </c>
      <c r="E1570" s="19"/>
      <c r="F1570" s="19"/>
    </row>
    <row r="1571" spans="1:6" ht="19.95" customHeight="1" x14ac:dyDescent="0.25">
      <c r="A1571" s="17" t="s">
        <v>39</v>
      </c>
      <c r="B1571" s="18" t="s">
        <v>14</v>
      </c>
      <c r="C1571" s="18">
        <v>37.1384510181256</v>
      </c>
      <c r="D1571" s="18">
        <v>2015</v>
      </c>
      <c r="E1571" s="19"/>
      <c r="F1571" s="19"/>
    </row>
    <row r="1572" spans="1:6" ht="19.95" customHeight="1" x14ac:dyDescent="0.25">
      <c r="A1572" s="17" t="s">
        <v>40</v>
      </c>
      <c r="B1572" s="18" t="s">
        <v>14</v>
      </c>
      <c r="C1572" s="18">
        <v>23.459349475369301</v>
      </c>
      <c r="D1572" s="18">
        <v>2015</v>
      </c>
      <c r="E1572" s="19"/>
      <c r="F1572" s="19"/>
    </row>
    <row r="1573" spans="1:6" ht="19.95" customHeight="1" x14ac:dyDescent="0.25">
      <c r="A1573" s="17" t="s">
        <v>10</v>
      </c>
      <c r="B1573" s="18" t="s">
        <v>14</v>
      </c>
      <c r="C1573" s="18">
        <v>6.2409509050453504</v>
      </c>
      <c r="D1573" s="18">
        <v>2016</v>
      </c>
      <c r="E1573" s="19"/>
      <c r="F1573" s="19"/>
    </row>
    <row r="1574" spans="1:6" ht="19.95" customHeight="1" x14ac:dyDescent="0.25">
      <c r="A1574" s="17" t="s">
        <v>13</v>
      </c>
      <c r="B1574" s="18" t="s">
        <v>14</v>
      </c>
      <c r="C1574" s="18">
        <v>18.583480764197901</v>
      </c>
      <c r="D1574" s="18">
        <v>2016</v>
      </c>
      <c r="E1574" s="19"/>
      <c r="F1574" s="19"/>
    </row>
    <row r="1575" spans="1:6" ht="19.95" customHeight="1" x14ac:dyDescent="0.25">
      <c r="A1575" s="17" t="s">
        <v>16</v>
      </c>
      <c r="B1575" s="18" t="s">
        <v>14</v>
      </c>
      <c r="C1575" s="18">
        <v>28.191693734929299</v>
      </c>
      <c r="D1575" s="18">
        <v>2016</v>
      </c>
      <c r="E1575" s="19"/>
      <c r="F1575" s="19"/>
    </row>
    <row r="1576" spans="1:6" ht="19.95" customHeight="1" x14ac:dyDescent="0.25">
      <c r="A1576" s="17" t="s">
        <v>15</v>
      </c>
      <c r="B1576" s="18" t="s">
        <v>14</v>
      </c>
      <c r="C1576" s="18">
        <v>15.942111720609599</v>
      </c>
      <c r="D1576" s="18">
        <v>2016</v>
      </c>
      <c r="E1576" s="19"/>
      <c r="F1576" s="19"/>
    </row>
    <row r="1577" spans="1:6" ht="19.95" customHeight="1" x14ac:dyDescent="0.25">
      <c r="A1577" s="17" t="s">
        <v>17</v>
      </c>
      <c r="B1577" s="18" t="s">
        <v>14</v>
      </c>
      <c r="C1577" s="18">
        <v>33.713735791057502</v>
      </c>
      <c r="D1577" s="18">
        <v>2016</v>
      </c>
      <c r="E1577" s="19"/>
      <c r="F1577" s="19"/>
    </row>
    <row r="1578" spans="1:6" ht="19.95" customHeight="1" x14ac:dyDescent="0.25">
      <c r="A1578" s="17" t="s">
        <v>18</v>
      </c>
      <c r="B1578" s="18" t="s">
        <v>14</v>
      </c>
      <c r="C1578" s="18">
        <v>7.9480197264995196</v>
      </c>
      <c r="D1578" s="18">
        <v>2016</v>
      </c>
      <c r="E1578" s="19"/>
      <c r="F1578" s="19"/>
    </row>
    <row r="1579" spans="1:6" ht="19.95" customHeight="1" x14ac:dyDescent="0.25">
      <c r="A1579" s="17" t="s">
        <v>19</v>
      </c>
      <c r="B1579" s="18" t="s">
        <v>14</v>
      </c>
      <c r="C1579" s="18">
        <v>29.42903111028</v>
      </c>
      <c r="D1579" s="18">
        <v>2016</v>
      </c>
      <c r="E1579" s="19"/>
      <c r="F1579" s="19"/>
    </row>
    <row r="1580" spans="1:6" ht="19.95" customHeight="1" x14ac:dyDescent="0.25">
      <c r="A1580" s="17" t="s">
        <v>20</v>
      </c>
      <c r="B1580" s="18" t="s">
        <v>14</v>
      </c>
      <c r="C1580" s="18">
        <v>20.721844010540099</v>
      </c>
      <c r="D1580" s="18">
        <v>2016</v>
      </c>
      <c r="E1580" s="19"/>
      <c r="F1580" s="19"/>
    </row>
    <row r="1581" spans="1:6" ht="19.95" customHeight="1" x14ac:dyDescent="0.25">
      <c r="A1581" s="17" t="s">
        <v>21</v>
      </c>
      <c r="B1581" s="18" t="s">
        <v>14</v>
      </c>
      <c r="C1581" s="18">
        <v>13.971218534802899</v>
      </c>
      <c r="D1581" s="18">
        <v>2016</v>
      </c>
      <c r="E1581" s="19"/>
      <c r="F1581" s="19"/>
    </row>
    <row r="1582" spans="1:6" ht="19.95" customHeight="1" x14ac:dyDescent="0.25">
      <c r="A1582" s="17" t="s">
        <v>22</v>
      </c>
      <c r="B1582" s="18" t="s">
        <v>14</v>
      </c>
      <c r="C1582" s="18">
        <v>23.288528694735501</v>
      </c>
      <c r="D1582" s="18">
        <v>2016</v>
      </c>
      <c r="E1582" s="19"/>
      <c r="F1582" s="19"/>
    </row>
    <row r="1583" spans="1:6" ht="19.95" customHeight="1" x14ac:dyDescent="0.25">
      <c r="A1583" s="17" t="s">
        <v>23</v>
      </c>
      <c r="B1583" s="18" t="s">
        <v>14</v>
      </c>
      <c r="C1583" s="18">
        <v>21.418372203712501</v>
      </c>
      <c r="D1583" s="18">
        <v>2016</v>
      </c>
      <c r="E1583" s="19"/>
      <c r="F1583" s="19"/>
    </row>
    <row r="1584" spans="1:6" ht="19.95" customHeight="1" x14ac:dyDescent="0.25">
      <c r="A1584" s="17" t="s">
        <v>24</v>
      </c>
      <c r="B1584" s="18" t="s">
        <v>14</v>
      </c>
      <c r="C1584" s="18">
        <v>33.496719870636198</v>
      </c>
      <c r="D1584" s="18">
        <v>2016</v>
      </c>
      <c r="E1584" s="19"/>
      <c r="F1584" s="19"/>
    </row>
    <row r="1585" spans="1:6" ht="19.95" customHeight="1" x14ac:dyDescent="0.25">
      <c r="A1585" s="17" t="s">
        <v>25</v>
      </c>
      <c r="B1585" s="18" t="s">
        <v>14</v>
      </c>
      <c r="C1585" s="18">
        <v>32.966918314769501</v>
      </c>
      <c r="D1585" s="18">
        <v>2016</v>
      </c>
      <c r="E1585" s="19"/>
      <c r="F1585" s="19"/>
    </row>
    <row r="1586" spans="1:6" ht="19.95" customHeight="1" x14ac:dyDescent="0.25">
      <c r="A1586" s="17" t="s">
        <v>26</v>
      </c>
      <c r="B1586" s="18" t="s">
        <v>14</v>
      </c>
      <c r="C1586" s="18">
        <v>22.9137678617757</v>
      </c>
      <c r="D1586" s="18">
        <v>2016</v>
      </c>
      <c r="E1586" s="19"/>
      <c r="F1586" s="19"/>
    </row>
    <row r="1587" spans="1:6" ht="19.95" customHeight="1" x14ac:dyDescent="0.25">
      <c r="A1587" s="17" t="s">
        <v>27</v>
      </c>
      <c r="B1587" s="18" t="s">
        <v>14</v>
      </c>
      <c r="C1587" s="18">
        <v>43.3302805822876</v>
      </c>
      <c r="D1587" s="18">
        <v>2016</v>
      </c>
      <c r="E1587" s="19"/>
      <c r="F1587" s="19"/>
    </row>
    <row r="1588" spans="1:6" ht="19.95" customHeight="1" x14ac:dyDescent="0.25">
      <c r="A1588" s="17" t="s">
        <v>28</v>
      </c>
      <c r="B1588" s="18" t="s">
        <v>14</v>
      </c>
      <c r="C1588" s="18">
        <v>36.677642239344998</v>
      </c>
      <c r="D1588" s="18">
        <v>2016</v>
      </c>
      <c r="E1588" s="19"/>
      <c r="F1588" s="19"/>
    </row>
    <row r="1589" spans="1:6" ht="19.95" customHeight="1" x14ac:dyDescent="0.25">
      <c r="A1589" s="17" t="s">
        <v>29</v>
      </c>
      <c r="B1589" s="18" t="s">
        <v>14</v>
      </c>
      <c r="C1589" s="18">
        <v>17.092432209045601</v>
      </c>
      <c r="D1589" s="18">
        <v>2016</v>
      </c>
      <c r="E1589" s="19"/>
      <c r="F1589" s="19"/>
    </row>
    <row r="1590" spans="1:6" ht="19.95" customHeight="1" x14ac:dyDescent="0.25">
      <c r="A1590" s="17" t="s">
        <v>31</v>
      </c>
      <c r="B1590" s="18" t="s">
        <v>14</v>
      </c>
      <c r="C1590" s="18">
        <v>9.4925439675177206</v>
      </c>
      <c r="D1590" s="18">
        <v>2016</v>
      </c>
      <c r="E1590" s="19"/>
      <c r="F1590" s="19"/>
    </row>
    <row r="1591" spans="1:6" ht="19.95" customHeight="1" x14ac:dyDescent="0.25">
      <c r="A1591" s="17" t="s">
        <v>32</v>
      </c>
      <c r="B1591" s="18" t="s">
        <v>14</v>
      </c>
      <c r="C1591" s="18">
        <v>39.101991579144403</v>
      </c>
      <c r="D1591" s="18">
        <v>2016</v>
      </c>
      <c r="E1591" s="19"/>
      <c r="F1591" s="19"/>
    </row>
    <row r="1592" spans="1:6" ht="19.95" customHeight="1" x14ac:dyDescent="0.25">
      <c r="A1592" s="17" t="s">
        <v>33</v>
      </c>
      <c r="B1592" s="18" t="s">
        <v>14</v>
      </c>
      <c r="C1592" s="18">
        <v>16.1675439604697</v>
      </c>
      <c r="D1592" s="18">
        <v>2016</v>
      </c>
      <c r="E1592" s="19"/>
      <c r="F1592" s="19"/>
    </row>
    <row r="1593" spans="1:6" ht="19.95" customHeight="1" x14ac:dyDescent="0.25">
      <c r="A1593" s="17" t="s">
        <v>34</v>
      </c>
      <c r="B1593" s="18" t="s">
        <v>14</v>
      </c>
      <c r="C1593" s="18">
        <v>14.9269545880378</v>
      </c>
      <c r="D1593" s="18">
        <v>2016</v>
      </c>
      <c r="E1593" s="19"/>
      <c r="F1593" s="19"/>
    </row>
    <row r="1594" spans="1:6" ht="19.95" customHeight="1" x14ac:dyDescent="0.25">
      <c r="A1594" s="17" t="s">
        <v>35</v>
      </c>
      <c r="B1594" s="18" t="s">
        <v>14</v>
      </c>
      <c r="C1594" s="18"/>
      <c r="D1594" s="18">
        <v>2016</v>
      </c>
      <c r="E1594" s="19"/>
      <c r="F1594" s="19"/>
    </row>
    <row r="1595" spans="1:6" ht="19.95" customHeight="1" x14ac:dyDescent="0.25">
      <c r="A1595" s="17" t="s">
        <v>2</v>
      </c>
      <c r="B1595" s="18" t="s">
        <v>14</v>
      </c>
      <c r="C1595" s="18">
        <v>21.332843840231099</v>
      </c>
      <c r="D1595" s="18">
        <v>2016</v>
      </c>
      <c r="E1595" s="19"/>
      <c r="F1595" s="19"/>
    </row>
    <row r="1596" spans="1:6" ht="19.95" customHeight="1" x14ac:dyDescent="0.25">
      <c r="A1596" s="17" t="s">
        <v>36</v>
      </c>
      <c r="B1596" s="18" t="s">
        <v>14</v>
      </c>
      <c r="C1596" s="18">
        <v>13.276742896691999</v>
      </c>
      <c r="D1596" s="18">
        <v>2016</v>
      </c>
      <c r="E1596" s="19"/>
      <c r="F1596" s="19"/>
    </row>
    <row r="1597" spans="1:6" ht="19.95" customHeight="1" x14ac:dyDescent="0.25">
      <c r="A1597" s="17" t="s">
        <v>37</v>
      </c>
      <c r="B1597" s="18" t="s">
        <v>14</v>
      </c>
      <c r="C1597" s="18">
        <v>19.592305081512201</v>
      </c>
      <c r="D1597" s="18">
        <v>2016</v>
      </c>
      <c r="E1597" s="19"/>
      <c r="F1597" s="19"/>
    </row>
    <row r="1598" spans="1:6" ht="19.95" customHeight="1" x14ac:dyDescent="0.25">
      <c r="A1598" s="17" t="s">
        <v>38</v>
      </c>
      <c r="B1598" s="18" t="s">
        <v>14</v>
      </c>
      <c r="C1598" s="18">
        <v>18.581515995322601</v>
      </c>
      <c r="D1598" s="18">
        <v>2016</v>
      </c>
      <c r="E1598" s="19"/>
      <c r="F1598" s="19"/>
    </row>
    <row r="1599" spans="1:6" ht="19.95" customHeight="1" x14ac:dyDescent="0.25">
      <c r="A1599" s="17" t="s">
        <v>39</v>
      </c>
      <c r="B1599" s="18" t="s">
        <v>14</v>
      </c>
      <c r="C1599" s="18">
        <v>35.324667511962197</v>
      </c>
      <c r="D1599" s="18">
        <v>2016</v>
      </c>
      <c r="E1599" s="19"/>
      <c r="F1599" s="19"/>
    </row>
    <row r="1600" spans="1:6" ht="19.95" customHeight="1" x14ac:dyDescent="0.25">
      <c r="A1600" s="17" t="s">
        <v>40</v>
      </c>
      <c r="B1600" s="18" t="s">
        <v>14</v>
      </c>
      <c r="C1600" s="18">
        <v>24.657893288361901</v>
      </c>
      <c r="D1600" s="18">
        <v>2016</v>
      </c>
      <c r="E1600" s="19"/>
      <c r="F1600" s="19"/>
    </row>
    <row r="1601" spans="1:6" ht="19.95" customHeight="1" x14ac:dyDescent="0.25">
      <c r="A1601" s="17" t="s">
        <v>10</v>
      </c>
      <c r="B1601" s="18" t="s">
        <v>14</v>
      </c>
      <c r="C1601" s="18"/>
      <c r="D1601" s="18">
        <v>2017</v>
      </c>
      <c r="E1601" s="19"/>
      <c r="F1601" s="19"/>
    </row>
    <row r="1602" spans="1:6" ht="19.95" customHeight="1" x14ac:dyDescent="0.25">
      <c r="A1602" s="17" t="s">
        <v>13</v>
      </c>
      <c r="B1602" s="18" t="s">
        <v>14</v>
      </c>
      <c r="C1602" s="18">
        <v>16.9598714609821</v>
      </c>
      <c r="D1602" s="18">
        <v>2017</v>
      </c>
      <c r="E1602" s="19"/>
      <c r="F1602" s="19"/>
    </row>
    <row r="1603" spans="1:6" ht="19.95" customHeight="1" x14ac:dyDescent="0.25">
      <c r="A1603" s="17" t="s">
        <v>16</v>
      </c>
      <c r="B1603" s="18" t="s">
        <v>14</v>
      </c>
      <c r="C1603" s="18">
        <v>33.8539186236018</v>
      </c>
      <c r="D1603" s="18">
        <v>2017</v>
      </c>
      <c r="E1603" s="19"/>
      <c r="F1603" s="19"/>
    </row>
    <row r="1604" spans="1:6" ht="19.95" customHeight="1" x14ac:dyDescent="0.25">
      <c r="A1604" s="17" t="s">
        <v>15</v>
      </c>
      <c r="B1604" s="18" t="s">
        <v>14</v>
      </c>
      <c r="C1604" s="18">
        <v>17.7</v>
      </c>
      <c r="D1604" s="18">
        <v>2017</v>
      </c>
      <c r="E1604" s="19"/>
      <c r="F1604" s="19"/>
    </row>
    <row r="1605" spans="1:6" ht="19.95" customHeight="1" x14ac:dyDescent="0.25">
      <c r="A1605" s="17" t="s">
        <v>17</v>
      </c>
      <c r="B1605" s="18" t="s">
        <v>14</v>
      </c>
      <c r="C1605" s="18">
        <v>34.2265940504398</v>
      </c>
      <c r="D1605" s="18">
        <v>2017</v>
      </c>
      <c r="E1605" s="19"/>
      <c r="F1605" s="19"/>
    </row>
    <row r="1606" spans="1:6" ht="19.95" customHeight="1" x14ac:dyDescent="0.25">
      <c r="A1606" s="17" t="s">
        <v>18</v>
      </c>
      <c r="B1606" s="18" t="s">
        <v>14</v>
      </c>
      <c r="C1606" s="18">
        <v>7.7383298203974604</v>
      </c>
      <c r="D1606" s="18">
        <v>2017</v>
      </c>
      <c r="E1606" s="19"/>
      <c r="F1606" s="19"/>
    </row>
    <row r="1607" spans="1:6" ht="19.95" customHeight="1" x14ac:dyDescent="0.25">
      <c r="A1607" s="17" t="s">
        <v>19</v>
      </c>
      <c r="B1607" s="18" t="s">
        <v>14</v>
      </c>
      <c r="C1607" s="18">
        <v>42.948163001595503</v>
      </c>
      <c r="D1607" s="18">
        <v>2017</v>
      </c>
      <c r="E1607" s="19"/>
      <c r="F1607" s="19"/>
    </row>
    <row r="1608" spans="1:6" ht="19.95" customHeight="1" x14ac:dyDescent="0.25">
      <c r="A1608" s="17" t="s">
        <v>20</v>
      </c>
      <c r="B1608" s="18" t="s">
        <v>14</v>
      </c>
      <c r="C1608" s="18">
        <v>18.8380010545178</v>
      </c>
      <c r="D1608" s="18">
        <v>2017</v>
      </c>
      <c r="E1608" s="19"/>
      <c r="F1608" s="19"/>
    </row>
    <row r="1609" spans="1:6" ht="19.95" customHeight="1" x14ac:dyDescent="0.25">
      <c r="A1609" s="17" t="s">
        <v>21</v>
      </c>
      <c r="B1609" s="18" t="s">
        <v>14</v>
      </c>
      <c r="C1609" s="18">
        <v>13.931212921092699</v>
      </c>
      <c r="D1609" s="18">
        <v>2017</v>
      </c>
      <c r="E1609" s="19"/>
      <c r="F1609" s="19"/>
    </row>
    <row r="1610" spans="1:6" ht="19.95" customHeight="1" x14ac:dyDescent="0.25">
      <c r="A1610" s="17" t="s">
        <v>22</v>
      </c>
      <c r="B1610" s="18" t="s">
        <v>14</v>
      </c>
      <c r="C1610" s="18">
        <v>26.576035409421401</v>
      </c>
      <c r="D1610" s="18">
        <v>2017</v>
      </c>
      <c r="E1610" s="19"/>
      <c r="F1610" s="19"/>
    </row>
    <row r="1611" spans="1:6" ht="19.95" customHeight="1" x14ac:dyDescent="0.25">
      <c r="A1611" s="17" t="s">
        <v>23</v>
      </c>
      <c r="B1611" s="18" t="s">
        <v>14</v>
      </c>
      <c r="C1611" s="18"/>
      <c r="D1611" s="18">
        <v>2017</v>
      </c>
      <c r="E1611" s="19"/>
      <c r="F1611" s="19"/>
    </row>
    <row r="1612" spans="1:6" ht="19.95" customHeight="1" x14ac:dyDescent="0.25">
      <c r="A1612" s="17" t="s">
        <v>24</v>
      </c>
      <c r="B1612" s="18" t="s">
        <v>14</v>
      </c>
      <c r="C1612" s="18">
        <v>35.418556458820703</v>
      </c>
      <c r="D1612" s="18">
        <v>2017</v>
      </c>
      <c r="E1612" s="19"/>
      <c r="F1612" s="19"/>
    </row>
    <row r="1613" spans="1:6" ht="19.95" customHeight="1" x14ac:dyDescent="0.25">
      <c r="A1613" s="17" t="s">
        <v>25</v>
      </c>
      <c r="B1613" s="18" t="s">
        <v>14</v>
      </c>
      <c r="C1613" s="18">
        <v>29.162844079049801</v>
      </c>
      <c r="D1613" s="18">
        <v>2017</v>
      </c>
      <c r="E1613" s="19"/>
      <c r="F1613" s="19"/>
    </row>
    <row r="1614" spans="1:6" ht="19.95" customHeight="1" x14ac:dyDescent="0.25">
      <c r="A1614" s="17" t="s">
        <v>26</v>
      </c>
      <c r="B1614" s="18" t="s">
        <v>14</v>
      </c>
      <c r="C1614" s="18">
        <v>22.079764689271101</v>
      </c>
      <c r="D1614" s="18">
        <v>2017</v>
      </c>
      <c r="E1614" s="19"/>
      <c r="F1614" s="19"/>
    </row>
    <row r="1615" spans="1:6" ht="19.95" customHeight="1" x14ac:dyDescent="0.25">
      <c r="A1615" s="17" t="s">
        <v>27</v>
      </c>
      <c r="B1615" s="18" t="s">
        <v>14</v>
      </c>
      <c r="C1615" s="18">
        <v>42.537956626698303</v>
      </c>
      <c r="D1615" s="18">
        <v>2017</v>
      </c>
      <c r="E1615" s="19"/>
      <c r="F1615" s="19"/>
    </row>
    <row r="1616" spans="1:6" ht="19.95" customHeight="1" x14ac:dyDescent="0.25">
      <c r="A1616" s="17" t="s">
        <v>28</v>
      </c>
      <c r="B1616" s="18" t="s">
        <v>14</v>
      </c>
      <c r="C1616" s="18">
        <v>38.266487420297501</v>
      </c>
      <c r="D1616" s="18">
        <v>2017</v>
      </c>
      <c r="E1616" s="19"/>
      <c r="F1616" s="19"/>
    </row>
    <row r="1617" spans="1:6" ht="19.95" customHeight="1" x14ac:dyDescent="0.25">
      <c r="A1617" s="17" t="s">
        <v>29</v>
      </c>
      <c r="B1617" s="18" t="s">
        <v>14</v>
      </c>
      <c r="C1617" s="18"/>
      <c r="D1617" s="18">
        <v>2017</v>
      </c>
      <c r="E1617" s="19"/>
      <c r="F1617" s="19"/>
    </row>
    <row r="1618" spans="1:6" ht="19.95" customHeight="1" x14ac:dyDescent="0.25">
      <c r="A1618" s="17" t="s">
        <v>31</v>
      </c>
      <c r="B1618" s="18" t="s">
        <v>14</v>
      </c>
      <c r="C1618" s="18">
        <v>9.7581968698520996</v>
      </c>
      <c r="D1618" s="18">
        <v>2017</v>
      </c>
      <c r="E1618" s="19"/>
      <c r="F1618" s="19"/>
    </row>
    <row r="1619" spans="1:6" ht="19.95" customHeight="1" x14ac:dyDescent="0.25">
      <c r="A1619" s="17" t="s">
        <v>32</v>
      </c>
      <c r="B1619" s="18" t="s">
        <v>14</v>
      </c>
      <c r="C1619" s="18">
        <v>41.226851587223898</v>
      </c>
      <c r="D1619" s="18">
        <v>2017</v>
      </c>
      <c r="E1619" s="19"/>
      <c r="F1619" s="19"/>
    </row>
    <row r="1620" spans="1:6" ht="19.95" customHeight="1" x14ac:dyDescent="0.25">
      <c r="A1620" s="17" t="s">
        <v>33</v>
      </c>
      <c r="B1620" s="18" t="s">
        <v>14</v>
      </c>
      <c r="C1620" s="18">
        <v>16.6237373309962</v>
      </c>
      <c r="D1620" s="18">
        <v>2017</v>
      </c>
      <c r="E1620" s="19"/>
      <c r="F1620" s="19"/>
    </row>
    <row r="1621" spans="1:6" ht="19.95" customHeight="1" x14ac:dyDescent="0.25">
      <c r="A1621" s="17" t="s">
        <v>34</v>
      </c>
      <c r="B1621" s="18" t="s">
        <v>14</v>
      </c>
      <c r="C1621" s="18">
        <v>18.242996716260599</v>
      </c>
      <c r="D1621" s="18">
        <v>2017</v>
      </c>
      <c r="E1621" s="19"/>
      <c r="F1621" s="19"/>
    </row>
    <row r="1622" spans="1:6" ht="19.95" customHeight="1" x14ac:dyDescent="0.25">
      <c r="A1622" s="17" t="s">
        <v>35</v>
      </c>
      <c r="B1622" s="18" t="s">
        <v>14</v>
      </c>
      <c r="C1622" s="18"/>
      <c r="D1622" s="18">
        <v>2017</v>
      </c>
      <c r="E1622" s="19"/>
      <c r="F1622" s="19"/>
    </row>
    <row r="1623" spans="1:6" ht="19.95" customHeight="1" x14ac:dyDescent="0.25">
      <c r="A1623" s="17" t="s">
        <v>2</v>
      </c>
      <c r="B1623" s="18" t="s">
        <v>14</v>
      </c>
      <c r="C1623" s="18">
        <v>21.9294664161927</v>
      </c>
      <c r="D1623" s="18">
        <v>2017</v>
      </c>
      <c r="E1623" s="19"/>
      <c r="F1623" s="19"/>
    </row>
    <row r="1624" spans="1:6" ht="19.95" customHeight="1" x14ac:dyDescent="0.25">
      <c r="A1624" s="17" t="s">
        <v>36</v>
      </c>
      <c r="B1624" s="18" t="s">
        <v>14</v>
      </c>
      <c r="C1624" s="18">
        <v>15.709794970340599</v>
      </c>
      <c r="D1624" s="18">
        <v>2017</v>
      </c>
      <c r="E1624" s="19"/>
      <c r="F1624" s="19"/>
    </row>
    <row r="1625" spans="1:6" ht="19.95" customHeight="1" x14ac:dyDescent="0.25">
      <c r="A1625" s="17" t="s">
        <v>37</v>
      </c>
      <c r="B1625" s="18" t="s">
        <v>14</v>
      </c>
      <c r="C1625" s="18"/>
      <c r="D1625" s="18">
        <v>2017</v>
      </c>
      <c r="E1625" s="19"/>
      <c r="F1625" s="19"/>
    </row>
    <row r="1626" spans="1:6" ht="19.95" customHeight="1" x14ac:dyDescent="0.25">
      <c r="A1626" s="17" t="s">
        <v>38</v>
      </c>
      <c r="B1626" s="18" t="s">
        <v>14</v>
      </c>
      <c r="C1626" s="18">
        <v>18.511698613161698</v>
      </c>
      <c r="D1626" s="18">
        <v>2017</v>
      </c>
      <c r="E1626" s="19"/>
      <c r="F1626" s="19"/>
    </row>
    <row r="1627" spans="1:6" ht="19.95" customHeight="1" x14ac:dyDescent="0.25">
      <c r="A1627" s="17" t="s">
        <v>39</v>
      </c>
      <c r="B1627" s="18" t="s">
        <v>14</v>
      </c>
      <c r="C1627" s="18">
        <v>35.2413816682785</v>
      </c>
      <c r="D1627" s="18">
        <v>2017</v>
      </c>
      <c r="E1627" s="19"/>
      <c r="F1627" s="19"/>
    </row>
    <row r="1628" spans="1:6" ht="19.95" customHeight="1" x14ac:dyDescent="0.25">
      <c r="A1628" s="17" t="s">
        <v>40</v>
      </c>
      <c r="B1628" s="18" t="s">
        <v>14</v>
      </c>
      <c r="C1628" s="18">
        <v>24.123425890612101</v>
      </c>
      <c r="D1628" s="18">
        <v>2017</v>
      </c>
      <c r="E1628" s="19"/>
      <c r="F1628" s="19"/>
    </row>
  </sheetData>
  <mergeCells count="3">
    <mergeCell ref="G2:K2"/>
    <mergeCell ref="J4:K4"/>
    <mergeCell ref="M4:T4"/>
  </mergeCells>
  <phoneticPr fontId="14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enlever">
                <anchor moveWithCells="1" sizeWithCells="1">
                  <from>
                    <xdr:col>5</xdr:col>
                    <xdr:colOff>0</xdr:colOff>
                    <xdr:row>6</xdr:row>
                    <xdr:rowOff>38100</xdr:rowOff>
                  </from>
                  <to>
                    <xdr:col>5</xdr:col>
                    <xdr:colOff>1013460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afficher">
                <anchor moveWithCells="1" sizeWithCells="1">
                  <from>
                    <xdr:col>5</xdr:col>
                    <xdr:colOff>7620</xdr:colOff>
                    <xdr:row>3</xdr:row>
                    <xdr:rowOff>274320</xdr:rowOff>
                  </from>
                  <to>
                    <xdr:col>5</xdr:col>
                    <xdr:colOff>1013460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mite 1">
              <controlPr defaultSize="0" print="0" autoFill="0" autoPict="0" macro="[0]!SelectSheet">
                <anchor moveWithCells="1" sizeWithCells="1">
                  <from>
                    <xdr:col>5</xdr:col>
                    <xdr:colOff>0</xdr:colOff>
                    <xdr:row>8</xdr:row>
                    <xdr:rowOff>60960</xdr:rowOff>
                  </from>
                  <to>
                    <xdr:col>5</xdr:col>
                    <xdr:colOff>1013460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K1628"/>
  <sheetViews>
    <sheetView showGridLines="0" topLeftCell="H19" zoomScale="80" zoomScaleNormal="80" workbookViewId="0">
      <selection activeCell="G2" sqref="G2:K2"/>
    </sheetView>
  </sheetViews>
  <sheetFormatPr defaultColWidth="8" defaultRowHeight="19.95" customHeight="1" x14ac:dyDescent="0.25"/>
  <cols>
    <col min="1" max="1" width="13.69921875" style="1" hidden="1" customWidth="1"/>
    <col min="2" max="2" width="22" style="1" hidden="1" customWidth="1"/>
    <col min="3" max="3" width="17" style="1" hidden="1" customWidth="1"/>
    <col min="4" max="4" width="19.8984375" style="1" hidden="1" customWidth="1"/>
    <col min="5" max="5" width="10.59765625" style="1" customWidth="1"/>
    <col min="6" max="6" width="14.5" style="1" customWidth="1"/>
    <col min="7" max="7" width="26.8984375" style="1" customWidth="1"/>
    <col min="8" max="8" width="78.5" style="1" customWidth="1"/>
    <col min="9" max="9" width="5.19921875" style="1" customWidth="1"/>
    <col min="10" max="10" width="13" style="1" bestFit="1" customWidth="1"/>
    <col min="11" max="11" width="16.59765625" style="1" bestFit="1" customWidth="1"/>
    <col min="12" max="17" width="16.3984375" style="1" customWidth="1"/>
    <col min="18" max="30" width="13.5" style="1" bestFit="1" customWidth="1"/>
    <col min="31" max="31" width="21.69921875" style="1" bestFit="1" customWidth="1"/>
    <col min="32" max="33" width="13.5" style="1" bestFit="1" customWidth="1"/>
    <col min="34" max="34" width="12.3984375" style="1" bestFit="1" customWidth="1"/>
    <col min="35" max="37" width="13.5" style="1" bestFit="1" customWidth="1"/>
    <col min="38" max="38" width="13.3984375" style="1" bestFit="1" customWidth="1"/>
    <col min="39" max="39" width="12.09765625" style="1" bestFit="1" customWidth="1"/>
    <col min="40" max="65" width="21" style="1" bestFit="1" customWidth="1"/>
    <col min="66" max="66" width="14.59765625" style="1" bestFit="1" customWidth="1"/>
    <col min="67" max="67" width="14.5" style="1" bestFit="1" customWidth="1"/>
    <col min="68" max="16384" width="8" style="1"/>
  </cols>
  <sheetData>
    <row r="2" spans="1:11" ht="25.2" customHeight="1" x14ac:dyDescent="0.25">
      <c r="G2" s="43" t="s">
        <v>46</v>
      </c>
      <c r="H2" s="46"/>
      <c r="I2" s="46"/>
      <c r="J2" s="46"/>
      <c r="K2" s="46"/>
    </row>
    <row r="3" spans="1:11" ht="10.199999999999999" customHeight="1" x14ac:dyDescent="0.25"/>
    <row r="4" spans="1:11" ht="22.2" customHeight="1" thickBot="1" x14ac:dyDescent="0.3">
      <c r="A4" s="20" t="s">
        <v>4</v>
      </c>
      <c r="B4" s="20" t="s">
        <v>5</v>
      </c>
      <c r="C4" s="20" t="s">
        <v>6</v>
      </c>
      <c r="D4" s="20" t="s">
        <v>7</v>
      </c>
      <c r="H4" s="8" t="s">
        <v>8</v>
      </c>
      <c r="J4" s="44" t="s">
        <v>9</v>
      </c>
      <c r="K4" s="44"/>
    </row>
    <row r="5" spans="1:11" ht="19.95" customHeight="1" thickTop="1" x14ac:dyDescent="0.25">
      <c r="A5" s="21" t="s">
        <v>10</v>
      </c>
      <c r="B5" s="22" t="s">
        <v>41</v>
      </c>
      <c r="C5" s="22"/>
      <c r="D5" s="22">
        <v>1960</v>
      </c>
      <c r="J5" s="53" t="s">
        <v>12</v>
      </c>
      <c r="K5" s="53" t="s">
        <v>4</v>
      </c>
    </row>
    <row r="6" spans="1:11" ht="19.95" customHeight="1" x14ac:dyDescent="0.25">
      <c r="A6" s="21" t="s">
        <v>13</v>
      </c>
      <c r="B6" s="22" t="s">
        <v>42</v>
      </c>
      <c r="C6" s="22"/>
      <c r="D6" s="22">
        <v>1960</v>
      </c>
      <c r="J6" s="54" t="s">
        <v>7</v>
      </c>
      <c r="K6" s="55" t="s">
        <v>21</v>
      </c>
    </row>
    <row r="7" spans="1:11" ht="19.95" customHeight="1" x14ac:dyDescent="0.25">
      <c r="A7" s="21" t="s">
        <v>16</v>
      </c>
      <c r="B7" s="22" t="s">
        <v>42</v>
      </c>
      <c r="C7" s="22"/>
      <c r="D7" s="22">
        <v>1960</v>
      </c>
      <c r="J7" s="34">
        <v>1961</v>
      </c>
      <c r="K7" s="56">
        <v>-7.77463490412923</v>
      </c>
    </row>
    <row r="8" spans="1:11" ht="19.95" customHeight="1" x14ac:dyDescent="0.25">
      <c r="A8" s="21" t="s">
        <v>15</v>
      </c>
      <c r="B8" s="22" t="s">
        <v>42</v>
      </c>
      <c r="C8" s="22"/>
      <c r="D8" s="22">
        <v>1960</v>
      </c>
      <c r="J8" s="34">
        <v>1962</v>
      </c>
      <c r="K8" s="56">
        <v>9.4573587417501308</v>
      </c>
    </row>
    <row r="9" spans="1:11" ht="19.95" customHeight="1" x14ac:dyDescent="0.25">
      <c r="A9" s="21" t="s">
        <v>17</v>
      </c>
      <c r="B9" s="22" t="s">
        <v>42</v>
      </c>
      <c r="C9" s="22"/>
      <c r="D9" s="22">
        <v>1960</v>
      </c>
      <c r="J9" s="34">
        <v>1963</v>
      </c>
      <c r="K9" s="56">
        <v>8.7783402162304895</v>
      </c>
    </row>
    <row r="10" spans="1:11" ht="19.95" customHeight="1" x14ac:dyDescent="0.25">
      <c r="A10" s="21" t="s">
        <v>18</v>
      </c>
      <c r="B10" s="22" t="s">
        <v>42</v>
      </c>
      <c r="C10" s="22"/>
      <c r="D10" s="22">
        <v>1960</v>
      </c>
      <c r="J10" s="34">
        <v>1964</v>
      </c>
      <c r="K10" s="56">
        <v>4.96446728796285</v>
      </c>
    </row>
    <row r="11" spans="1:11" ht="19.95" customHeight="1" x14ac:dyDescent="0.25">
      <c r="A11" s="21" t="s">
        <v>19</v>
      </c>
      <c r="B11" s="22" t="s">
        <v>42</v>
      </c>
      <c r="C11" s="22"/>
      <c r="D11" s="22">
        <v>1960</v>
      </c>
      <c r="J11" s="34">
        <v>1965</v>
      </c>
      <c r="K11" s="56">
        <v>2.0090941708295098</v>
      </c>
    </row>
    <row r="12" spans="1:11" ht="19.95" customHeight="1" x14ac:dyDescent="0.25">
      <c r="A12" s="21" t="s">
        <v>20</v>
      </c>
      <c r="B12" s="22" t="s">
        <v>42</v>
      </c>
      <c r="C12" s="22"/>
      <c r="D12" s="22">
        <v>1960</v>
      </c>
      <c r="J12" s="34">
        <v>1966</v>
      </c>
      <c r="K12" s="56">
        <v>14.728566401776</v>
      </c>
    </row>
    <row r="13" spans="1:11" ht="19.95" customHeight="1" x14ac:dyDescent="0.25">
      <c r="A13" s="21" t="s">
        <v>21</v>
      </c>
      <c r="B13" s="22" t="s">
        <v>42</v>
      </c>
      <c r="C13" s="22"/>
      <c r="D13" s="22">
        <v>1960</v>
      </c>
      <c r="J13" s="34">
        <v>1967</v>
      </c>
      <c r="K13" s="56">
        <v>3.3612320322510501</v>
      </c>
    </row>
    <row r="14" spans="1:11" ht="19.95" customHeight="1" x14ac:dyDescent="0.25">
      <c r="A14" s="21" t="s">
        <v>22</v>
      </c>
      <c r="B14" s="22" t="s">
        <v>42</v>
      </c>
      <c r="C14" s="22"/>
      <c r="D14" s="22">
        <v>1960</v>
      </c>
      <c r="J14" s="34">
        <v>1968</v>
      </c>
      <c r="K14" s="56">
        <v>7.9826899695325704</v>
      </c>
    </row>
    <row r="15" spans="1:11" ht="19.95" customHeight="1" x14ac:dyDescent="0.25">
      <c r="A15" s="21" t="s">
        <v>23</v>
      </c>
      <c r="B15" s="22" t="s">
        <v>42</v>
      </c>
      <c r="C15" s="22"/>
      <c r="D15" s="22">
        <v>1960</v>
      </c>
      <c r="J15" s="34">
        <v>1969</v>
      </c>
      <c r="K15" s="56">
        <v>7.9592244560822802</v>
      </c>
    </row>
    <row r="16" spans="1:11" ht="19.95" customHeight="1" x14ac:dyDescent="0.25">
      <c r="A16" s="21" t="s">
        <v>24</v>
      </c>
      <c r="B16" s="22" t="s">
        <v>42</v>
      </c>
      <c r="C16" s="22"/>
      <c r="D16" s="22">
        <v>1960</v>
      </c>
      <c r="J16" s="34">
        <v>1970</v>
      </c>
      <c r="K16" s="56">
        <v>-4.6554469135628302</v>
      </c>
    </row>
    <row r="17" spans="1:11" ht="19.95" customHeight="1" x14ac:dyDescent="0.25">
      <c r="A17" s="21" t="s">
        <v>25</v>
      </c>
      <c r="B17" s="22" t="s">
        <v>42</v>
      </c>
      <c r="C17" s="22"/>
      <c r="D17" s="22">
        <v>1960</v>
      </c>
      <c r="J17" s="34">
        <v>1971</v>
      </c>
      <c r="K17" s="56">
        <v>22.173891928008501</v>
      </c>
    </row>
    <row r="18" spans="1:11" ht="19.95" customHeight="1" x14ac:dyDescent="0.25">
      <c r="A18" s="21" t="s">
        <v>26</v>
      </c>
      <c r="B18" s="22" t="s">
        <v>42</v>
      </c>
      <c r="C18" s="22"/>
      <c r="D18" s="22">
        <v>1960</v>
      </c>
      <c r="J18" s="34">
        <v>1972</v>
      </c>
      <c r="K18" s="56">
        <v>17.082429345007299</v>
      </c>
    </row>
    <row r="19" spans="1:11" ht="19.95" customHeight="1" x14ac:dyDescent="0.25">
      <c r="A19" s="21" t="s">
        <v>27</v>
      </c>
      <c r="B19" s="22" t="s">
        <v>42</v>
      </c>
      <c r="C19" s="22"/>
      <c r="D19" s="22">
        <v>1960</v>
      </c>
      <c r="J19" s="34">
        <v>1973</v>
      </c>
      <c r="K19" s="56">
        <v>5.8965802146441497</v>
      </c>
    </row>
    <row r="20" spans="1:11" ht="22.2" customHeight="1" x14ac:dyDescent="0.25">
      <c r="A20" s="21" t="s">
        <v>28</v>
      </c>
      <c r="B20" s="22" t="s">
        <v>42</v>
      </c>
      <c r="C20" s="22"/>
      <c r="D20" s="22">
        <v>1960</v>
      </c>
      <c r="H20" s="4" t="s">
        <v>30</v>
      </c>
      <c r="J20" s="34">
        <v>1974</v>
      </c>
      <c r="K20" s="56">
        <v>4.0656173472308597</v>
      </c>
    </row>
    <row r="21" spans="1:11" ht="19.95" customHeight="1" x14ac:dyDescent="0.25">
      <c r="A21" s="21" t="s">
        <v>29</v>
      </c>
      <c r="B21" s="22" t="s">
        <v>42</v>
      </c>
      <c r="C21" s="22"/>
      <c r="D21" s="22">
        <v>1960</v>
      </c>
      <c r="J21" s="34">
        <v>1975</v>
      </c>
      <c r="K21" s="56">
        <v>0.88220317844796603</v>
      </c>
    </row>
    <row r="22" spans="1:11" ht="19.95" customHeight="1" x14ac:dyDescent="0.25">
      <c r="A22" s="21" t="s">
        <v>31</v>
      </c>
      <c r="B22" s="22" t="s">
        <v>42</v>
      </c>
      <c r="C22" s="22"/>
      <c r="D22" s="22">
        <v>1960</v>
      </c>
      <c r="J22" s="34">
        <v>1976</v>
      </c>
      <c r="K22" s="56">
        <v>2.1539644974098602</v>
      </c>
    </row>
    <row r="23" spans="1:11" ht="19.95" customHeight="1" x14ac:dyDescent="0.25">
      <c r="A23" s="21" t="s">
        <v>32</v>
      </c>
      <c r="B23" s="22" t="s">
        <v>42</v>
      </c>
      <c r="C23" s="22"/>
      <c r="D23" s="22">
        <v>1960</v>
      </c>
      <c r="J23" s="34">
        <v>1977</v>
      </c>
      <c r="K23" s="56">
        <v>9.4537978493697903</v>
      </c>
    </row>
    <row r="24" spans="1:11" ht="19.95" customHeight="1" x14ac:dyDescent="0.25">
      <c r="A24" s="21" t="s">
        <v>33</v>
      </c>
      <c r="B24" s="22" t="s">
        <v>42</v>
      </c>
      <c r="C24" s="22"/>
      <c r="D24" s="22">
        <v>1960</v>
      </c>
      <c r="J24" s="34">
        <v>1978</v>
      </c>
      <c r="K24" s="56">
        <v>6.9124935466745496</v>
      </c>
    </row>
    <row r="25" spans="1:11" ht="19.95" customHeight="1" x14ac:dyDescent="0.25">
      <c r="A25" s="21" t="s">
        <v>34</v>
      </c>
      <c r="B25" s="22" t="s">
        <v>42</v>
      </c>
      <c r="C25" s="22"/>
      <c r="D25" s="22">
        <v>1960</v>
      </c>
      <c r="J25" s="34">
        <v>1979</v>
      </c>
      <c r="K25" s="56">
        <v>7.6152260415942399</v>
      </c>
    </row>
    <row r="26" spans="1:11" ht="19.95" customHeight="1" x14ac:dyDescent="0.25">
      <c r="A26" s="21" t="s">
        <v>35</v>
      </c>
      <c r="B26" s="22" t="s">
        <v>42</v>
      </c>
      <c r="C26" s="22"/>
      <c r="D26" s="22">
        <v>1960</v>
      </c>
      <c r="J26" s="34">
        <v>1980</v>
      </c>
      <c r="K26" s="56">
        <v>5.5919762065950396</v>
      </c>
    </row>
    <row r="27" spans="1:11" ht="19.95" customHeight="1" x14ac:dyDescent="0.25">
      <c r="A27" s="21" t="s">
        <v>2</v>
      </c>
      <c r="B27" s="22" t="s">
        <v>42</v>
      </c>
      <c r="C27" s="22"/>
      <c r="D27" s="22">
        <v>1960</v>
      </c>
      <c r="J27" s="34">
        <v>1981</v>
      </c>
      <c r="K27" s="56">
        <v>3.7735441966441998</v>
      </c>
    </row>
    <row r="28" spans="1:11" ht="19.95" customHeight="1" x14ac:dyDescent="0.25">
      <c r="A28" s="21" t="s">
        <v>36</v>
      </c>
      <c r="B28" s="22" t="s">
        <v>42</v>
      </c>
      <c r="C28" s="22"/>
      <c r="D28" s="22">
        <v>1960</v>
      </c>
      <c r="J28" s="34">
        <v>1982</v>
      </c>
      <c r="K28" s="56">
        <v>1.50647825447521</v>
      </c>
    </row>
    <row r="29" spans="1:11" ht="19.95" customHeight="1" x14ac:dyDescent="0.25">
      <c r="A29" s="21" t="s">
        <v>37</v>
      </c>
      <c r="B29" s="22" t="s">
        <v>42</v>
      </c>
      <c r="C29" s="22"/>
      <c r="D29" s="22">
        <v>1960</v>
      </c>
      <c r="J29" s="34">
        <v>1983</v>
      </c>
      <c r="K29" s="56">
        <v>1.30905024171788</v>
      </c>
    </row>
    <row r="30" spans="1:11" ht="19.95" customHeight="1" x14ac:dyDescent="0.25">
      <c r="A30" s="21" t="s">
        <v>38</v>
      </c>
      <c r="B30" s="22" t="s">
        <v>42</v>
      </c>
      <c r="C30" s="22"/>
      <c r="D30" s="22">
        <v>1960</v>
      </c>
      <c r="J30" s="34">
        <v>1984</v>
      </c>
      <c r="K30" s="56">
        <v>1.7552169769687</v>
      </c>
    </row>
    <row r="31" spans="1:11" ht="19.95" customHeight="1" x14ac:dyDescent="0.25">
      <c r="A31" s="21" t="s">
        <v>39</v>
      </c>
      <c r="B31" s="22" t="s">
        <v>42</v>
      </c>
      <c r="C31" s="22"/>
      <c r="D31" s="22">
        <v>1960</v>
      </c>
      <c r="J31" s="34">
        <v>1985</v>
      </c>
      <c r="K31" s="56">
        <v>4.3005618195017101</v>
      </c>
    </row>
    <row r="32" spans="1:11" ht="19.95" customHeight="1" x14ac:dyDescent="0.25">
      <c r="A32" s="21" t="s">
        <v>40</v>
      </c>
      <c r="B32" s="22" t="s">
        <v>42</v>
      </c>
      <c r="C32" s="22"/>
      <c r="D32" s="22">
        <v>1960</v>
      </c>
      <c r="J32" s="34">
        <v>1986</v>
      </c>
      <c r="K32" s="56">
        <v>7.17755539087368</v>
      </c>
    </row>
    <row r="33" spans="1:11" ht="19.95" customHeight="1" x14ac:dyDescent="0.25">
      <c r="A33" s="17" t="s">
        <v>10</v>
      </c>
      <c r="B33" s="18" t="s">
        <v>42</v>
      </c>
      <c r="C33" s="18">
        <v>-13.746135054725899</v>
      </c>
      <c r="D33" s="18">
        <v>1961</v>
      </c>
      <c r="J33" s="34">
        <v>1987</v>
      </c>
      <c r="K33" s="56">
        <v>5.9371074461072801</v>
      </c>
    </row>
    <row r="34" spans="1:11" ht="19.95" customHeight="1" x14ac:dyDescent="0.25">
      <c r="A34" s="17" t="s">
        <v>13</v>
      </c>
      <c r="B34" s="18" t="s">
        <v>42</v>
      </c>
      <c r="C34" s="18">
        <v>1.1836808117073001</v>
      </c>
      <c r="D34" s="18">
        <v>1961</v>
      </c>
      <c r="J34" s="34">
        <v>1988</v>
      </c>
      <c r="K34" s="56">
        <v>6.2031838198845897</v>
      </c>
    </row>
    <row r="35" spans="1:11" ht="19.95" customHeight="1" x14ac:dyDescent="0.25">
      <c r="A35" s="17" t="s">
        <v>16</v>
      </c>
      <c r="B35" s="18" t="s">
        <v>42</v>
      </c>
      <c r="C35" s="18">
        <v>1.3977436707753801</v>
      </c>
      <c r="D35" s="18">
        <v>1961</v>
      </c>
      <c r="J35" s="34">
        <v>1989</v>
      </c>
      <c r="K35" s="56">
        <v>4.6903487681229699</v>
      </c>
    </row>
    <row r="36" spans="1:11" ht="22.2" customHeight="1" x14ac:dyDescent="0.25">
      <c r="A36" s="17" t="s">
        <v>15</v>
      </c>
      <c r="B36" s="18" t="s">
        <v>42</v>
      </c>
      <c r="C36" s="18"/>
      <c r="D36" s="18">
        <v>1961</v>
      </c>
      <c r="J36" s="34">
        <v>1990</v>
      </c>
      <c r="K36" s="56">
        <v>4.1920509742158503</v>
      </c>
    </row>
    <row r="37" spans="1:11" ht="19.95" customHeight="1" x14ac:dyDescent="0.25">
      <c r="A37" s="17" t="s">
        <v>17</v>
      </c>
      <c r="B37" s="18" t="s">
        <v>42</v>
      </c>
      <c r="C37" s="18"/>
      <c r="D37" s="18">
        <v>1961</v>
      </c>
      <c r="J37" s="34">
        <v>1991</v>
      </c>
      <c r="K37" s="56">
        <v>1.43834679108514</v>
      </c>
    </row>
    <row r="38" spans="1:11" ht="19.95" customHeight="1" x14ac:dyDescent="0.25">
      <c r="A38" s="17" t="s">
        <v>18</v>
      </c>
      <c r="B38" s="18" t="s">
        <v>42</v>
      </c>
      <c r="C38" s="18"/>
      <c r="D38" s="18">
        <v>1961</v>
      </c>
      <c r="J38" s="34">
        <v>1992</v>
      </c>
      <c r="K38" s="56">
        <v>-0.79949395992763095</v>
      </c>
    </row>
    <row r="39" spans="1:11" ht="19.95" customHeight="1" x14ac:dyDescent="0.25">
      <c r="A39" s="17" t="s">
        <v>19</v>
      </c>
      <c r="B39" s="18" t="s">
        <v>42</v>
      </c>
      <c r="C39" s="18"/>
      <c r="D39" s="18">
        <v>1961</v>
      </c>
      <c r="J39" s="34">
        <v>1993</v>
      </c>
      <c r="K39" s="56">
        <v>0.353197256372624</v>
      </c>
    </row>
    <row r="40" spans="1:11" ht="19.95" customHeight="1" x14ac:dyDescent="0.25">
      <c r="A40" s="17" t="s">
        <v>20</v>
      </c>
      <c r="B40" s="18" t="s">
        <v>42</v>
      </c>
      <c r="C40" s="18"/>
      <c r="D40" s="18">
        <v>1961</v>
      </c>
      <c r="J40" s="34">
        <v>1994</v>
      </c>
      <c r="K40" s="56">
        <v>2.6327845185903298</v>
      </c>
    </row>
    <row r="41" spans="1:11" ht="19.95" customHeight="1" x14ac:dyDescent="0.25">
      <c r="A41" s="17" t="s">
        <v>21</v>
      </c>
      <c r="B41" s="18" t="s">
        <v>42</v>
      </c>
      <c r="C41" s="18">
        <v>-7.77463490412923</v>
      </c>
      <c r="D41" s="18">
        <v>1961</v>
      </c>
      <c r="J41" s="34">
        <v>1995</v>
      </c>
      <c r="K41" s="56">
        <v>4.4062165258050801</v>
      </c>
    </row>
    <row r="42" spans="1:11" ht="19.95" customHeight="1" x14ac:dyDescent="0.25">
      <c r="A42" s="17" t="s">
        <v>22</v>
      </c>
      <c r="B42" s="18" t="s">
        <v>42</v>
      </c>
      <c r="C42" s="18"/>
      <c r="D42" s="18">
        <v>1961</v>
      </c>
      <c r="J42" s="34">
        <v>1996</v>
      </c>
      <c r="K42" s="56">
        <v>4.1468392671670999</v>
      </c>
    </row>
    <row r="43" spans="1:11" ht="19.95" customHeight="1" x14ac:dyDescent="0.25">
      <c r="A43" s="17" t="s">
        <v>23</v>
      </c>
      <c r="B43" s="18" t="s">
        <v>42</v>
      </c>
      <c r="C43" s="18">
        <v>2.4399854210132599</v>
      </c>
      <c r="D43" s="18">
        <v>1961</v>
      </c>
      <c r="J43" s="34">
        <v>1997</v>
      </c>
      <c r="K43" s="56">
        <v>0.47490192048410101</v>
      </c>
    </row>
    <row r="44" spans="1:11" ht="19.95" customHeight="1" x14ac:dyDescent="0.25">
      <c r="A44" s="17" t="s">
        <v>24</v>
      </c>
      <c r="B44" s="18" t="s">
        <v>42</v>
      </c>
      <c r="C44" s="18">
        <v>2.04863275114189</v>
      </c>
      <c r="D44" s="18">
        <v>1961</v>
      </c>
      <c r="J44" s="34">
        <v>1998</v>
      </c>
      <c r="K44" s="56">
        <v>3.2902137230934598</v>
      </c>
    </row>
    <row r="45" spans="1:11" ht="19.95" customHeight="1" x14ac:dyDescent="0.25">
      <c r="A45" s="17" t="s">
        <v>25</v>
      </c>
      <c r="B45" s="18" t="s">
        <v>42</v>
      </c>
      <c r="C45" s="18">
        <v>7.6395978554392601</v>
      </c>
      <c r="D45" s="18">
        <v>1961</v>
      </c>
      <c r="J45" s="34">
        <v>1999</v>
      </c>
      <c r="K45" s="56">
        <v>2.3053885959187301</v>
      </c>
    </row>
    <row r="46" spans="1:11" ht="19.95" customHeight="1" x14ac:dyDescent="0.25">
      <c r="A46" s="17" t="s">
        <v>26</v>
      </c>
      <c r="B46" s="18" t="s">
        <v>42</v>
      </c>
      <c r="C46" s="18"/>
      <c r="D46" s="18">
        <v>1961</v>
      </c>
      <c r="J46" s="34">
        <v>2000</v>
      </c>
      <c r="K46" s="56">
        <v>0.59969539161363605</v>
      </c>
    </row>
    <row r="47" spans="1:11" ht="19.95" customHeight="1" x14ac:dyDescent="0.25">
      <c r="A47" s="17" t="s">
        <v>27</v>
      </c>
      <c r="B47" s="18" t="s">
        <v>42</v>
      </c>
      <c r="C47" s="18"/>
      <c r="D47" s="18">
        <v>1961</v>
      </c>
      <c r="J47" s="34">
        <v>2001</v>
      </c>
      <c r="K47" s="56">
        <v>3.7799064962898701</v>
      </c>
    </row>
    <row r="48" spans="1:11" ht="19.95" customHeight="1" x14ac:dyDescent="0.25">
      <c r="A48" s="17" t="s">
        <v>28</v>
      </c>
      <c r="B48" s="18" t="s">
        <v>42</v>
      </c>
      <c r="C48" s="18"/>
      <c r="D48" s="18">
        <v>1961</v>
      </c>
      <c r="J48" s="34">
        <v>2002</v>
      </c>
      <c r="K48" s="56">
        <v>0.54685952999452103</v>
      </c>
    </row>
    <row r="49" spans="1:11" ht="19.95" customHeight="1" x14ac:dyDescent="0.25">
      <c r="A49" s="17" t="s">
        <v>29</v>
      </c>
      <c r="B49" s="18" t="s">
        <v>42</v>
      </c>
      <c r="C49" s="18">
        <v>0.47156108037967198</v>
      </c>
      <c r="D49" s="18">
        <v>1961</v>
      </c>
      <c r="J49" s="34">
        <v>2003</v>
      </c>
      <c r="K49" s="56">
        <v>2.9324755461927299</v>
      </c>
    </row>
    <row r="50" spans="1:11" ht="19.95" customHeight="1" x14ac:dyDescent="0.25">
      <c r="A50" s="17" t="s">
        <v>31</v>
      </c>
      <c r="B50" s="18" t="s">
        <v>42</v>
      </c>
      <c r="C50" s="18">
        <v>1.90826596927236</v>
      </c>
      <c r="D50" s="18">
        <v>1961</v>
      </c>
      <c r="J50" s="34">
        <v>2004</v>
      </c>
      <c r="K50" s="56">
        <v>5.1042997756893396</v>
      </c>
    </row>
    <row r="51" spans="1:11" ht="19.95" customHeight="1" x14ac:dyDescent="0.25">
      <c r="A51" s="17" t="s">
        <v>32</v>
      </c>
      <c r="B51" s="18" t="s">
        <v>42</v>
      </c>
      <c r="C51" s="18">
        <v>7.4002119181607799</v>
      </c>
      <c r="D51" s="18">
        <v>1961</v>
      </c>
      <c r="J51" s="34">
        <v>2005</v>
      </c>
      <c r="K51" s="56">
        <v>5.9066660816801297</v>
      </c>
    </row>
    <row r="52" spans="1:11" ht="19.95" customHeight="1" x14ac:dyDescent="0.25">
      <c r="A52" s="17" t="s">
        <v>33</v>
      </c>
      <c r="B52" s="18" t="s">
        <v>42</v>
      </c>
      <c r="C52" s="18">
        <v>4.5463930365000902</v>
      </c>
      <c r="D52" s="18">
        <v>1961</v>
      </c>
      <c r="J52" s="34">
        <v>2006</v>
      </c>
      <c r="K52" s="56">
        <v>6.4724942986248202</v>
      </c>
    </row>
    <row r="53" spans="1:11" ht="19.95" customHeight="1" x14ac:dyDescent="0.25">
      <c r="A53" s="17" t="s">
        <v>34</v>
      </c>
      <c r="B53" s="18" t="s">
        <v>42</v>
      </c>
      <c r="C53" s="18">
        <v>-4.2975260477929096</v>
      </c>
      <c r="D53" s="18">
        <v>1961</v>
      </c>
      <c r="J53" s="34">
        <v>2007</v>
      </c>
      <c r="K53" s="56">
        <v>6.8507297706313803</v>
      </c>
    </row>
    <row r="54" spans="1:11" ht="19.95" customHeight="1" x14ac:dyDescent="0.25">
      <c r="A54" s="17" t="s">
        <v>35</v>
      </c>
      <c r="B54" s="18" t="s">
        <v>42</v>
      </c>
      <c r="C54" s="18"/>
      <c r="D54" s="18">
        <v>1961</v>
      </c>
      <c r="J54" s="34">
        <v>2008</v>
      </c>
      <c r="K54" s="56">
        <v>0.23228274566594101</v>
      </c>
    </row>
    <row r="55" spans="1:11" ht="19.95" customHeight="1" x14ac:dyDescent="0.25">
      <c r="A55" s="17" t="s">
        <v>2</v>
      </c>
      <c r="B55" s="18" t="s">
        <v>42</v>
      </c>
      <c r="C55" s="18"/>
      <c r="D55" s="18">
        <v>1961</v>
      </c>
      <c r="J55" s="34">
        <v>2009</v>
      </c>
      <c r="K55" s="56">
        <v>3.30693981534758</v>
      </c>
    </row>
    <row r="56" spans="1:11" ht="19.95" customHeight="1" x14ac:dyDescent="0.25">
      <c r="A56" s="17" t="s">
        <v>36</v>
      </c>
      <c r="B56" s="18" t="s">
        <v>42</v>
      </c>
      <c r="C56" s="18"/>
      <c r="D56" s="18">
        <v>1961</v>
      </c>
      <c r="J56" s="34">
        <v>2010</v>
      </c>
      <c r="K56" s="56">
        <v>8.4056992242171908</v>
      </c>
    </row>
    <row r="57" spans="1:11" ht="19.95" customHeight="1" x14ac:dyDescent="0.25">
      <c r="A57" s="17" t="s">
        <v>37</v>
      </c>
      <c r="B57" s="18" t="s">
        <v>42</v>
      </c>
      <c r="C57" s="18"/>
      <c r="D57" s="18">
        <v>1961</v>
      </c>
      <c r="J57" s="34">
        <v>2011</v>
      </c>
      <c r="K57" s="56">
        <v>6.1082637197964997</v>
      </c>
    </row>
    <row r="58" spans="1:11" ht="19.95" customHeight="1" x14ac:dyDescent="0.25">
      <c r="A58" s="17" t="s">
        <v>38</v>
      </c>
      <c r="B58" s="18" t="s">
        <v>42</v>
      </c>
      <c r="C58" s="18"/>
      <c r="D58" s="18">
        <v>1961</v>
      </c>
      <c r="J58" s="34">
        <v>2012</v>
      </c>
      <c r="K58" s="56">
        <v>4.5632091307111997</v>
      </c>
    </row>
    <row r="59" spans="1:11" ht="19.95" customHeight="1" x14ac:dyDescent="0.25">
      <c r="A59" s="17" t="s">
        <v>39</v>
      </c>
      <c r="B59" s="18" t="s">
        <v>42</v>
      </c>
      <c r="C59" s="18">
        <v>1.3613819914748899</v>
      </c>
      <c r="D59" s="18">
        <v>1961</v>
      </c>
      <c r="J59" s="34">
        <v>2013</v>
      </c>
      <c r="K59" s="56">
        <v>5.8786894770261702</v>
      </c>
    </row>
    <row r="60" spans="1:11" ht="19.95" customHeight="1" x14ac:dyDescent="0.25">
      <c r="A60" s="17" t="s">
        <v>40</v>
      </c>
      <c r="B60" s="18" t="s">
        <v>42</v>
      </c>
      <c r="C60" s="18">
        <v>6.3161572693811499</v>
      </c>
      <c r="D60" s="18">
        <v>1961</v>
      </c>
      <c r="J60" s="34">
        <v>2014</v>
      </c>
      <c r="K60" s="56">
        <v>5.3571167781201199</v>
      </c>
    </row>
    <row r="61" spans="1:11" ht="19.95" customHeight="1" x14ac:dyDescent="0.25">
      <c r="A61" s="17" t="s">
        <v>10</v>
      </c>
      <c r="B61" s="18" t="s">
        <v>42</v>
      </c>
      <c r="C61" s="18">
        <v>9.0631579345967701</v>
      </c>
      <c r="D61" s="18">
        <v>1962</v>
      </c>
      <c r="J61" s="34">
        <v>2015</v>
      </c>
      <c r="K61" s="56">
        <v>5.7185071313351399</v>
      </c>
    </row>
    <row r="62" spans="1:11" ht="19.95" customHeight="1" x14ac:dyDescent="0.25">
      <c r="A62" s="17" t="s">
        <v>13</v>
      </c>
      <c r="B62" s="18" t="s">
        <v>41</v>
      </c>
      <c r="C62" s="18">
        <v>3.0415590510083601</v>
      </c>
      <c r="D62" s="18">
        <v>1962</v>
      </c>
      <c r="J62" s="34">
        <v>2016</v>
      </c>
      <c r="K62" s="56">
        <v>5.8691928491103198</v>
      </c>
    </row>
    <row r="63" spans="1:11" ht="19.95" customHeight="1" x14ac:dyDescent="0.25">
      <c r="A63" s="17" t="s">
        <v>16</v>
      </c>
      <c r="B63" s="18" t="s">
        <v>42</v>
      </c>
      <c r="C63" s="18">
        <v>5.3601161089397804</v>
      </c>
      <c r="D63" s="18">
        <v>1962</v>
      </c>
      <c r="J63" s="35">
        <v>2017</v>
      </c>
      <c r="K63" s="57">
        <v>4.8854444803254999</v>
      </c>
    </row>
    <row r="64" spans="1:11" ht="19.95" customHeight="1" x14ac:dyDescent="0.25">
      <c r="A64" s="17" t="s">
        <v>15</v>
      </c>
      <c r="B64" s="18" t="s">
        <v>42</v>
      </c>
      <c r="C64" s="18"/>
      <c r="D64" s="18">
        <v>1962</v>
      </c>
    </row>
    <row r="65" spans="1:4" ht="19.95" customHeight="1" x14ac:dyDescent="0.25">
      <c r="A65" s="17" t="s">
        <v>17</v>
      </c>
      <c r="B65" s="18" t="s">
        <v>42</v>
      </c>
      <c r="C65" s="18"/>
      <c r="D65" s="18">
        <v>1962</v>
      </c>
    </row>
    <row r="66" spans="1:4" ht="19.95" customHeight="1" x14ac:dyDescent="0.25">
      <c r="A66" s="17" t="s">
        <v>18</v>
      </c>
      <c r="B66" s="18" t="s">
        <v>42</v>
      </c>
      <c r="C66" s="18"/>
      <c r="D66" s="18">
        <v>1962</v>
      </c>
    </row>
    <row r="67" spans="1:4" ht="19.95" customHeight="1" x14ac:dyDescent="0.25">
      <c r="A67" s="17" t="s">
        <v>19</v>
      </c>
      <c r="B67" s="18" t="s">
        <v>42</v>
      </c>
      <c r="C67" s="18"/>
      <c r="D67" s="18">
        <v>1962</v>
      </c>
    </row>
    <row r="68" spans="1:4" ht="19.95" customHeight="1" x14ac:dyDescent="0.25">
      <c r="A68" s="17" t="s">
        <v>20</v>
      </c>
      <c r="B68" s="18" t="s">
        <v>42</v>
      </c>
      <c r="C68" s="18"/>
      <c r="D68" s="18">
        <v>1962</v>
      </c>
    </row>
    <row r="69" spans="1:4" ht="19.95" customHeight="1" x14ac:dyDescent="0.25">
      <c r="A69" s="17" t="s">
        <v>21</v>
      </c>
      <c r="B69" s="18" t="s">
        <v>42</v>
      </c>
      <c r="C69" s="18">
        <v>9.4573587417501308</v>
      </c>
      <c r="D69" s="18">
        <v>1962</v>
      </c>
    </row>
    <row r="70" spans="1:4" ht="19.95" customHeight="1" x14ac:dyDescent="0.25">
      <c r="A70" s="17" t="s">
        <v>22</v>
      </c>
      <c r="B70" s="18" t="s">
        <v>42</v>
      </c>
      <c r="C70" s="18"/>
      <c r="D70" s="18">
        <v>1962</v>
      </c>
    </row>
    <row r="71" spans="1:4" ht="19.95" customHeight="1" x14ac:dyDescent="0.25">
      <c r="A71" s="17" t="s">
        <v>23</v>
      </c>
      <c r="B71" s="18" t="s">
        <v>42</v>
      </c>
      <c r="C71" s="18">
        <v>1.3446060774484601</v>
      </c>
      <c r="D71" s="18">
        <v>1962</v>
      </c>
    </row>
    <row r="72" spans="1:4" ht="19.95" customHeight="1" x14ac:dyDescent="0.25">
      <c r="A72" s="17" t="s">
        <v>24</v>
      </c>
      <c r="B72" s="18" t="s">
        <v>42</v>
      </c>
      <c r="C72" s="18">
        <v>2.2710697015938002</v>
      </c>
      <c r="D72" s="18">
        <v>1962</v>
      </c>
    </row>
    <row r="73" spans="1:4" ht="19.95" customHeight="1" x14ac:dyDescent="0.25">
      <c r="A73" s="17" t="s">
        <v>25</v>
      </c>
      <c r="B73" s="18" t="s">
        <v>42</v>
      </c>
      <c r="C73" s="18">
        <v>0.66836474301494797</v>
      </c>
      <c r="D73" s="18">
        <v>1962</v>
      </c>
    </row>
    <row r="74" spans="1:4" ht="19.95" customHeight="1" x14ac:dyDescent="0.25">
      <c r="A74" s="17" t="s">
        <v>26</v>
      </c>
      <c r="B74" s="18" t="s">
        <v>42</v>
      </c>
      <c r="C74" s="18"/>
      <c r="D74" s="18">
        <v>1962</v>
      </c>
    </row>
    <row r="75" spans="1:4" ht="19.95" customHeight="1" x14ac:dyDescent="0.25">
      <c r="A75" s="17" t="s">
        <v>27</v>
      </c>
      <c r="B75" s="18" t="s">
        <v>42</v>
      </c>
      <c r="C75" s="18"/>
      <c r="D75" s="18">
        <v>1962</v>
      </c>
    </row>
    <row r="76" spans="1:4" ht="19.95" customHeight="1" x14ac:dyDescent="0.25">
      <c r="A76" s="17" t="s">
        <v>28</v>
      </c>
      <c r="B76" s="18" t="s">
        <v>42</v>
      </c>
      <c r="C76" s="18"/>
      <c r="D76" s="18">
        <v>1962</v>
      </c>
    </row>
    <row r="77" spans="1:4" ht="19.95" customHeight="1" x14ac:dyDescent="0.25">
      <c r="A77" s="17" t="s">
        <v>29</v>
      </c>
      <c r="B77" s="18" t="s">
        <v>42</v>
      </c>
      <c r="C77" s="18">
        <v>4.0868725304389404</v>
      </c>
      <c r="D77" s="18">
        <v>1962</v>
      </c>
    </row>
    <row r="78" spans="1:4" ht="19.95" customHeight="1" x14ac:dyDescent="0.25">
      <c r="A78" s="17" t="s">
        <v>31</v>
      </c>
      <c r="B78" s="18" t="s">
        <v>42</v>
      </c>
      <c r="C78" s="18">
        <v>1.91032003367357</v>
      </c>
      <c r="D78" s="18">
        <v>1962</v>
      </c>
    </row>
    <row r="79" spans="1:4" ht="19.95" customHeight="1" x14ac:dyDescent="0.25">
      <c r="A79" s="17" t="s">
        <v>32</v>
      </c>
      <c r="B79" s="18" t="s">
        <v>42</v>
      </c>
      <c r="C79" s="18">
        <v>11.6953489843483</v>
      </c>
      <c r="D79" s="18">
        <v>1962</v>
      </c>
    </row>
    <row r="80" spans="1:4" ht="19.95" customHeight="1" x14ac:dyDescent="0.25">
      <c r="A80" s="17" t="s">
        <v>33</v>
      </c>
      <c r="B80" s="18" t="s">
        <v>42</v>
      </c>
      <c r="C80" s="18">
        <v>10.278713494298399</v>
      </c>
      <c r="D80" s="18">
        <v>1962</v>
      </c>
    </row>
    <row r="81" spans="1:4" ht="19.95" customHeight="1" x14ac:dyDescent="0.25">
      <c r="A81" s="17" t="s">
        <v>34</v>
      </c>
      <c r="B81" s="18" t="s">
        <v>42</v>
      </c>
      <c r="C81" s="18">
        <v>11.3337983693871</v>
      </c>
      <c r="D81" s="18">
        <v>1962</v>
      </c>
    </row>
    <row r="82" spans="1:4" ht="19.95" customHeight="1" x14ac:dyDescent="0.25">
      <c r="A82" s="17" t="s">
        <v>35</v>
      </c>
      <c r="B82" s="18" t="s">
        <v>42</v>
      </c>
      <c r="C82" s="18"/>
      <c r="D82" s="18">
        <v>1962</v>
      </c>
    </row>
    <row r="83" spans="1:4" ht="19.95" customHeight="1" x14ac:dyDescent="0.25">
      <c r="A83" s="17" t="s">
        <v>2</v>
      </c>
      <c r="B83" s="18" t="s">
        <v>42</v>
      </c>
      <c r="C83" s="18">
        <v>3.81801955804475</v>
      </c>
      <c r="D83" s="18">
        <v>1962</v>
      </c>
    </row>
    <row r="84" spans="1:4" ht="19.95" customHeight="1" x14ac:dyDescent="0.25">
      <c r="A84" s="17" t="s">
        <v>36</v>
      </c>
      <c r="B84" s="18" t="s">
        <v>42</v>
      </c>
      <c r="C84" s="18"/>
      <c r="D84" s="18">
        <v>1962</v>
      </c>
    </row>
    <row r="85" spans="1:4" ht="19.95" customHeight="1" x14ac:dyDescent="0.25">
      <c r="A85" s="17" t="s">
        <v>37</v>
      </c>
      <c r="B85" s="18" t="s">
        <v>42</v>
      </c>
      <c r="C85" s="18"/>
      <c r="D85" s="18">
        <v>1962</v>
      </c>
    </row>
    <row r="86" spans="1:4" ht="19.95" customHeight="1" x14ac:dyDescent="0.25">
      <c r="A86" s="17" t="s">
        <v>38</v>
      </c>
      <c r="B86" s="18" t="s">
        <v>42</v>
      </c>
      <c r="C86" s="18"/>
      <c r="D86" s="18">
        <v>1962</v>
      </c>
    </row>
    <row r="87" spans="1:4" ht="19.95" customHeight="1" x14ac:dyDescent="0.25">
      <c r="A87" s="17" t="s">
        <v>39</v>
      </c>
      <c r="B87" s="18" t="s">
        <v>42</v>
      </c>
      <c r="C87" s="18">
        <v>-2.4908394745487099</v>
      </c>
      <c r="D87" s="18">
        <v>1962</v>
      </c>
    </row>
    <row r="88" spans="1:4" ht="19.95" customHeight="1" x14ac:dyDescent="0.25">
      <c r="A88" s="17" t="s">
        <v>40</v>
      </c>
      <c r="B88" s="18" t="s">
        <v>42</v>
      </c>
      <c r="C88" s="18">
        <v>1.43447088725841</v>
      </c>
      <c r="D88" s="18">
        <v>1962</v>
      </c>
    </row>
    <row r="89" spans="1:4" ht="19.95" customHeight="1" x14ac:dyDescent="0.25">
      <c r="A89" s="17" t="s">
        <v>10</v>
      </c>
      <c r="B89" s="18" t="s">
        <v>42</v>
      </c>
      <c r="C89" s="18">
        <v>4.1354074197748902</v>
      </c>
      <c r="D89" s="18">
        <v>1963</v>
      </c>
    </row>
    <row r="90" spans="1:4" ht="19.95" customHeight="1" x14ac:dyDescent="0.25">
      <c r="A90" s="17" t="s">
        <v>13</v>
      </c>
      <c r="B90" s="18" t="s">
        <v>42</v>
      </c>
      <c r="C90" s="18">
        <v>3.7425503202420498</v>
      </c>
      <c r="D90" s="18">
        <v>1963</v>
      </c>
    </row>
    <row r="91" spans="1:4" ht="19.95" customHeight="1" x14ac:dyDescent="0.25">
      <c r="A91" s="17" t="s">
        <v>16</v>
      </c>
      <c r="B91" s="18" t="s">
        <v>42</v>
      </c>
      <c r="C91" s="18">
        <v>-1.5994540152080501</v>
      </c>
      <c r="D91" s="18">
        <v>1963</v>
      </c>
    </row>
    <row r="92" spans="1:4" ht="19.95" customHeight="1" x14ac:dyDescent="0.25">
      <c r="A92" s="17" t="s">
        <v>15</v>
      </c>
      <c r="B92" s="18" t="s">
        <v>42</v>
      </c>
      <c r="C92" s="18"/>
      <c r="D92" s="18">
        <v>1963</v>
      </c>
    </row>
    <row r="93" spans="1:4" ht="19.95" customHeight="1" x14ac:dyDescent="0.25">
      <c r="A93" s="17" t="s">
        <v>17</v>
      </c>
      <c r="B93" s="18" t="s">
        <v>42</v>
      </c>
      <c r="C93" s="18"/>
      <c r="D93" s="18">
        <v>1963</v>
      </c>
    </row>
    <row r="94" spans="1:4" ht="19.95" customHeight="1" x14ac:dyDescent="0.25">
      <c r="A94" s="17" t="s">
        <v>18</v>
      </c>
      <c r="B94" s="18" t="s">
        <v>42</v>
      </c>
      <c r="C94" s="18"/>
      <c r="D94" s="18">
        <v>1963</v>
      </c>
    </row>
    <row r="95" spans="1:4" ht="19.95" customHeight="1" x14ac:dyDescent="0.25">
      <c r="A95" s="17" t="s">
        <v>19</v>
      </c>
      <c r="B95" s="18" t="s">
        <v>42</v>
      </c>
      <c r="C95" s="18"/>
      <c r="D95" s="18">
        <v>1963</v>
      </c>
    </row>
    <row r="96" spans="1:4" ht="19.95" customHeight="1" x14ac:dyDescent="0.25">
      <c r="A96" s="17" t="s">
        <v>20</v>
      </c>
      <c r="B96" s="18" t="s">
        <v>42</v>
      </c>
      <c r="C96" s="18"/>
      <c r="D96" s="18">
        <v>1963</v>
      </c>
    </row>
    <row r="97" spans="1:4" ht="19.95" customHeight="1" x14ac:dyDescent="0.25">
      <c r="A97" s="17" t="s">
        <v>21</v>
      </c>
      <c r="B97" s="18" t="s">
        <v>42</v>
      </c>
      <c r="C97" s="18">
        <v>8.7783402162304895</v>
      </c>
      <c r="D97" s="18">
        <v>1963</v>
      </c>
    </row>
    <row r="98" spans="1:4" ht="19.95" customHeight="1" x14ac:dyDescent="0.25">
      <c r="A98" s="17" t="s">
        <v>22</v>
      </c>
      <c r="B98" s="18" t="s">
        <v>42</v>
      </c>
      <c r="C98" s="18"/>
      <c r="D98" s="18">
        <v>1963</v>
      </c>
    </row>
    <row r="99" spans="1:4" ht="19.95" customHeight="1" x14ac:dyDescent="0.25">
      <c r="A99" s="17" t="s">
        <v>23</v>
      </c>
      <c r="B99" s="18" t="s">
        <v>42</v>
      </c>
      <c r="C99" s="18">
        <v>2.2744606372968499</v>
      </c>
      <c r="D99" s="18">
        <v>1963</v>
      </c>
    </row>
    <row r="100" spans="1:4" ht="19.95" customHeight="1" x14ac:dyDescent="0.25">
      <c r="A100" s="17" t="s">
        <v>24</v>
      </c>
      <c r="B100" s="18" t="s">
        <v>42</v>
      </c>
      <c r="C100" s="18">
        <v>-0.92940162377629998</v>
      </c>
      <c r="D100" s="18">
        <v>1963</v>
      </c>
    </row>
    <row r="101" spans="1:4" ht="19.95" customHeight="1" x14ac:dyDescent="0.25">
      <c r="A101" s="17" t="s">
        <v>25</v>
      </c>
      <c r="B101" s="18" t="s">
        <v>42</v>
      </c>
      <c r="C101" s="18">
        <v>-1.3910785170258699</v>
      </c>
      <c r="D101" s="18">
        <v>1963</v>
      </c>
    </row>
    <row r="102" spans="1:4" ht="19.95" customHeight="1" x14ac:dyDescent="0.25">
      <c r="A102" s="17" t="s">
        <v>26</v>
      </c>
      <c r="B102" s="18" t="s">
        <v>42</v>
      </c>
      <c r="C102" s="18"/>
      <c r="D102" s="18">
        <v>1963</v>
      </c>
    </row>
    <row r="103" spans="1:4" ht="19.95" customHeight="1" x14ac:dyDescent="0.25">
      <c r="A103" s="17" t="s">
        <v>27</v>
      </c>
      <c r="B103" s="18" t="s">
        <v>42</v>
      </c>
      <c r="C103" s="18"/>
      <c r="D103" s="18">
        <v>1963</v>
      </c>
    </row>
    <row r="104" spans="1:4" ht="19.95" customHeight="1" x14ac:dyDescent="0.25">
      <c r="A104" s="17" t="s">
        <v>28</v>
      </c>
      <c r="B104" s="18" t="s">
        <v>42</v>
      </c>
      <c r="C104" s="18"/>
      <c r="D104" s="18">
        <v>1963</v>
      </c>
    </row>
    <row r="105" spans="1:4" ht="19.95" customHeight="1" x14ac:dyDescent="0.25">
      <c r="A105" s="17" t="s">
        <v>29</v>
      </c>
      <c r="B105" s="18" t="s">
        <v>42</v>
      </c>
      <c r="C105" s="18">
        <v>13.3492949251415</v>
      </c>
      <c r="D105" s="18">
        <v>1963</v>
      </c>
    </row>
    <row r="106" spans="1:4" ht="19.95" customHeight="1" x14ac:dyDescent="0.25">
      <c r="A106" s="17" t="s">
        <v>31</v>
      </c>
      <c r="B106" s="18" t="s">
        <v>42</v>
      </c>
      <c r="C106" s="18">
        <v>1.89511164336658</v>
      </c>
      <c r="D106" s="18">
        <v>1963</v>
      </c>
    </row>
    <row r="107" spans="1:4" ht="19.95" customHeight="1" x14ac:dyDescent="0.25">
      <c r="A107" s="17" t="s">
        <v>32</v>
      </c>
      <c r="B107" s="18" t="s">
        <v>42</v>
      </c>
      <c r="C107" s="18">
        <v>9.9431781865350892</v>
      </c>
      <c r="D107" s="18">
        <v>1963</v>
      </c>
    </row>
    <row r="108" spans="1:4" ht="19.95" customHeight="1" x14ac:dyDescent="0.25">
      <c r="A108" s="17" t="s">
        <v>33</v>
      </c>
      <c r="B108" s="18" t="s">
        <v>42</v>
      </c>
      <c r="C108" s="18">
        <v>9.4282293210078496</v>
      </c>
      <c r="D108" s="18">
        <v>1963</v>
      </c>
    </row>
    <row r="109" spans="1:4" ht="19.95" customHeight="1" x14ac:dyDescent="0.25">
      <c r="A109" s="17" t="s">
        <v>34</v>
      </c>
      <c r="B109" s="18" t="s">
        <v>42</v>
      </c>
      <c r="C109" s="18">
        <v>-9.8204444136560802</v>
      </c>
      <c r="D109" s="18">
        <v>1963</v>
      </c>
    </row>
    <row r="110" spans="1:4" ht="19.95" customHeight="1" x14ac:dyDescent="0.25">
      <c r="A110" s="17" t="s">
        <v>35</v>
      </c>
      <c r="B110" s="18" t="s">
        <v>42</v>
      </c>
      <c r="C110" s="18"/>
      <c r="D110" s="18">
        <v>1963</v>
      </c>
    </row>
    <row r="111" spans="1:4" ht="19.95" customHeight="1" x14ac:dyDescent="0.25">
      <c r="A111" s="17" t="s">
        <v>2</v>
      </c>
      <c r="B111" s="18" t="s">
        <v>42</v>
      </c>
      <c r="C111" s="18">
        <v>2.51674859426929</v>
      </c>
      <c r="D111" s="18">
        <v>1963</v>
      </c>
    </row>
    <row r="112" spans="1:4" ht="19.95" customHeight="1" x14ac:dyDescent="0.25">
      <c r="A112" s="17" t="s">
        <v>36</v>
      </c>
      <c r="B112" s="18" t="s">
        <v>42</v>
      </c>
      <c r="C112" s="18"/>
      <c r="D112" s="18">
        <v>1963</v>
      </c>
    </row>
    <row r="113" spans="1:4" ht="19.95" customHeight="1" x14ac:dyDescent="0.25">
      <c r="A113" s="17" t="s">
        <v>37</v>
      </c>
      <c r="B113" s="18" t="s">
        <v>42</v>
      </c>
      <c r="C113" s="18"/>
      <c r="D113" s="18">
        <v>1963</v>
      </c>
    </row>
    <row r="114" spans="1:4" ht="19.95" customHeight="1" x14ac:dyDescent="0.25">
      <c r="A114" s="17" t="s">
        <v>38</v>
      </c>
      <c r="B114" s="18" t="s">
        <v>42</v>
      </c>
      <c r="C114" s="18"/>
      <c r="D114" s="18">
        <v>1963</v>
      </c>
    </row>
    <row r="115" spans="1:4" ht="19.95" customHeight="1" x14ac:dyDescent="0.25">
      <c r="A115" s="17" t="s">
        <v>39</v>
      </c>
      <c r="B115" s="18" t="s">
        <v>42</v>
      </c>
      <c r="C115" s="18">
        <v>3.2723928927252399</v>
      </c>
      <c r="D115" s="18">
        <v>1963</v>
      </c>
    </row>
    <row r="116" spans="1:4" ht="19.95" customHeight="1" x14ac:dyDescent="0.25">
      <c r="A116" s="17" t="s">
        <v>40</v>
      </c>
      <c r="B116" s="18" t="s">
        <v>42</v>
      </c>
      <c r="C116" s="18">
        <v>6.2443445066623902</v>
      </c>
      <c r="D116" s="18">
        <v>1963</v>
      </c>
    </row>
    <row r="117" spans="1:4" ht="19.95" customHeight="1" x14ac:dyDescent="0.25">
      <c r="A117" s="17" t="s">
        <v>10</v>
      </c>
      <c r="B117" s="18" t="s">
        <v>42</v>
      </c>
      <c r="C117" s="18">
        <v>6.27303790305589</v>
      </c>
      <c r="D117" s="18">
        <v>1964</v>
      </c>
    </row>
    <row r="118" spans="1:4" ht="19.95" customHeight="1" x14ac:dyDescent="0.25">
      <c r="A118" s="17" t="s">
        <v>13</v>
      </c>
      <c r="B118" s="18" t="s">
        <v>42</v>
      </c>
      <c r="C118" s="18">
        <v>3.5471596957654401</v>
      </c>
      <c r="D118" s="18">
        <v>1964</v>
      </c>
    </row>
    <row r="119" spans="1:4" ht="19.95" customHeight="1" x14ac:dyDescent="0.25">
      <c r="A119" s="17" t="s">
        <v>16</v>
      </c>
      <c r="B119" s="18" t="s">
        <v>42</v>
      </c>
      <c r="C119" s="18">
        <v>-2.5109396034681</v>
      </c>
      <c r="D119" s="18">
        <v>1964</v>
      </c>
    </row>
    <row r="120" spans="1:4" ht="19.95" customHeight="1" x14ac:dyDescent="0.25">
      <c r="A120" s="17" t="s">
        <v>15</v>
      </c>
      <c r="B120" s="18" t="s">
        <v>42</v>
      </c>
      <c r="C120" s="18"/>
      <c r="D120" s="18">
        <v>1964</v>
      </c>
    </row>
    <row r="121" spans="1:4" ht="19.95" customHeight="1" x14ac:dyDescent="0.25">
      <c r="A121" s="17" t="s">
        <v>17</v>
      </c>
      <c r="B121" s="18" t="s">
        <v>42</v>
      </c>
      <c r="C121" s="18"/>
      <c r="D121" s="18">
        <v>1964</v>
      </c>
    </row>
    <row r="122" spans="1:4" ht="19.95" customHeight="1" x14ac:dyDescent="0.25">
      <c r="A122" s="17" t="s">
        <v>18</v>
      </c>
      <c r="B122" s="18" t="s">
        <v>42</v>
      </c>
      <c r="C122" s="18"/>
      <c r="D122" s="18">
        <v>1964</v>
      </c>
    </row>
    <row r="123" spans="1:4" ht="19.95" customHeight="1" x14ac:dyDescent="0.25">
      <c r="A123" s="17" t="s">
        <v>19</v>
      </c>
      <c r="B123" s="18" t="s">
        <v>42</v>
      </c>
      <c r="C123" s="18"/>
      <c r="D123" s="18">
        <v>1964</v>
      </c>
    </row>
    <row r="124" spans="1:4" ht="19.95" customHeight="1" x14ac:dyDescent="0.25">
      <c r="A124" s="17" t="s">
        <v>20</v>
      </c>
      <c r="B124" s="18" t="s">
        <v>42</v>
      </c>
      <c r="C124" s="18"/>
      <c r="D124" s="18">
        <v>1964</v>
      </c>
    </row>
    <row r="125" spans="1:4" ht="19.95" customHeight="1" x14ac:dyDescent="0.25">
      <c r="A125" s="17" t="s">
        <v>21</v>
      </c>
      <c r="B125" s="18" t="s">
        <v>42</v>
      </c>
      <c r="C125" s="18">
        <v>4.96446728796285</v>
      </c>
      <c r="D125" s="18">
        <v>1964</v>
      </c>
    </row>
    <row r="126" spans="1:4" ht="19.95" customHeight="1" x14ac:dyDescent="0.25">
      <c r="A126" s="17" t="s">
        <v>22</v>
      </c>
      <c r="B126" s="18" t="s">
        <v>42</v>
      </c>
      <c r="C126" s="18"/>
      <c r="D126" s="18">
        <v>1964</v>
      </c>
    </row>
    <row r="127" spans="1:4" ht="19.95" customHeight="1" x14ac:dyDescent="0.25">
      <c r="A127" s="17" t="s">
        <v>23</v>
      </c>
      <c r="B127" s="18" t="s">
        <v>42</v>
      </c>
      <c r="C127" s="18">
        <v>5.1519613237386803</v>
      </c>
      <c r="D127" s="18">
        <v>1964</v>
      </c>
    </row>
    <row r="128" spans="1:4" ht="19.95" customHeight="1" x14ac:dyDescent="0.25">
      <c r="A128" s="17" t="s">
        <v>24</v>
      </c>
      <c r="B128" s="18" t="s">
        <v>42</v>
      </c>
      <c r="C128" s="18">
        <v>3.9625188477375999</v>
      </c>
      <c r="D128" s="18">
        <v>1964</v>
      </c>
    </row>
    <row r="129" spans="1:4" ht="19.95" customHeight="1" x14ac:dyDescent="0.25">
      <c r="A129" s="17" t="s">
        <v>25</v>
      </c>
      <c r="B129" s="18" t="s">
        <v>42</v>
      </c>
      <c r="C129" s="18">
        <v>2.6611032676288899</v>
      </c>
      <c r="D129" s="18">
        <v>1964</v>
      </c>
    </row>
    <row r="130" spans="1:4" ht="19.95" customHeight="1" x14ac:dyDescent="0.25">
      <c r="A130" s="17" t="s">
        <v>26</v>
      </c>
      <c r="B130" s="18" t="s">
        <v>42</v>
      </c>
      <c r="C130" s="18"/>
      <c r="D130" s="18">
        <v>1964</v>
      </c>
    </row>
    <row r="131" spans="1:4" ht="19.95" customHeight="1" x14ac:dyDescent="0.25">
      <c r="A131" s="17" t="s">
        <v>27</v>
      </c>
      <c r="B131" s="18" t="s">
        <v>42</v>
      </c>
      <c r="C131" s="18"/>
      <c r="D131" s="18">
        <v>1964</v>
      </c>
    </row>
    <row r="132" spans="1:4" ht="19.95" customHeight="1" x14ac:dyDescent="0.25">
      <c r="A132" s="17" t="s">
        <v>28</v>
      </c>
      <c r="B132" s="18" t="s">
        <v>42</v>
      </c>
      <c r="C132" s="18"/>
      <c r="D132" s="18">
        <v>1964</v>
      </c>
    </row>
    <row r="133" spans="1:4" ht="19.95" customHeight="1" x14ac:dyDescent="0.25">
      <c r="A133" s="17" t="s">
        <v>29</v>
      </c>
      <c r="B133" s="18" t="s">
        <v>42</v>
      </c>
      <c r="C133" s="18">
        <v>-5.8940188396450601</v>
      </c>
      <c r="D133" s="18">
        <v>1964</v>
      </c>
    </row>
    <row r="134" spans="1:4" ht="19.95" customHeight="1" x14ac:dyDescent="0.25">
      <c r="A134" s="17" t="s">
        <v>31</v>
      </c>
      <c r="B134" s="18" t="s">
        <v>42</v>
      </c>
      <c r="C134" s="18">
        <v>7.5324485533171703</v>
      </c>
      <c r="D134" s="18">
        <v>1964</v>
      </c>
    </row>
    <row r="135" spans="1:4" ht="19.95" customHeight="1" x14ac:dyDescent="0.25">
      <c r="A135" s="17" t="s">
        <v>32</v>
      </c>
      <c r="B135" s="18" t="s">
        <v>42</v>
      </c>
      <c r="C135" s="18">
        <v>11.1111358664548</v>
      </c>
      <c r="D135" s="18">
        <v>1964</v>
      </c>
    </row>
    <row r="136" spans="1:4" ht="19.95" customHeight="1" x14ac:dyDescent="0.25">
      <c r="A136" s="17" t="s">
        <v>33</v>
      </c>
      <c r="B136" s="18" t="s">
        <v>42</v>
      </c>
      <c r="C136" s="18">
        <v>0.13103988960357099</v>
      </c>
      <c r="D136" s="18">
        <v>1964</v>
      </c>
    </row>
    <row r="137" spans="1:4" ht="19.95" customHeight="1" x14ac:dyDescent="0.25">
      <c r="A137" s="17" t="s">
        <v>34</v>
      </c>
      <c r="B137" s="18" t="s">
        <v>42</v>
      </c>
      <c r="C137" s="18">
        <v>-12.4649926830224</v>
      </c>
      <c r="D137" s="18">
        <v>1964</v>
      </c>
    </row>
    <row r="138" spans="1:4" ht="19.95" customHeight="1" x14ac:dyDescent="0.25">
      <c r="A138" s="17" t="s">
        <v>35</v>
      </c>
      <c r="B138" s="18" t="s">
        <v>42</v>
      </c>
      <c r="C138" s="18"/>
      <c r="D138" s="18">
        <v>1964</v>
      </c>
    </row>
    <row r="139" spans="1:4" ht="19.95" customHeight="1" x14ac:dyDescent="0.25">
      <c r="A139" s="17" t="s">
        <v>2</v>
      </c>
      <c r="B139" s="18" t="s">
        <v>42</v>
      </c>
      <c r="C139" s="18">
        <v>3.9064338374071901</v>
      </c>
      <c r="D139" s="18">
        <v>1964</v>
      </c>
    </row>
    <row r="140" spans="1:4" ht="19.95" customHeight="1" x14ac:dyDescent="0.25">
      <c r="A140" s="17" t="s">
        <v>36</v>
      </c>
      <c r="B140" s="18" t="s">
        <v>42</v>
      </c>
      <c r="C140" s="18"/>
      <c r="D140" s="18">
        <v>1964</v>
      </c>
    </row>
    <row r="141" spans="1:4" ht="19.95" customHeight="1" x14ac:dyDescent="0.25">
      <c r="A141" s="17" t="s">
        <v>37</v>
      </c>
      <c r="B141" s="18" t="s">
        <v>42</v>
      </c>
      <c r="C141" s="18"/>
      <c r="D141" s="18">
        <v>1964</v>
      </c>
    </row>
    <row r="142" spans="1:4" ht="19.95" customHeight="1" x14ac:dyDescent="0.25">
      <c r="A142" s="17" t="s">
        <v>38</v>
      </c>
      <c r="B142" s="18" t="s">
        <v>42</v>
      </c>
      <c r="C142" s="18"/>
      <c r="D142" s="18">
        <v>1964</v>
      </c>
    </row>
    <row r="143" spans="1:4" ht="19.95" customHeight="1" x14ac:dyDescent="0.25">
      <c r="A143" s="17" t="s">
        <v>39</v>
      </c>
      <c r="B143" s="18" t="s">
        <v>42</v>
      </c>
      <c r="C143" s="18">
        <v>12.2140480179322</v>
      </c>
      <c r="D143" s="18">
        <v>1964</v>
      </c>
    </row>
    <row r="144" spans="1:4" ht="19.95" customHeight="1" x14ac:dyDescent="0.25">
      <c r="A144" s="17" t="s">
        <v>40</v>
      </c>
      <c r="B144" s="18" t="s">
        <v>42</v>
      </c>
      <c r="C144" s="18">
        <v>-1.1061718588286999</v>
      </c>
      <c r="D144" s="18">
        <v>1964</v>
      </c>
    </row>
    <row r="145" spans="1:4" ht="19.95" customHeight="1" x14ac:dyDescent="0.25">
      <c r="A145" s="17" t="s">
        <v>10</v>
      </c>
      <c r="B145" s="18" t="s">
        <v>42</v>
      </c>
      <c r="C145" s="18">
        <v>3.9672256086622801</v>
      </c>
      <c r="D145" s="18">
        <v>1965</v>
      </c>
    </row>
    <row r="146" spans="1:4" ht="19.95" customHeight="1" x14ac:dyDescent="0.25">
      <c r="A146" s="17" t="s">
        <v>13</v>
      </c>
      <c r="B146" s="18" t="s">
        <v>42</v>
      </c>
      <c r="C146" s="18">
        <v>2.02605371473777</v>
      </c>
      <c r="D146" s="18">
        <v>1965</v>
      </c>
    </row>
    <row r="147" spans="1:4" ht="19.95" customHeight="1" x14ac:dyDescent="0.25">
      <c r="A147" s="17" t="s">
        <v>16</v>
      </c>
      <c r="B147" s="18" t="s">
        <v>42</v>
      </c>
      <c r="C147" s="18">
        <v>0.60622778632577501</v>
      </c>
      <c r="D147" s="18">
        <v>1965</v>
      </c>
    </row>
    <row r="148" spans="1:4" ht="19.95" customHeight="1" x14ac:dyDescent="0.25">
      <c r="A148" s="17" t="s">
        <v>15</v>
      </c>
      <c r="B148" s="18" t="s">
        <v>42</v>
      </c>
      <c r="C148" s="18"/>
      <c r="D148" s="18">
        <v>1965</v>
      </c>
    </row>
    <row r="149" spans="1:4" ht="19.95" customHeight="1" x14ac:dyDescent="0.25">
      <c r="A149" s="17" t="s">
        <v>17</v>
      </c>
      <c r="B149" s="18" t="s">
        <v>42</v>
      </c>
      <c r="C149" s="18"/>
      <c r="D149" s="18">
        <v>1965</v>
      </c>
    </row>
    <row r="150" spans="1:4" ht="19.95" customHeight="1" x14ac:dyDescent="0.25">
      <c r="A150" s="17" t="s">
        <v>18</v>
      </c>
      <c r="B150" s="18" t="s">
        <v>42</v>
      </c>
      <c r="C150" s="18"/>
      <c r="D150" s="18">
        <v>1965</v>
      </c>
    </row>
    <row r="151" spans="1:4" ht="19.95" customHeight="1" x14ac:dyDescent="0.25">
      <c r="A151" s="17" t="s">
        <v>19</v>
      </c>
      <c r="B151" s="18" t="s">
        <v>42</v>
      </c>
      <c r="C151" s="18"/>
      <c r="D151" s="18">
        <v>1965</v>
      </c>
    </row>
    <row r="152" spans="1:4" ht="19.95" customHeight="1" x14ac:dyDescent="0.25">
      <c r="A152" s="17" t="s">
        <v>20</v>
      </c>
      <c r="B152" s="18" t="s">
        <v>42</v>
      </c>
      <c r="C152" s="18"/>
      <c r="D152" s="18">
        <v>1965</v>
      </c>
    </row>
    <row r="153" spans="1:4" ht="19.95" customHeight="1" x14ac:dyDescent="0.25">
      <c r="A153" s="17" t="s">
        <v>21</v>
      </c>
      <c r="B153" s="18" t="s">
        <v>42</v>
      </c>
      <c r="C153" s="18">
        <v>2.0090941708295098</v>
      </c>
      <c r="D153" s="18">
        <v>1965</v>
      </c>
    </row>
    <row r="154" spans="1:4" ht="19.95" customHeight="1" x14ac:dyDescent="0.25">
      <c r="A154" s="17" t="s">
        <v>22</v>
      </c>
      <c r="B154" s="18" t="s">
        <v>42</v>
      </c>
      <c r="C154" s="18"/>
      <c r="D154" s="18">
        <v>1965</v>
      </c>
    </row>
    <row r="155" spans="1:4" ht="19.95" customHeight="1" x14ac:dyDescent="0.25">
      <c r="A155" s="17" t="s">
        <v>23</v>
      </c>
      <c r="B155" s="18" t="s">
        <v>42</v>
      </c>
      <c r="C155" s="18">
        <v>4.7937862769221304</v>
      </c>
      <c r="D155" s="18">
        <v>1965</v>
      </c>
    </row>
    <row r="156" spans="1:4" ht="19.95" customHeight="1" x14ac:dyDescent="0.25">
      <c r="A156" s="17" t="s">
        <v>24</v>
      </c>
      <c r="B156" s="18" t="s">
        <v>42</v>
      </c>
      <c r="C156" s="18">
        <v>-0.45225386362258702</v>
      </c>
      <c r="D156" s="18">
        <v>1965</v>
      </c>
    </row>
    <row r="157" spans="1:4" ht="19.95" customHeight="1" x14ac:dyDescent="0.25">
      <c r="A157" s="17" t="s">
        <v>25</v>
      </c>
      <c r="B157" s="18" t="s">
        <v>42</v>
      </c>
      <c r="C157" s="18">
        <v>13.616493419953001</v>
      </c>
      <c r="D157" s="18">
        <v>1965</v>
      </c>
    </row>
    <row r="158" spans="1:4" ht="19.95" customHeight="1" x14ac:dyDescent="0.25">
      <c r="A158" s="17" t="s">
        <v>26</v>
      </c>
      <c r="B158" s="18" t="s">
        <v>42</v>
      </c>
      <c r="C158" s="18"/>
      <c r="D158" s="18">
        <v>1965</v>
      </c>
    </row>
    <row r="159" spans="1:4" ht="19.95" customHeight="1" x14ac:dyDescent="0.25">
      <c r="A159" s="17" t="s">
        <v>27</v>
      </c>
      <c r="B159" s="18" t="s">
        <v>42</v>
      </c>
      <c r="C159" s="18"/>
      <c r="D159" s="18">
        <v>1965</v>
      </c>
    </row>
    <row r="160" spans="1:4" ht="19.95" customHeight="1" x14ac:dyDescent="0.25">
      <c r="A160" s="17" t="s">
        <v>28</v>
      </c>
      <c r="B160" s="18" t="s">
        <v>42</v>
      </c>
      <c r="C160" s="18"/>
      <c r="D160" s="18">
        <v>1965</v>
      </c>
    </row>
    <row r="161" spans="1:4" ht="19.95" customHeight="1" x14ac:dyDescent="0.25">
      <c r="A161" s="17" t="s">
        <v>29</v>
      </c>
      <c r="B161" s="18" t="s">
        <v>42</v>
      </c>
      <c r="C161" s="18">
        <v>10.6926495101717</v>
      </c>
      <c r="D161" s="18">
        <v>1965</v>
      </c>
    </row>
    <row r="162" spans="1:4" ht="19.95" customHeight="1" x14ac:dyDescent="0.25">
      <c r="A162" s="17" t="s">
        <v>31</v>
      </c>
      <c r="B162" s="18" t="s">
        <v>42</v>
      </c>
      <c r="C162" s="18">
        <v>-1.20318901706183</v>
      </c>
      <c r="D162" s="18">
        <v>1965</v>
      </c>
    </row>
    <row r="163" spans="1:4" ht="19.95" customHeight="1" x14ac:dyDescent="0.25">
      <c r="A163" s="17" t="s">
        <v>32</v>
      </c>
      <c r="B163" s="18" t="s">
        <v>42</v>
      </c>
      <c r="C163" s="18">
        <v>9.0038611199937009</v>
      </c>
      <c r="D163" s="18">
        <v>1965</v>
      </c>
    </row>
    <row r="164" spans="1:4" ht="19.95" customHeight="1" x14ac:dyDescent="0.25">
      <c r="A164" s="17" t="s">
        <v>33</v>
      </c>
      <c r="B164" s="18" t="s">
        <v>42</v>
      </c>
      <c r="C164" s="18">
        <v>6.9197618187294401</v>
      </c>
      <c r="D164" s="18">
        <v>1965</v>
      </c>
    </row>
    <row r="165" spans="1:4" ht="19.95" customHeight="1" x14ac:dyDescent="0.25">
      <c r="A165" s="17" t="s">
        <v>34</v>
      </c>
      <c r="B165" s="18" t="s">
        <v>42</v>
      </c>
      <c r="C165" s="18">
        <v>7.0095292548944901</v>
      </c>
      <c r="D165" s="18">
        <v>1965</v>
      </c>
    </row>
    <row r="166" spans="1:4" ht="19.95" customHeight="1" x14ac:dyDescent="0.25">
      <c r="A166" s="17" t="s">
        <v>35</v>
      </c>
      <c r="B166" s="18" t="s">
        <v>42</v>
      </c>
      <c r="C166" s="18"/>
      <c r="D166" s="18">
        <v>1965</v>
      </c>
    </row>
    <row r="167" spans="1:4" ht="19.95" customHeight="1" x14ac:dyDescent="0.25">
      <c r="A167" s="17" t="s">
        <v>2</v>
      </c>
      <c r="B167" s="18" t="s">
        <v>42</v>
      </c>
      <c r="C167" s="18">
        <v>2.5369535350572798</v>
      </c>
      <c r="D167" s="18">
        <v>1965</v>
      </c>
    </row>
    <row r="168" spans="1:4" ht="19.95" customHeight="1" x14ac:dyDescent="0.25">
      <c r="A168" s="17" t="s">
        <v>36</v>
      </c>
      <c r="B168" s="18" t="s">
        <v>42</v>
      </c>
      <c r="C168" s="18"/>
      <c r="D168" s="18">
        <v>1965</v>
      </c>
    </row>
    <row r="169" spans="1:4" ht="19.95" customHeight="1" x14ac:dyDescent="0.25">
      <c r="A169" s="17" t="s">
        <v>37</v>
      </c>
      <c r="B169" s="18" t="s">
        <v>42</v>
      </c>
      <c r="C169" s="18"/>
      <c r="D169" s="18">
        <v>1965</v>
      </c>
    </row>
    <row r="170" spans="1:4" ht="19.95" customHeight="1" x14ac:dyDescent="0.25">
      <c r="A170" s="17" t="s">
        <v>38</v>
      </c>
      <c r="B170" s="18" t="s">
        <v>42</v>
      </c>
      <c r="C170" s="18"/>
      <c r="D170" s="18">
        <v>1965</v>
      </c>
    </row>
    <row r="171" spans="1:4" ht="19.95" customHeight="1" x14ac:dyDescent="0.25">
      <c r="A171" s="17" t="s">
        <v>39</v>
      </c>
      <c r="B171" s="18" t="s">
        <v>42</v>
      </c>
      <c r="C171" s="18">
        <v>16.6474559632126</v>
      </c>
      <c r="D171" s="18">
        <v>1965</v>
      </c>
    </row>
    <row r="172" spans="1:4" ht="19.95" customHeight="1" x14ac:dyDescent="0.25">
      <c r="A172" s="17" t="s">
        <v>40</v>
      </c>
      <c r="B172" s="18" t="s">
        <v>42</v>
      </c>
      <c r="C172" s="18">
        <v>4.9105705867018399</v>
      </c>
      <c r="D172" s="18">
        <v>1965</v>
      </c>
    </row>
    <row r="173" spans="1:4" ht="19.95" customHeight="1" x14ac:dyDescent="0.25">
      <c r="A173" s="17" t="s">
        <v>10</v>
      </c>
      <c r="B173" s="18" t="s">
        <v>42</v>
      </c>
      <c r="C173" s="18">
        <v>4.6129928959305202</v>
      </c>
      <c r="D173" s="18">
        <v>1966</v>
      </c>
    </row>
    <row r="174" spans="1:4" ht="19.95" customHeight="1" x14ac:dyDescent="0.25">
      <c r="A174" s="17" t="s">
        <v>13</v>
      </c>
      <c r="B174" s="18" t="s">
        <v>42</v>
      </c>
      <c r="C174" s="18">
        <v>4.61495562069085</v>
      </c>
      <c r="D174" s="18">
        <v>1966</v>
      </c>
    </row>
    <row r="175" spans="1:4" ht="19.95" customHeight="1" x14ac:dyDescent="0.25">
      <c r="A175" s="17" t="s">
        <v>16</v>
      </c>
      <c r="B175" s="18" t="s">
        <v>42</v>
      </c>
      <c r="C175" s="18">
        <v>-1.8070923919984001</v>
      </c>
      <c r="D175" s="18">
        <v>1966</v>
      </c>
    </row>
    <row r="176" spans="1:4" ht="19.95" customHeight="1" x14ac:dyDescent="0.25">
      <c r="A176" s="17" t="s">
        <v>15</v>
      </c>
      <c r="B176" s="18" t="s">
        <v>42</v>
      </c>
      <c r="C176" s="18"/>
      <c r="D176" s="18">
        <v>1966</v>
      </c>
    </row>
    <row r="177" spans="1:4" ht="19.95" customHeight="1" x14ac:dyDescent="0.25">
      <c r="A177" s="17" t="s">
        <v>17</v>
      </c>
      <c r="B177" s="18" t="s">
        <v>42</v>
      </c>
      <c r="C177" s="18"/>
      <c r="D177" s="18">
        <v>1966</v>
      </c>
    </row>
    <row r="178" spans="1:4" ht="19.95" customHeight="1" x14ac:dyDescent="0.25">
      <c r="A178" s="17" t="s">
        <v>18</v>
      </c>
      <c r="B178" s="18" t="s">
        <v>42</v>
      </c>
      <c r="C178" s="18"/>
      <c r="D178" s="18">
        <v>1966</v>
      </c>
    </row>
    <row r="179" spans="1:4" ht="19.95" customHeight="1" x14ac:dyDescent="0.25">
      <c r="A179" s="17" t="s">
        <v>19</v>
      </c>
      <c r="B179" s="18" t="s">
        <v>42</v>
      </c>
      <c r="C179" s="18"/>
      <c r="D179" s="18">
        <v>1966</v>
      </c>
    </row>
    <row r="180" spans="1:4" ht="19.95" customHeight="1" x14ac:dyDescent="0.25">
      <c r="A180" s="17" t="s">
        <v>20</v>
      </c>
      <c r="B180" s="18" t="s">
        <v>42</v>
      </c>
      <c r="C180" s="18"/>
      <c r="D180" s="18">
        <v>1966</v>
      </c>
    </row>
    <row r="181" spans="1:4" ht="19.95" customHeight="1" x14ac:dyDescent="0.25">
      <c r="A181" s="17" t="s">
        <v>21</v>
      </c>
      <c r="B181" s="18" t="s">
        <v>42</v>
      </c>
      <c r="C181" s="18">
        <v>14.728566401776</v>
      </c>
      <c r="D181" s="18">
        <v>1966</v>
      </c>
    </row>
    <row r="182" spans="1:4" ht="19.95" customHeight="1" x14ac:dyDescent="0.25">
      <c r="A182" s="17" t="s">
        <v>22</v>
      </c>
      <c r="B182" s="18" t="s">
        <v>42</v>
      </c>
      <c r="C182" s="18"/>
      <c r="D182" s="18">
        <v>1966</v>
      </c>
    </row>
    <row r="183" spans="1:4" ht="19.95" customHeight="1" x14ac:dyDescent="0.25">
      <c r="A183" s="17" t="s">
        <v>23</v>
      </c>
      <c r="B183" s="18" t="s">
        <v>42</v>
      </c>
      <c r="C183" s="18">
        <v>7.7026559808507598</v>
      </c>
      <c r="D183" s="18">
        <v>1966</v>
      </c>
    </row>
    <row r="184" spans="1:4" ht="19.95" customHeight="1" x14ac:dyDescent="0.25">
      <c r="A184" s="17" t="s">
        <v>24</v>
      </c>
      <c r="B184" s="18" t="s">
        <v>42</v>
      </c>
      <c r="C184" s="18">
        <v>2.06455240687127</v>
      </c>
      <c r="D184" s="18">
        <v>1966</v>
      </c>
    </row>
    <row r="185" spans="1:4" ht="19.95" customHeight="1" x14ac:dyDescent="0.25">
      <c r="A185" s="17" t="s">
        <v>25</v>
      </c>
      <c r="B185" s="18" t="s">
        <v>42</v>
      </c>
      <c r="C185" s="18">
        <v>13.249036322575799</v>
      </c>
      <c r="D185" s="18">
        <v>1966</v>
      </c>
    </row>
    <row r="186" spans="1:4" ht="19.95" customHeight="1" x14ac:dyDescent="0.25">
      <c r="A186" s="17" t="s">
        <v>26</v>
      </c>
      <c r="B186" s="18" t="s">
        <v>42</v>
      </c>
      <c r="C186" s="18"/>
      <c r="D186" s="18">
        <v>1966</v>
      </c>
    </row>
    <row r="187" spans="1:4" ht="19.95" customHeight="1" x14ac:dyDescent="0.25">
      <c r="A187" s="17" t="s">
        <v>27</v>
      </c>
      <c r="B187" s="18" t="s">
        <v>42</v>
      </c>
      <c r="C187" s="18"/>
      <c r="D187" s="18">
        <v>1966</v>
      </c>
    </row>
    <row r="188" spans="1:4" ht="19.95" customHeight="1" x14ac:dyDescent="0.25">
      <c r="A188" s="17" t="s">
        <v>28</v>
      </c>
      <c r="B188" s="18" t="s">
        <v>42</v>
      </c>
      <c r="C188" s="18"/>
      <c r="D188" s="18">
        <v>1966</v>
      </c>
    </row>
    <row r="189" spans="1:4" ht="19.95" customHeight="1" x14ac:dyDescent="0.25">
      <c r="A189" s="17" t="s">
        <v>29</v>
      </c>
      <c r="B189" s="18" t="s">
        <v>42</v>
      </c>
      <c r="C189" s="18">
        <v>-4.8517787041822098</v>
      </c>
      <c r="D189" s="18">
        <v>1966</v>
      </c>
    </row>
    <row r="190" spans="1:4" ht="19.95" customHeight="1" x14ac:dyDescent="0.25">
      <c r="A190" s="17" t="s">
        <v>31</v>
      </c>
      <c r="B190" s="18" t="s">
        <v>42</v>
      </c>
      <c r="C190" s="18">
        <v>7.0406431427479204</v>
      </c>
      <c r="D190" s="18">
        <v>1966</v>
      </c>
    </row>
    <row r="191" spans="1:4" ht="19.95" customHeight="1" x14ac:dyDescent="0.25">
      <c r="A191" s="17" t="s">
        <v>32</v>
      </c>
      <c r="B191" s="18" t="s">
        <v>42</v>
      </c>
      <c r="C191" s="18">
        <v>3.3011363977452199</v>
      </c>
      <c r="D191" s="18">
        <v>1966</v>
      </c>
    </row>
    <row r="192" spans="1:4" ht="19.95" customHeight="1" x14ac:dyDescent="0.25">
      <c r="A192" s="17" t="s">
        <v>33</v>
      </c>
      <c r="B192" s="18" t="s">
        <v>42</v>
      </c>
      <c r="C192" s="18">
        <v>-0.38249719840588597</v>
      </c>
      <c r="D192" s="18">
        <v>1966</v>
      </c>
    </row>
    <row r="193" spans="1:4" ht="19.95" customHeight="1" x14ac:dyDescent="0.25">
      <c r="A193" s="17" t="s">
        <v>34</v>
      </c>
      <c r="B193" s="18" t="s">
        <v>42</v>
      </c>
      <c r="C193" s="18">
        <v>7.0089108232056097</v>
      </c>
      <c r="D193" s="18">
        <v>1966</v>
      </c>
    </row>
    <row r="194" spans="1:4" ht="19.95" customHeight="1" x14ac:dyDescent="0.25">
      <c r="A194" s="17" t="s">
        <v>35</v>
      </c>
      <c r="B194" s="18" t="s">
        <v>42</v>
      </c>
      <c r="C194" s="18"/>
      <c r="D194" s="18">
        <v>1966</v>
      </c>
    </row>
    <row r="195" spans="1:4" ht="19.95" customHeight="1" x14ac:dyDescent="0.25">
      <c r="A195" s="17" t="s">
        <v>2</v>
      </c>
      <c r="B195" s="18" t="s">
        <v>42</v>
      </c>
      <c r="C195" s="18">
        <v>5.0237894388104998</v>
      </c>
      <c r="D195" s="18">
        <v>1966</v>
      </c>
    </row>
    <row r="196" spans="1:4" ht="19.95" customHeight="1" x14ac:dyDescent="0.25">
      <c r="A196" s="17" t="s">
        <v>36</v>
      </c>
      <c r="B196" s="18" t="s">
        <v>42</v>
      </c>
      <c r="C196" s="18"/>
      <c r="D196" s="18">
        <v>1966</v>
      </c>
    </row>
    <row r="197" spans="1:4" ht="19.95" customHeight="1" x14ac:dyDescent="0.25">
      <c r="A197" s="17" t="s">
        <v>37</v>
      </c>
      <c r="B197" s="18" t="s">
        <v>42</v>
      </c>
      <c r="C197" s="18"/>
      <c r="D197" s="18">
        <v>1966</v>
      </c>
    </row>
    <row r="198" spans="1:4" ht="19.95" customHeight="1" x14ac:dyDescent="0.25">
      <c r="A198" s="17" t="s">
        <v>38</v>
      </c>
      <c r="B198" s="18" t="s">
        <v>42</v>
      </c>
      <c r="C198" s="18"/>
      <c r="D198" s="18">
        <v>1966</v>
      </c>
    </row>
    <row r="199" spans="1:4" ht="19.95" customHeight="1" x14ac:dyDescent="0.25">
      <c r="A199" s="17" t="s">
        <v>39</v>
      </c>
      <c r="B199" s="18" t="s">
        <v>42</v>
      </c>
      <c r="C199" s="18">
        <v>-5.5703098086046801</v>
      </c>
      <c r="D199" s="18">
        <v>1966</v>
      </c>
    </row>
    <row r="200" spans="1:4" ht="19.95" customHeight="1" x14ac:dyDescent="0.25">
      <c r="A200" s="17" t="s">
        <v>40</v>
      </c>
      <c r="B200" s="18" t="s">
        <v>42</v>
      </c>
      <c r="C200" s="18">
        <v>1.5231300264023799</v>
      </c>
      <c r="D200" s="18">
        <v>1966</v>
      </c>
    </row>
    <row r="201" spans="1:4" ht="19.95" customHeight="1" x14ac:dyDescent="0.25">
      <c r="A201" s="17" t="s">
        <v>10</v>
      </c>
      <c r="B201" s="18" t="s">
        <v>42</v>
      </c>
      <c r="C201" s="18">
        <v>13.8215186020324</v>
      </c>
      <c r="D201" s="18">
        <v>1967</v>
      </c>
    </row>
    <row r="202" spans="1:4" ht="19.95" customHeight="1" x14ac:dyDescent="0.25">
      <c r="A202" s="17" t="s">
        <v>13</v>
      </c>
      <c r="B202" s="18" t="s">
        <v>42</v>
      </c>
      <c r="C202" s="18">
        <v>-10.9120655904009</v>
      </c>
      <c r="D202" s="18">
        <v>1967</v>
      </c>
    </row>
    <row r="203" spans="1:4" ht="19.95" customHeight="1" x14ac:dyDescent="0.25">
      <c r="A203" s="17" t="s">
        <v>16</v>
      </c>
      <c r="B203" s="18" t="s">
        <v>42</v>
      </c>
      <c r="C203" s="18">
        <v>0.76720138229011103</v>
      </c>
      <c r="D203" s="18">
        <v>1967</v>
      </c>
    </row>
    <row r="204" spans="1:4" ht="19.95" customHeight="1" x14ac:dyDescent="0.25">
      <c r="A204" s="17" t="s">
        <v>15</v>
      </c>
      <c r="B204" s="18" t="s">
        <v>42</v>
      </c>
      <c r="C204" s="18"/>
      <c r="D204" s="18">
        <v>1967</v>
      </c>
    </row>
    <row r="205" spans="1:4" ht="19.95" customHeight="1" x14ac:dyDescent="0.25">
      <c r="A205" s="17" t="s">
        <v>17</v>
      </c>
      <c r="B205" s="18" t="s">
        <v>42</v>
      </c>
      <c r="C205" s="18"/>
      <c r="D205" s="18">
        <v>1967</v>
      </c>
    </row>
    <row r="206" spans="1:4" ht="19.95" customHeight="1" x14ac:dyDescent="0.25">
      <c r="A206" s="17" t="s">
        <v>18</v>
      </c>
      <c r="B206" s="18" t="s">
        <v>42</v>
      </c>
      <c r="C206" s="18"/>
      <c r="D206" s="18">
        <v>1967</v>
      </c>
    </row>
    <row r="207" spans="1:4" ht="19.95" customHeight="1" x14ac:dyDescent="0.25">
      <c r="A207" s="17" t="s">
        <v>19</v>
      </c>
      <c r="B207" s="18" t="s">
        <v>42</v>
      </c>
      <c r="C207" s="18"/>
      <c r="D207" s="18">
        <v>1967</v>
      </c>
    </row>
    <row r="208" spans="1:4" ht="19.95" customHeight="1" x14ac:dyDescent="0.25">
      <c r="A208" s="17" t="s">
        <v>20</v>
      </c>
      <c r="B208" s="18" t="s">
        <v>42</v>
      </c>
      <c r="C208" s="18"/>
      <c r="D208" s="18">
        <v>1967</v>
      </c>
    </row>
    <row r="209" spans="1:4" ht="19.95" customHeight="1" x14ac:dyDescent="0.25">
      <c r="A209" s="17" t="s">
        <v>21</v>
      </c>
      <c r="B209" s="18" t="s">
        <v>42</v>
      </c>
      <c r="C209" s="18">
        <v>3.3612320322510501</v>
      </c>
      <c r="D209" s="18">
        <v>1967</v>
      </c>
    </row>
    <row r="210" spans="1:4" ht="19.95" customHeight="1" x14ac:dyDescent="0.25">
      <c r="A210" s="17" t="s">
        <v>22</v>
      </c>
      <c r="B210" s="18" t="s">
        <v>42</v>
      </c>
      <c r="C210" s="18"/>
      <c r="D210" s="18">
        <v>1967</v>
      </c>
    </row>
    <row r="211" spans="1:4" ht="19.95" customHeight="1" x14ac:dyDescent="0.25">
      <c r="A211" s="17" t="s">
        <v>23</v>
      </c>
      <c r="B211" s="18" t="s">
        <v>42</v>
      </c>
      <c r="C211" s="18">
        <v>6.74579085865388</v>
      </c>
      <c r="D211" s="18">
        <v>1967</v>
      </c>
    </row>
    <row r="212" spans="1:4" ht="19.95" customHeight="1" x14ac:dyDescent="0.25">
      <c r="A212" s="17" t="s">
        <v>24</v>
      </c>
      <c r="B212" s="18" t="s">
        <v>42</v>
      </c>
      <c r="C212" s="18">
        <v>5.5285656101044198</v>
      </c>
      <c r="D212" s="18">
        <v>1967</v>
      </c>
    </row>
    <row r="213" spans="1:4" ht="19.95" customHeight="1" x14ac:dyDescent="0.25">
      <c r="A213" s="17" t="s">
        <v>25</v>
      </c>
      <c r="B213" s="18" t="s">
        <v>42</v>
      </c>
      <c r="C213" s="18">
        <v>7.2815499434996704</v>
      </c>
      <c r="D213" s="18">
        <v>1967</v>
      </c>
    </row>
    <row r="214" spans="1:4" ht="19.95" customHeight="1" x14ac:dyDescent="0.25">
      <c r="A214" s="17" t="s">
        <v>26</v>
      </c>
      <c r="B214" s="18" t="s">
        <v>42</v>
      </c>
      <c r="C214" s="18"/>
      <c r="D214" s="18">
        <v>1967</v>
      </c>
    </row>
    <row r="215" spans="1:4" ht="19.95" customHeight="1" x14ac:dyDescent="0.25">
      <c r="A215" s="17" t="s">
        <v>27</v>
      </c>
      <c r="B215" s="18" t="s">
        <v>42</v>
      </c>
      <c r="C215" s="18"/>
      <c r="D215" s="18">
        <v>1967</v>
      </c>
    </row>
    <row r="216" spans="1:4" ht="19.95" customHeight="1" x14ac:dyDescent="0.25">
      <c r="A216" s="17" t="s">
        <v>28</v>
      </c>
      <c r="B216" s="18" t="s">
        <v>42</v>
      </c>
      <c r="C216" s="18"/>
      <c r="D216" s="18">
        <v>1967</v>
      </c>
    </row>
    <row r="217" spans="1:4" ht="19.95" customHeight="1" x14ac:dyDescent="0.25">
      <c r="A217" s="17" t="s">
        <v>29</v>
      </c>
      <c r="B217" s="18" t="s">
        <v>42</v>
      </c>
      <c r="C217" s="18">
        <v>-5.9252588826370003</v>
      </c>
      <c r="D217" s="18">
        <v>1967</v>
      </c>
    </row>
    <row r="218" spans="1:4" ht="19.95" customHeight="1" x14ac:dyDescent="0.25">
      <c r="A218" s="17" t="s">
        <v>31</v>
      </c>
      <c r="B218" s="18" t="s">
        <v>42</v>
      </c>
      <c r="C218" s="18">
        <v>-1.5714974981418</v>
      </c>
      <c r="D218" s="18">
        <v>1967</v>
      </c>
    </row>
    <row r="219" spans="1:4" ht="19.95" customHeight="1" x14ac:dyDescent="0.25">
      <c r="A219" s="17" t="s">
        <v>32</v>
      </c>
      <c r="B219" s="18" t="s">
        <v>42</v>
      </c>
      <c r="C219" s="18">
        <v>6.96951382512579</v>
      </c>
      <c r="D219" s="18">
        <v>1967</v>
      </c>
    </row>
    <row r="220" spans="1:4" ht="19.95" customHeight="1" x14ac:dyDescent="0.25">
      <c r="A220" s="17" t="s">
        <v>33</v>
      </c>
      <c r="B220" s="18" t="s">
        <v>42</v>
      </c>
      <c r="C220" s="18">
        <v>0.122868670426485</v>
      </c>
      <c r="D220" s="18">
        <v>1967</v>
      </c>
    </row>
    <row r="221" spans="1:4" ht="19.95" customHeight="1" x14ac:dyDescent="0.25">
      <c r="A221" s="17" t="s">
        <v>34</v>
      </c>
      <c r="B221" s="18" t="s">
        <v>42</v>
      </c>
      <c r="C221" s="18">
        <v>6.91601750989651</v>
      </c>
      <c r="D221" s="18">
        <v>1967</v>
      </c>
    </row>
    <row r="222" spans="1:4" ht="19.95" customHeight="1" x14ac:dyDescent="0.25">
      <c r="A222" s="17" t="s">
        <v>35</v>
      </c>
      <c r="B222" s="18" t="s">
        <v>42</v>
      </c>
      <c r="C222" s="18"/>
      <c r="D222" s="18">
        <v>1967</v>
      </c>
    </row>
    <row r="223" spans="1:4" ht="19.95" customHeight="1" x14ac:dyDescent="0.25">
      <c r="A223" s="17" t="s">
        <v>2</v>
      </c>
      <c r="B223" s="18" t="s">
        <v>42</v>
      </c>
      <c r="C223" s="18">
        <v>6.4390244198930597</v>
      </c>
      <c r="D223" s="18">
        <v>1967</v>
      </c>
    </row>
    <row r="224" spans="1:4" ht="19.95" customHeight="1" x14ac:dyDescent="0.25">
      <c r="A224" s="17" t="s">
        <v>36</v>
      </c>
      <c r="B224" s="18" t="s">
        <v>42</v>
      </c>
      <c r="C224" s="18"/>
      <c r="D224" s="18">
        <v>1967</v>
      </c>
    </row>
    <row r="225" spans="1:4" ht="19.95" customHeight="1" x14ac:dyDescent="0.25">
      <c r="A225" s="17" t="s">
        <v>37</v>
      </c>
      <c r="B225" s="18" t="s">
        <v>42</v>
      </c>
      <c r="C225" s="18"/>
      <c r="D225" s="18">
        <v>1967</v>
      </c>
    </row>
    <row r="226" spans="1:4" ht="19.95" customHeight="1" x14ac:dyDescent="0.25">
      <c r="A226" s="17" t="s">
        <v>38</v>
      </c>
      <c r="B226" s="18" t="s">
        <v>42</v>
      </c>
      <c r="C226" s="18"/>
      <c r="D226" s="18">
        <v>1967</v>
      </c>
    </row>
    <row r="227" spans="1:4" ht="19.95" customHeight="1" x14ac:dyDescent="0.25">
      <c r="A227" s="17" t="s">
        <v>39</v>
      </c>
      <c r="B227" s="18" t="s">
        <v>42</v>
      </c>
      <c r="C227" s="18">
        <v>7.9196965119987501</v>
      </c>
      <c r="D227" s="18">
        <v>1967</v>
      </c>
    </row>
    <row r="228" spans="1:4" ht="19.95" customHeight="1" x14ac:dyDescent="0.25">
      <c r="A228" s="17" t="s">
        <v>40</v>
      </c>
      <c r="B228" s="18" t="s">
        <v>42</v>
      </c>
      <c r="C228" s="18">
        <v>8.3670089302274402</v>
      </c>
      <c r="D228" s="18">
        <v>1967</v>
      </c>
    </row>
    <row r="229" spans="1:4" ht="19.95" customHeight="1" x14ac:dyDescent="0.25">
      <c r="A229" s="17" t="s">
        <v>10</v>
      </c>
      <c r="B229" s="18" t="s">
        <v>42</v>
      </c>
      <c r="C229" s="18">
        <v>-0.297883673243859</v>
      </c>
      <c r="D229" s="18">
        <v>1968</v>
      </c>
    </row>
    <row r="230" spans="1:4" ht="19.95" customHeight="1" x14ac:dyDescent="0.25">
      <c r="A230" s="17" t="s">
        <v>13</v>
      </c>
      <c r="B230" s="18" t="s">
        <v>42</v>
      </c>
      <c r="C230" s="18">
        <v>6.3463238555248704</v>
      </c>
      <c r="D230" s="18">
        <v>1968</v>
      </c>
    </row>
    <row r="231" spans="1:4" ht="19.95" customHeight="1" x14ac:dyDescent="0.25">
      <c r="A231" s="17" t="s">
        <v>16</v>
      </c>
      <c r="B231" s="18" t="s">
        <v>42</v>
      </c>
      <c r="C231" s="18">
        <v>-0.45721886653812799</v>
      </c>
      <c r="D231" s="18">
        <v>1968</v>
      </c>
    </row>
    <row r="232" spans="1:4" ht="19.95" customHeight="1" x14ac:dyDescent="0.25">
      <c r="A232" s="17" t="s">
        <v>15</v>
      </c>
      <c r="B232" s="18" t="s">
        <v>42</v>
      </c>
      <c r="C232" s="18"/>
      <c r="D232" s="18">
        <v>1968</v>
      </c>
    </row>
    <row r="233" spans="1:4" ht="19.95" customHeight="1" x14ac:dyDescent="0.25">
      <c r="A233" s="17" t="s">
        <v>17</v>
      </c>
      <c r="B233" s="18" t="s">
        <v>42</v>
      </c>
      <c r="C233" s="18"/>
      <c r="D233" s="18">
        <v>1968</v>
      </c>
    </row>
    <row r="234" spans="1:4" ht="19.95" customHeight="1" x14ac:dyDescent="0.25">
      <c r="A234" s="17" t="s">
        <v>18</v>
      </c>
      <c r="B234" s="18" t="s">
        <v>42</v>
      </c>
      <c r="C234" s="18"/>
      <c r="D234" s="18">
        <v>1968</v>
      </c>
    </row>
    <row r="235" spans="1:4" ht="19.95" customHeight="1" x14ac:dyDescent="0.25">
      <c r="A235" s="17" t="s">
        <v>19</v>
      </c>
      <c r="B235" s="18" t="s">
        <v>42</v>
      </c>
      <c r="C235" s="18"/>
      <c r="D235" s="18">
        <v>1968</v>
      </c>
    </row>
    <row r="236" spans="1:4" ht="19.95" customHeight="1" x14ac:dyDescent="0.25">
      <c r="A236" s="17" t="s">
        <v>20</v>
      </c>
      <c r="B236" s="18" t="s">
        <v>42</v>
      </c>
      <c r="C236" s="18"/>
      <c r="D236" s="18">
        <v>1968</v>
      </c>
    </row>
    <row r="237" spans="1:4" ht="19.95" customHeight="1" x14ac:dyDescent="0.25">
      <c r="A237" s="17" t="s">
        <v>21</v>
      </c>
      <c r="B237" s="18" t="s">
        <v>42</v>
      </c>
      <c r="C237" s="18">
        <v>7.9826899695325704</v>
      </c>
      <c r="D237" s="18">
        <v>1968</v>
      </c>
    </row>
    <row r="238" spans="1:4" ht="19.95" customHeight="1" x14ac:dyDescent="0.25">
      <c r="A238" s="17" t="s">
        <v>22</v>
      </c>
      <c r="B238" s="18" t="s">
        <v>42</v>
      </c>
      <c r="C238" s="18"/>
      <c r="D238" s="18">
        <v>1968</v>
      </c>
    </row>
    <row r="239" spans="1:4" ht="19.95" customHeight="1" x14ac:dyDescent="0.25">
      <c r="A239" s="17" t="s">
        <v>23</v>
      </c>
      <c r="B239" s="18" t="s">
        <v>42</v>
      </c>
      <c r="C239" s="18">
        <v>4.7688716893939498</v>
      </c>
      <c r="D239" s="18">
        <v>1968</v>
      </c>
    </row>
    <row r="240" spans="1:4" ht="19.95" customHeight="1" x14ac:dyDescent="0.25">
      <c r="A240" s="17" t="s">
        <v>24</v>
      </c>
      <c r="B240" s="18" t="s">
        <v>42</v>
      </c>
      <c r="C240" s="18">
        <v>6.8287860989285001</v>
      </c>
      <c r="D240" s="18">
        <v>1968</v>
      </c>
    </row>
    <row r="241" spans="1:4" ht="19.95" customHeight="1" x14ac:dyDescent="0.25">
      <c r="A241" s="17" t="s">
        <v>25</v>
      </c>
      <c r="B241" s="18" t="s">
        <v>42</v>
      </c>
      <c r="C241" s="18">
        <v>-1.9230791684213699</v>
      </c>
      <c r="D241" s="18">
        <v>1968</v>
      </c>
    </row>
    <row r="242" spans="1:4" ht="19.95" customHeight="1" x14ac:dyDescent="0.25">
      <c r="A242" s="17" t="s">
        <v>26</v>
      </c>
      <c r="B242" s="18" t="s">
        <v>42</v>
      </c>
      <c r="C242" s="18">
        <v>3.7084101964868998</v>
      </c>
      <c r="D242" s="18">
        <v>1968</v>
      </c>
    </row>
    <row r="243" spans="1:4" ht="19.95" customHeight="1" x14ac:dyDescent="0.25">
      <c r="A243" s="17" t="s">
        <v>27</v>
      </c>
      <c r="B243" s="18" t="s">
        <v>42</v>
      </c>
      <c r="C243" s="18"/>
      <c r="D243" s="18">
        <v>1968</v>
      </c>
    </row>
    <row r="244" spans="1:4" ht="19.95" customHeight="1" x14ac:dyDescent="0.25">
      <c r="A244" s="17" t="s">
        <v>28</v>
      </c>
      <c r="B244" s="18" t="s">
        <v>42</v>
      </c>
      <c r="C244" s="18"/>
      <c r="D244" s="18">
        <v>1968</v>
      </c>
    </row>
    <row r="245" spans="1:4" ht="19.95" customHeight="1" x14ac:dyDescent="0.25">
      <c r="A245" s="17" t="s">
        <v>29</v>
      </c>
      <c r="B245" s="18" t="s">
        <v>42</v>
      </c>
      <c r="C245" s="18">
        <v>12.059340183653701</v>
      </c>
      <c r="D245" s="18">
        <v>1968</v>
      </c>
    </row>
    <row r="246" spans="1:4" ht="19.95" customHeight="1" x14ac:dyDescent="0.25">
      <c r="A246" s="17" t="s">
        <v>31</v>
      </c>
      <c r="B246" s="18" t="s">
        <v>42</v>
      </c>
      <c r="C246" s="18">
        <v>0.67548346391794201</v>
      </c>
      <c r="D246" s="18">
        <v>1968</v>
      </c>
    </row>
    <row r="247" spans="1:4" ht="19.95" customHeight="1" x14ac:dyDescent="0.25">
      <c r="A247" s="17" t="s">
        <v>32</v>
      </c>
      <c r="B247" s="18" t="s">
        <v>42</v>
      </c>
      <c r="C247" s="18">
        <v>1.3429600534577699</v>
      </c>
      <c r="D247" s="18">
        <v>1968</v>
      </c>
    </row>
    <row r="248" spans="1:4" ht="19.95" customHeight="1" x14ac:dyDescent="0.25">
      <c r="A248" s="17" t="s">
        <v>33</v>
      </c>
      <c r="B248" s="18" t="s">
        <v>42</v>
      </c>
      <c r="C248" s="18">
        <v>0.38349466225926698</v>
      </c>
      <c r="D248" s="18">
        <v>1968</v>
      </c>
    </row>
    <row r="249" spans="1:4" ht="19.95" customHeight="1" x14ac:dyDescent="0.25">
      <c r="A249" s="17" t="s">
        <v>34</v>
      </c>
      <c r="B249" s="18" t="s">
        <v>42</v>
      </c>
      <c r="C249" s="18">
        <v>7.0137809277849898</v>
      </c>
      <c r="D249" s="18">
        <v>1968</v>
      </c>
    </row>
    <row r="250" spans="1:4" ht="19.95" customHeight="1" x14ac:dyDescent="0.25">
      <c r="A250" s="17" t="s">
        <v>35</v>
      </c>
      <c r="B250" s="18" t="s">
        <v>42</v>
      </c>
      <c r="C250" s="18"/>
      <c r="D250" s="18">
        <v>1968</v>
      </c>
    </row>
    <row r="251" spans="1:4" ht="19.95" customHeight="1" x14ac:dyDescent="0.25">
      <c r="A251" s="17" t="s">
        <v>2</v>
      </c>
      <c r="B251" s="18" t="s">
        <v>42</v>
      </c>
      <c r="C251" s="18">
        <v>5.8010941668134999</v>
      </c>
      <c r="D251" s="18">
        <v>1968</v>
      </c>
    </row>
    <row r="252" spans="1:4" ht="19.95" customHeight="1" x14ac:dyDescent="0.25">
      <c r="A252" s="17" t="s">
        <v>36</v>
      </c>
      <c r="B252" s="18" t="s">
        <v>42</v>
      </c>
      <c r="C252" s="18"/>
      <c r="D252" s="18">
        <v>1968</v>
      </c>
    </row>
    <row r="253" spans="1:4" ht="19.95" customHeight="1" x14ac:dyDescent="0.25">
      <c r="A253" s="17" t="s">
        <v>37</v>
      </c>
      <c r="B253" s="18" t="s">
        <v>42</v>
      </c>
      <c r="C253" s="18"/>
      <c r="D253" s="18">
        <v>1968</v>
      </c>
    </row>
    <row r="254" spans="1:4" ht="19.95" customHeight="1" x14ac:dyDescent="0.25">
      <c r="A254" s="17" t="s">
        <v>38</v>
      </c>
      <c r="B254" s="18" t="s">
        <v>42</v>
      </c>
      <c r="C254" s="18"/>
      <c r="D254" s="18">
        <v>1968</v>
      </c>
    </row>
    <row r="255" spans="1:4" ht="19.95" customHeight="1" x14ac:dyDescent="0.25">
      <c r="A255" s="17" t="s">
        <v>39</v>
      </c>
      <c r="B255" s="18" t="s">
        <v>42</v>
      </c>
      <c r="C255" s="18">
        <v>1.2483299822279701</v>
      </c>
      <c r="D255" s="18">
        <v>1968</v>
      </c>
    </row>
    <row r="256" spans="1:4" ht="19.95" customHeight="1" x14ac:dyDescent="0.25">
      <c r="A256" s="17" t="s">
        <v>40</v>
      </c>
      <c r="B256" s="18" t="s">
        <v>42</v>
      </c>
      <c r="C256" s="18">
        <v>1.9701349696183601</v>
      </c>
      <c r="D256" s="18">
        <v>1968</v>
      </c>
    </row>
    <row r="257" spans="1:4" ht="19.95" customHeight="1" x14ac:dyDescent="0.25">
      <c r="A257" s="17" t="s">
        <v>10</v>
      </c>
      <c r="B257" s="18" t="s">
        <v>42</v>
      </c>
      <c r="C257" s="18">
        <v>-1.4595411432062699</v>
      </c>
      <c r="D257" s="18">
        <v>1969</v>
      </c>
    </row>
    <row r="258" spans="1:4" ht="19.95" customHeight="1" x14ac:dyDescent="0.25">
      <c r="A258" s="17" t="s">
        <v>13</v>
      </c>
      <c r="B258" s="18" t="s">
        <v>42</v>
      </c>
      <c r="C258" s="18">
        <v>4.9014795226400896</v>
      </c>
      <c r="D258" s="18">
        <v>1969</v>
      </c>
    </row>
    <row r="259" spans="1:4" ht="19.95" customHeight="1" x14ac:dyDescent="0.25">
      <c r="A259" s="17" t="s">
        <v>16</v>
      </c>
      <c r="B259" s="18" t="s">
        <v>42</v>
      </c>
      <c r="C259" s="18">
        <v>6.8813102237921298</v>
      </c>
      <c r="D259" s="18">
        <v>1969</v>
      </c>
    </row>
    <row r="260" spans="1:4" ht="19.95" customHeight="1" x14ac:dyDescent="0.25">
      <c r="A260" s="17" t="s">
        <v>15</v>
      </c>
      <c r="B260" s="18" t="s">
        <v>42</v>
      </c>
      <c r="C260" s="18"/>
      <c r="D260" s="18">
        <v>1969</v>
      </c>
    </row>
    <row r="261" spans="1:4" ht="19.95" customHeight="1" x14ac:dyDescent="0.25">
      <c r="A261" s="17" t="s">
        <v>17</v>
      </c>
      <c r="B261" s="18" t="s">
        <v>42</v>
      </c>
      <c r="C261" s="18"/>
      <c r="D261" s="18">
        <v>1969</v>
      </c>
    </row>
    <row r="262" spans="1:4" ht="19.95" customHeight="1" x14ac:dyDescent="0.25">
      <c r="A262" s="17" t="s">
        <v>18</v>
      </c>
      <c r="B262" s="18" t="s">
        <v>42</v>
      </c>
      <c r="C262" s="18"/>
      <c r="D262" s="18">
        <v>1969</v>
      </c>
    </row>
    <row r="263" spans="1:4" ht="19.95" customHeight="1" x14ac:dyDescent="0.25">
      <c r="A263" s="17" t="s">
        <v>19</v>
      </c>
      <c r="B263" s="18" t="s">
        <v>42</v>
      </c>
      <c r="C263" s="18"/>
      <c r="D263" s="18">
        <v>1969</v>
      </c>
    </row>
    <row r="264" spans="1:4" ht="19.95" customHeight="1" x14ac:dyDescent="0.25">
      <c r="A264" s="17" t="s">
        <v>20</v>
      </c>
      <c r="B264" s="18" t="s">
        <v>42</v>
      </c>
      <c r="C264" s="18"/>
      <c r="D264" s="18">
        <v>1969</v>
      </c>
    </row>
    <row r="265" spans="1:4" ht="19.95" customHeight="1" x14ac:dyDescent="0.25">
      <c r="A265" s="17" t="s">
        <v>21</v>
      </c>
      <c r="B265" s="18" t="s">
        <v>42</v>
      </c>
      <c r="C265" s="18">
        <v>7.9592244560822802</v>
      </c>
      <c r="D265" s="18">
        <v>1969</v>
      </c>
    </row>
    <row r="266" spans="1:4" ht="19.95" customHeight="1" x14ac:dyDescent="0.25">
      <c r="A266" s="17" t="s">
        <v>22</v>
      </c>
      <c r="B266" s="18" t="s">
        <v>42</v>
      </c>
      <c r="C266" s="18"/>
      <c r="D266" s="18">
        <v>1969</v>
      </c>
    </row>
    <row r="267" spans="1:4" ht="19.95" customHeight="1" x14ac:dyDescent="0.25">
      <c r="A267" s="17" t="s">
        <v>23</v>
      </c>
      <c r="B267" s="18" t="s">
        <v>42</v>
      </c>
      <c r="C267" s="18">
        <v>7.2884730103167197</v>
      </c>
      <c r="D267" s="18">
        <v>1969</v>
      </c>
    </row>
    <row r="268" spans="1:4" ht="19.95" customHeight="1" x14ac:dyDescent="0.25">
      <c r="A268" s="17" t="s">
        <v>24</v>
      </c>
      <c r="B268" s="18" t="s">
        <v>42</v>
      </c>
      <c r="C268" s="18">
        <v>3.7212221678009998</v>
      </c>
      <c r="D268" s="18">
        <v>1969</v>
      </c>
    </row>
    <row r="269" spans="1:4" ht="19.95" customHeight="1" x14ac:dyDescent="0.25">
      <c r="A269" s="17" t="s">
        <v>25</v>
      </c>
      <c r="B269" s="18" t="s">
        <v>42</v>
      </c>
      <c r="C269" s="18">
        <v>5.8823598926885996</v>
      </c>
      <c r="D269" s="18">
        <v>1969</v>
      </c>
    </row>
    <row r="270" spans="1:4" ht="19.95" customHeight="1" x14ac:dyDescent="0.25">
      <c r="A270" s="17" t="s">
        <v>26</v>
      </c>
      <c r="B270" s="18" t="s">
        <v>42</v>
      </c>
      <c r="C270" s="18">
        <v>0.230999419524821</v>
      </c>
      <c r="D270" s="18">
        <v>1969</v>
      </c>
    </row>
    <row r="271" spans="1:4" ht="19.95" customHeight="1" x14ac:dyDescent="0.25">
      <c r="A271" s="17" t="s">
        <v>27</v>
      </c>
      <c r="B271" s="18" t="s">
        <v>42</v>
      </c>
      <c r="C271" s="18"/>
      <c r="D271" s="18">
        <v>1969</v>
      </c>
    </row>
    <row r="272" spans="1:4" ht="19.95" customHeight="1" x14ac:dyDescent="0.25">
      <c r="A272" s="17" t="s">
        <v>28</v>
      </c>
      <c r="B272" s="18" t="s">
        <v>42</v>
      </c>
      <c r="C272" s="18"/>
      <c r="D272" s="18">
        <v>1969</v>
      </c>
    </row>
    <row r="273" spans="1:4" ht="19.95" customHeight="1" x14ac:dyDescent="0.25">
      <c r="A273" s="17" t="s">
        <v>29</v>
      </c>
      <c r="B273" s="18" t="s">
        <v>42</v>
      </c>
      <c r="C273" s="18">
        <v>3.29174112061312</v>
      </c>
      <c r="D273" s="18">
        <v>1969</v>
      </c>
    </row>
    <row r="274" spans="1:4" ht="19.95" customHeight="1" x14ac:dyDescent="0.25">
      <c r="A274" s="17" t="s">
        <v>31</v>
      </c>
      <c r="B274" s="18" t="s">
        <v>42</v>
      </c>
      <c r="C274" s="18">
        <v>4.46342160070982</v>
      </c>
      <c r="D274" s="18">
        <v>1969</v>
      </c>
    </row>
    <row r="275" spans="1:4" ht="19.95" customHeight="1" x14ac:dyDescent="0.25">
      <c r="A275" s="17" t="s">
        <v>32</v>
      </c>
      <c r="B275" s="18" t="s">
        <v>42</v>
      </c>
      <c r="C275" s="18">
        <v>6.2377039074100402</v>
      </c>
      <c r="D275" s="18">
        <v>1969</v>
      </c>
    </row>
    <row r="276" spans="1:4" ht="19.95" customHeight="1" x14ac:dyDescent="0.25">
      <c r="A276" s="17" t="s">
        <v>33</v>
      </c>
      <c r="B276" s="18" t="s">
        <v>42</v>
      </c>
      <c r="C276" s="18">
        <v>-5.4859458120611597</v>
      </c>
      <c r="D276" s="18">
        <v>1969</v>
      </c>
    </row>
    <row r="277" spans="1:4" ht="19.95" customHeight="1" x14ac:dyDescent="0.25">
      <c r="A277" s="17" t="s">
        <v>34</v>
      </c>
      <c r="B277" s="18" t="s">
        <v>42</v>
      </c>
      <c r="C277" s="18">
        <v>11.0073701496007</v>
      </c>
      <c r="D277" s="18">
        <v>1969</v>
      </c>
    </row>
    <row r="278" spans="1:4" ht="19.95" customHeight="1" x14ac:dyDescent="0.25">
      <c r="A278" s="17" t="s">
        <v>35</v>
      </c>
      <c r="B278" s="18" t="s">
        <v>42</v>
      </c>
      <c r="C278" s="18"/>
      <c r="D278" s="18">
        <v>1969</v>
      </c>
    </row>
    <row r="279" spans="1:4" ht="19.95" customHeight="1" x14ac:dyDescent="0.25">
      <c r="A279" s="17" t="s">
        <v>2</v>
      </c>
      <c r="B279" s="18" t="s">
        <v>42</v>
      </c>
      <c r="C279" s="18">
        <v>7.7168196616551699</v>
      </c>
      <c r="D279" s="18">
        <v>1969</v>
      </c>
    </row>
    <row r="280" spans="1:4" ht="19.95" customHeight="1" x14ac:dyDescent="0.25">
      <c r="A280" s="17" t="s">
        <v>36</v>
      </c>
      <c r="B280" s="18" t="s">
        <v>42</v>
      </c>
      <c r="C280" s="18"/>
      <c r="D280" s="18">
        <v>1969</v>
      </c>
    </row>
    <row r="281" spans="1:4" ht="19.95" customHeight="1" x14ac:dyDescent="0.25">
      <c r="A281" s="17" t="s">
        <v>37</v>
      </c>
      <c r="B281" s="18" t="s">
        <v>42</v>
      </c>
      <c r="C281" s="18"/>
      <c r="D281" s="18">
        <v>1969</v>
      </c>
    </row>
    <row r="282" spans="1:4" ht="19.95" customHeight="1" x14ac:dyDescent="0.25">
      <c r="A282" s="17" t="s">
        <v>38</v>
      </c>
      <c r="B282" s="18" t="s">
        <v>42</v>
      </c>
      <c r="C282" s="18"/>
      <c r="D282" s="18">
        <v>1969</v>
      </c>
    </row>
    <row r="283" spans="1:4" ht="19.95" customHeight="1" x14ac:dyDescent="0.25">
      <c r="A283" s="17" t="s">
        <v>39</v>
      </c>
      <c r="B283" s="18" t="s">
        <v>42</v>
      </c>
      <c r="C283" s="18">
        <v>-0.436915823088185</v>
      </c>
      <c r="D283" s="18">
        <v>1969</v>
      </c>
    </row>
    <row r="284" spans="1:4" ht="19.95" customHeight="1" x14ac:dyDescent="0.25">
      <c r="A284" s="17" t="s">
        <v>40</v>
      </c>
      <c r="B284" s="18" t="s">
        <v>42</v>
      </c>
      <c r="C284" s="18">
        <v>12.4282358345824</v>
      </c>
      <c r="D284" s="18">
        <v>1969</v>
      </c>
    </row>
    <row r="285" spans="1:4" ht="19.95" customHeight="1" x14ac:dyDescent="0.25">
      <c r="A285" s="17" t="s">
        <v>10</v>
      </c>
      <c r="B285" s="18" t="s">
        <v>42</v>
      </c>
      <c r="C285" s="18">
        <v>21.325670732819699</v>
      </c>
      <c r="D285" s="18">
        <v>1970</v>
      </c>
    </row>
    <row r="286" spans="1:4" ht="19.95" customHeight="1" x14ac:dyDescent="0.25">
      <c r="A286" s="17" t="s">
        <v>13</v>
      </c>
      <c r="B286" s="18" t="s">
        <v>42</v>
      </c>
      <c r="C286" s="18">
        <v>3.0920682359675902</v>
      </c>
      <c r="D286" s="18">
        <v>1970</v>
      </c>
    </row>
    <row r="287" spans="1:4" ht="19.95" customHeight="1" x14ac:dyDescent="0.25">
      <c r="A287" s="17" t="s">
        <v>16</v>
      </c>
      <c r="B287" s="18" t="s">
        <v>42</v>
      </c>
      <c r="C287" s="18">
        <v>1.85965647855537</v>
      </c>
      <c r="D287" s="18">
        <v>1970</v>
      </c>
    </row>
    <row r="288" spans="1:4" ht="19.95" customHeight="1" x14ac:dyDescent="0.25">
      <c r="A288" s="17" t="s">
        <v>15</v>
      </c>
      <c r="B288" s="18" t="s">
        <v>42</v>
      </c>
      <c r="C288" s="18"/>
      <c r="D288" s="18">
        <v>1970</v>
      </c>
    </row>
    <row r="289" spans="1:4" ht="19.95" customHeight="1" x14ac:dyDescent="0.25">
      <c r="A289" s="17" t="s">
        <v>17</v>
      </c>
      <c r="B289" s="18" t="s">
        <v>42</v>
      </c>
      <c r="C289" s="18"/>
      <c r="D289" s="18">
        <v>1970</v>
      </c>
    </row>
    <row r="290" spans="1:4" ht="19.95" customHeight="1" x14ac:dyDescent="0.25">
      <c r="A290" s="17" t="s">
        <v>18</v>
      </c>
      <c r="B290" s="18" t="s">
        <v>42</v>
      </c>
      <c r="C290" s="18"/>
      <c r="D290" s="18">
        <v>1970</v>
      </c>
    </row>
    <row r="291" spans="1:4" ht="19.95" customHeight="1" x14ac:dyDescent="0.25">
      <c r="A291" s="17" t="s">
        <v>19</v>
      </c>
      <c r="B291" s="18" t="s">
        <v>42</v>
      </c>
      <c r="C291" s="18"/>
      <c r="D291" s="18">
        <v>1970</v>
      </c>
    </row>
    <row r="292" spans="1:4" ht="19.95" customHeight="1" x14ac:dyDescent="0.25">
      <c r="A292" s="17" t="s">
        <v>20</v>
      </c>
      <c r="B292" s="18" t="s">
        <v>42</v>
      </c>
      <c r="C292" s="18"/>
      <c r="D292" s="18">
        <v>1970</v>
      </c>
    </row>
    <row r="293" spans="1:4" ht="19.95" customHeight="1" x14ac:dyDescent="0.25">
      <c r="A293" s="17" t="s">
        <v>21</v>
      </c>
      <c r="B293" s="18" t="s">
        <v>42</v>
      </c>
      <c r="C293" s="18">
        <v>-4.6554469135628302</v>
      </c>
      <c r="D293" s="18">
        <v>1970</v>
      </c>
    </row>
    <row r="294" spans="1:4" ht="19.95" customHeight="1" x14ac:dyDescent="0.25">
      <c r="A294" s="17" t="s">
        <v>22</v>
      </c>
      <c r="B294" s="18" t="s">
        <v>42</v>
      </c>
      <c r="C294" s="18"/>
      <c r="D294" s="18">
        <v>1970</v>
      </c>
    </row>
    <row r="295" spans="1:4" ht="19.95" customHeight="1" x14ac:dyDescent="0.25">
      <c r="A295" s="17" t="s">
        <v>23</v>
      </c>
      <c r="B295" s="18" t="s">
        <v>42</v>
      </c>
      <c r="C295" s="18">
        <v>6.66319270949118</v>
      </c>
      <c r="D295" s="18">
        <v>1970</v>
      </c>
    </row>
    <row r="296" spans="1:4" ht="19.95" customHeight="1" x14ac:dyDescent="0.25">
      <c r="A296" s="17" t="s">
        <v>24</v>
      </c>
      <c r="B296" s="18" t="s">
        <v>42</v>
      </c>
      <c r="C296" s="18">
        <v>5.2764555748476303</v>
      </c>
      <c r="D296" s="18">
        <v>1970</v>
      </c>
    </row>
    <row r="297" spans="1:4" ht="19.95" customHeight="1" x14ac:dyDescent="0.25">
      <c r="A297" s="17" t="s">
        <v>25</v>
      </c>
      <c r="B297" s="18" t="s">
        <v>42</v>
      </c>
      <c r="C297" s="18">
        <v>0.47929797784460998</v>
      </c>
      <c r="D297" s="18">
        <v>1970</v>
      </c>
    </row>
    <row r="298" spans="1:4" ht="19.95" customHeight="1" x14ac:dyDescent="0.25">
      <c r="A298" s="17" t="s">
        <v>26</v>
      </c>
      <c r="B298" s="18" t="s">
        <v>42</v>
      </c>
      <c r="C298" s="18">
        <v>6.1369548625588797</v>
      </c>
      <c r="D298" s="18">
        <v>1970</v>
      </c>
    </row>
    <row r="299" spans="1:4" ht="19.95" customHeight="1" x14ac:dyDescent="0.25">
      <c r="A299" s="17" t="s">
        <v>27</v>
      </c>
      <c r="B299" s="18" t="s">
        <v>42</v>
      </c>
      <c r="C299" s="18"/>
      <c r="D299" s="18">
        <v>1970</v>
      </c>
    </row>
    <row r="300" spans="1:4" ht="19.95" customHeight="1" x14ac:dyDescent="0.25">
      <c r="A300" s="17" t="s">
        <v>28</v>
      </c>
      <c r="B300" s="18" t="s">
        <v>42</v>
      </c>
      <c r="C300" s="18"/>
      <c r="D300" s="18">
        <v>1970</v>
      </c>
    </row>
    <row r="301" spans="1:4" ht="19.95" customHeight="1" x14ac:dyDescent="0.25">
      <c r="A301" s="17" t="s">
        <v>29</v>
      </c>
      <c r="B301" s="18" t="s">
        <v>42</v>
      </c>
      <c r="C301" s="18">
        <v>4.9793305971676602</v>
      </c>
      <c r="D301" s="18">
        <v>1970</v>
      </c>
    </row>
    <row r="302" spans="1:4" ht="19.95" customHeight="1" x14ac:dyDescent="0.25">
      <c r="A302" s="17" t="s">
        <v>31</v>
      </c>
      <c r="B302" s="18" t="s">
        <v>42</v>
      </c>
      <c r="C302" s="18">
        <v>2.5759921262924799</v>
      </c>
      <c r="D302" s="18">
        <v>1970</v>
      </c>
    </row>
    <row r="303" spans="1:4" ht="19.95" customHeight="1" x14ac:dyDescent="0.25">
      <c r="A303" s="17" t="s">
        <v>32</v>
      </c>
      <c r="B303" s="18" t="s">
        <v>42</v>
      </c>
      <c r="C303" s="18">
        <v>1.3538265911120699</v>
      </c>
      <c r="D303" s="18">
        <v>1970</v>
      </c>
    </row>
    <row r="304" spans="1:4" ht="19.95" customHeight="1" x14ac:dyDescent="0.25">
      <c r="A304" s="17" t="s">
        <v>33</v>
      </c>
      <c r="B304" s="18" t="s">
        <v>42</v>
      </c>
      <c r="C304" s="18">
        <v>3.0557789221535199</v>
      </c>
      <c r="D304" s="18">
        <v>1970</v>
      </c>
    </row>
    <row r="305" spans="1:4" ht="19.95" customHeight="1" x14ac:dyDescent="0.25">
      <c r="A305" s="17" t="s">
        <v>34</v>
      </c>
      <c r="B305" s="18" t="s">
        <v>42</v>
      </c>
      <c r="C305" s="18">
        <v>6.0014252449969696</v>
      </c>
      <c r="D305" s="18">
        <v>1970</v>
      </c>
    </row>
    <row r="306" spans="1:4" ht="19.95" customHeight="1" x14ac:dyDescent="0.25">
      <c r="A306" s="17" t="s">
        <v>35</v>
      </c>
      <c r="B306" s="18" t="s">
        <v>42</v>
      </c>
      <c r="C306" s="18"/>
      <c r="D306" s="18">
        <v>1970</v>
      </c>
    </row>
    <row r="307" spans="1:4" ht="19.95" customHeight="1" x14ac:dyDescent="0.25">
      <c r="A307" s="17" t="s">
        <v>2</v>
      </c>
      <c r="B307" s="18" t="s">
        <v>42</v>
      </c>
      <c r="C307" s="18">
        <v>3.8466298552930702</v>
      </c>
      <c r="D307" s="18">
        <v>1970</v>
      </c>
    </row>
    <row r="308" spans="1:4" ht="19.95" customHeight="1" x14ac:dyDescent="0.25">
      <c r="A308" s="17" t="s">
        <v>36</v>
      </c>
      <c r="B308" s="18" t="s">
        <v>42</v>
      </c>
      <c r="C308" s="18"/>
      <c r="D308" s="18">
        <v>1970</v>
      </c>
    </row>
    <row r="309" spans="1:4" ht="19.95" customHeight="1" x14ac:dyDescent="0.25">
      <c r="A309" s="17" t="s">
        <v>37</v>
      </c>
      <c r="B309" s="18" t="s">
        <v>42</v>
      </c>
      <c r="C309" s="18"/>
      <c r="D309" s="18">
        <v>1970</v>
      </c>
    </row>
    <row r="310" spans="1:4" ht="19.95" customHeight="1" x14ac:dyDescent="0.25">
      <c r="A310" s="17" t="s">
        <v>38</v>
      </c>
      <c r="B310" s="18" t="s">
        <v>42</v>
      </c>
      <c r="C310" s="18"/>
      <c r="D310" s="18">
        <v>1970</v>
      </c>
    </row>
    <row r="311" spans="1:4" ht="19.95" customHeight="1" x14ac:dyDescent="0.25">
      <c r="A311" s="17" t="s">
        <v>39</v>
      </c>
      <c r="B311" s="18" t="s">
        <v>42</v>
      </c>
      <c r="C311" s="18">
        <v>4.7971129031889603</v>
      </c>
      <c r="D311" s="18">
        <v>1970</v>
      </c>
    </row>
    <row r="312" spans="1:4" ht="19.95" customHeight="1" x14ac:dyDescent="0.25">
      <c r="A312" s="17" t="s">
        <v>40</v>
      </c>
      <c r="B312" s="18" t="s">
        <v>42</v>
      </c>
      <c r="C312" s="18">
        <v>22.565150839186501</v>
      </c>
      <c r="D312" s="18">
        <v>1970</v>
      </c>
    </row>
    <row r="313" spans="1:4" ht="19.95" customHeight="1" x14ac:dyDescent="0.25">
      <c r="A313" s="17" t="s">
        <v>10</v>
      </c>
      <c r="B313" s="18" t="s">
        <v>42</v>
      </c>
      <c r="C313" s="18">
        <v>2.74682871136838</v>
      </c>
      <c r="D313" s="18">
        <v>1971</v>
      </c>
    </row>
    <row r="314" spans="1:4" ht="19.95" customHeight="1" x14ac:dyDescent="0.25">
      <c r="A314" s="17" t="s">
        <v>13</v>
      </c>
      <c r="B314" s="18" t="s">
        <v>42</v>
      </c>
      <c r="C314" s="18">
        <v>3.47970781666606</v>
      </c>
      <c r="D314" s="18">
        <v>1971</v>
      </c>
    </row>
    <row r="315" spans="1:4" ht="19.95" customHeight="1" x14ac:dyDescent="0.25">
      <c r="A315" s="17" t="s">
        <v>16</v>
      </c>
      <c r="B315" s="18" t="s">
        <v>42</v>
      </c>
      <c r="C315" s="18">
        <v>-2.2476263724496701</v>
      </c>
      <c r="D315" s="18">
        <v>1971</v>
      </c>
    </row>
    <row r="316" spans="1:4" ht="19.95" customHeight="1" x14ac:dyDescent="0.25">
      <c r="A316" s="17" t="s">
        <v>15</v>
      </c>
      <c r="B316" s="18" t="s">
        <v>42</v>
      </c>
      <c r="C316" s="18"/>
      <c r="D316" s="18">
        <v>1971</v>
      </c>
    </row>
    <row r="317" spans="1:4" ht="19.95" customHeight="1" x14ac:dyDescent="0.25">
      <c r="A317" s="17" t="s">
        <v>17</v>
      </c>
      <c r="B317" s="18" t="s">
        <v>42</v>
      </c>
      <c r="C317" s="18"/>
      <c r="D317" s="18">
        <v>1971</v>
      </c>
    </row>
    <row r="318" spans="1:4" ht="19.95" customHeight="1" x14ac:dyDescent="0.25">
      <c r="A318" s="17" t="s">
        <v>18</v>
      </c>
      <c r="B318" s="18" t="s">
        <v>42</v>
      </c>
      <c r="C318" s="18"/>
      <c r="D318" s="18">
        <v>1971</v>
      </c>
    </row>
    <row r="319" spans="1:4" ht="19.95" customHeight="1" x14ac:dyDescent="0.25">
      <c r="A319" s="17" t="s">
        <v>19</v>
      </c>
      <c r="B319" s="18" t="s">
        <v>42</v>
      </c>
      <c r="C319" s="18"/>
      <c r="D319" s="18">
        <v>1971</v>
      </c>
    </row>
    <row r="320" spans="1:4" ht="19.95" customHeight="1" x14ac:dyDescent="0.25">
      <c r="A320" s="17" t="s">
        <v>20</v>
      </c>
      <c r="B320" s="18" t="s">
        <v>42</v>
      </c>
      <c r="C320" s="18"/>
      <c r="D320" s="18">
        <v>1971</v>
      </c>
    </row>
    <row r="321" spans="1:4" ht="19.95" customHeight="1" x14ac:dyDescent="0.25">
      <c r="A321" s="17" t="s">
        <v>21</v>
      </c>
      <c r="B321" s="18" t="s">
        <v>42</v>
      </c>
      <c r="C321" s="18">
        <v>22.173891928008501</v>
      </c>
      <c r="D321" s="18">
        <v>1971</v>
      </c>
    </row>
    <row r="322" spans="1:4" ht="19.95" customHeight="1" x14ac:dyDescent="0.25">
      <c r="A322" s="17" t="s">
        <v>22</v>
      </c>
      <c r="B322" s="18" t="s">
        <v>42</v>
      </c>
      <c r="C322" s="18"/>
      <c r="D322" s="18">
        <v>1971</v>
      </c>
    </row>
    <row r="323" spans="1:4" ht="19.95" customHeight="1" x14ac:dyDescent="0.25">
      <c r="A323" s="17" t="s">
        <v>23</v>
      </c>
      <c r="B323" s="18" t="s">
        <v>42</v>
      </c>
      <c r="C323" s="18">
        <v>4.9048302703177198</v>
      </c>
      <c r="D323" s="18">
        <v>1971</v>
      </c>
    </row>
    <row r="324" spans="1:4" ht="19.95" customHeight="1" x14ac:dyDescent="0.25">
      <c r="A324" s="17" t="s">
        <v>24</v>
      </c>
      <c r="B324" s="18" t="s">
        <v>42</v>
      </c>
      <c r="C324" s="18">
        <v>3.92936503159802</v>
      </c>
      <c r="D324" s="18">
        <v>1971</v>
      </c>
    </row>
    <row r="325" spans="1:4" ht="19.95" customHeight="1" x14ac:dyDescent="0.25">
      <c r="A325" s="17" t="s">
        <v>25</v>
      </c>
      <c r="B325" s="18" t="s">
        <v>42</v>
      </c>
      <c r="C325" s="18">
        <v>16.218563632656998</v>
      </c>
      <c r="D325" s="18">
        <v>1971</v>
      </c>
    </row>
    <row r="326" spans="1:4" ht="19.95" customHeight="1" x14ac:dyDescent="0.25">
      <c r="A326" s="17" t="s">
        <v>26</v>
      </c>
      <c r="B326" s="18" t="s">
        <v>42</v>
      </c>
      <c r="C326" s="18">
        <v>2.5689960235582801</v>
      </c>
      <c r="D326" s="18">
        <v>1971</v>
      </c>
    </row>
    <row r="327" spans="1:4" ht="19.95" customHeight="1" x14ac:dyDescent="0.25">
      <c r="A327" s="17" t="s">
        <v>27</v>
      </c>
      <c r="B327" s="18" t="s">
        <v>42</v>
      </c>
      <c r="C327" s="18"/>
      <c r="D327" s="18">
        <v>1971</v>
      </c>
    </row>
    <row r="328" spans="1:4" ht="19.95" customHeight="1" x14ac:dyDescent="0.25">
      <c r="A328" s="17" t="s">
        <v>28</v>
      </c>
      <c r="B328" s="18" t="s">
        <v>42</v>
      </c>
      <c r="C328" s="18"/>
      <c r="D328" s="18">
        <v>1971</v>
      </c>
    </row>
    <row r="329" spans="1:4" ht="19.95" customHeight="1" x14ac:dyDescent="0.25">
      <c r="A329" s="17" t="s">
        <v>29</v>
      </c>
      <c r="B329" s="18" t="s">
        <v>42</v>
      </c>
      <c r="C329" s="18">
        <v>4.1299624445186804</v>
      </c>
      <c r="D329" s="18">
        <v>1971</v>
      </c>
    </row>
    <row r="330" spans="1:4" ht="19.95" customHeight="1" x14ac:dyDescent="0.25">
      <c r="A330" s="17" t="s">
        <v>31</v>
      </c>
      <c r="B330" s="18" t="s">
        <v>42</v>
      </c>
      <c r="C330" s="18">
        <v>-1.1953833001199301</v>
      </c>
      <c r="D330" s="18">
        <v>1971</v>
      </c>
    </row>
    <row r="331" spans="1:4" ht="19.95" customHeight="1" x14ac:dyDescent="0.25">
      <c r="A331" s="17" t="s">
        <v>32</v>
      </c>
      <c r="B331" s="18" t="s">
        <v>42</v>
      </c>
      <c r="C331" s="18">
        <v>3.3047564994872101</v>
      </c>
      <c r="D331" s="18">
        <v>1971</v>
      </c>
    </row>
    <row r="332" spans="1:4" ht="19.95" customHeight="1" x14ac:dyDescent="0.25">
      <c r="A332" s="17" t="s">
        <v>33</v>
      </c>
      <c r="B332" s="18" t="s">
        <v>42</v>
      </c>
      <c r="C332" s="18">
        <v>5.6793206435699197</v>
      </c>
      <c r="D332" s="18">
        <v>1971</v>
      </c>
    </row>
    <row r="333" spans="1:4" ht="19.95" customHeight="1" x14ac:dyDescent="0.25">
      <c r="A333" s="17" t="s">
        <v>34</v>
      </c>
      <c r="B333" s="18" t="s">
        <v>42</v>
      </c>
      <c r="C333" s="18">
        <v>1.20664070224264</v>
      </c>
      <c r="D333" s="18">
        <v>1971</v>
      </c>
    </row>
    <row r="334" spans="1:4" ht="19.95" customHeight="1" x14ac:dyDescent="0.25">
      <c r="A334" s="17" t="s">
        <v>35</v>
      </c>
      <c r="B334" s="18" t="s">
        <v>42</v>
      </c>
      <c r="C334" s="18"/>
      <c r="D334" s="18">
        <v>1971</v>
      </c>
    </row>
    <row r="335" spans="1:4" ht="19.95" customHeight="1" x14ac:dyDescent="0.25">
      <c r="A335" s="17" t="s">
        <v>2</v>
      </c>
      <c r="B335" s="18" t="s">
        <v>42</v>
      </c>
      <c r="C335" s="18">
        <v>1.30690540231168</v>
      </c>
      <c r="D335" s="18">
        <v>1971</v>
      </c>
    </row>
    <row r="336" spans="1:4" ht="19.95" customHeight="1" x14ac:dyDescent="0.25">
      <c r="A336" s="17" t="s">
        <v>36</v>
      </c>
      <c r="B336" s="18" t="s">
        <v>42</v>
      </c>
      <c r="C336" s="18"/>
      <c r="D336" s="18">
        <v>1971</v>
      </c>
    </row>
    <row r="337" spans="1:4" ht="19.95" customHeight="1" x14ac:dyDescent="0.25">
      <c r="A337" s="17" t="s">
        <v>37</v>
      </c>
      <c r="B337" s="18" t="s">
        <v>42</v>
      </c>
      <c r="C337" s="18"/>
      <c r="D337" s="18">
        <v>1971</v>
      </c>
    </row>
    <row r="338" spans="1:4" ht="19.95" customHeight="1" x14ac:dyDescent="0.25">
      <c r="A338" s="17" t="s">
        <v>38</v>
      </c>
      <c r="B338" s="18" t="s">
        <v>42</v>
      </c>
      <c r="C338" s="18"/>
      <c r="D338" s="18">
        <v>1971</v>
      </c>
    </row>
    <row r="339" spans="1:4" ht="19.95" customHeight="1" x14ac:dyDescent="0.25">
      <c r="A339" s="17" t="s">
        <v>39</v>
      </c>
      <c r="B339" s="18" t="s">
        <v>42</v>
      </c>
      <c r="C339" s="18">
        <v>-8.6039550867440098E-2</v>
      </c>
      <c r="D339" s="18">
        <v>1971</v>
      </c>
    </row>
    <row r="340" spans="1:4" ht="19.95" customHeight="1" x14ac:dyDescent="0.25">
      <c r="A340" s="17" t="s">
        <v>40</v>
      </c>
      <c r="B340" s="18" t="s">
        <v>42</v>
      </c>
      <c r="C340" s="18">
        <v>8.9175866420938892</v>
      </c>
      <c r="D340" s="18">
        <v>1971</v>
      </c>
    </row>
    <row r="341" spans="1:4" ht="19.95" customHeight="1" x14ac:dyDescent="0.25">
      <c r="A341" s="17" t="s">
        <v>10</v>
      </c>
      <c r="B341" s="18" t="s">
        <v>42</v>
      </c>
      <c r="C341" s="18">
        <v>-6.4039649229125901</v>
      </c>
      <c r="D341" s="18">
        <v>1972</v>
      </c>
    </row>
    <row r="342" spans="1:4" ht="19.95" customHeight="1" x14ac:dyDescent="0.25">
      <c r="A342" s="17" t="s">
        <v>13</v>
      </c>
      <c r="B342" s="18" t="s">
        <v>42</v>
      </c>
      <c r="C342" s="18">
        <v>2.67384329241247</v>
      </c>
      <c r="D342" s="18">
        <v>1972</v>
      </c>
    </row>
    <row r="343" spans="1:4" ht="19.95" customHeight="1" x14ac:dyDescent="0.25">
      <c r="A343" s="17" t="s">
        <v>16</v>
      </c>
      <c r="B343" s="18" t="s">
        <v>42</v>
      </c>
      <c r="C343" s="18">
        <v>1.1496160948327201</v>
      </c>
      <c r="D343" s="18">
        <v>1972</v>
      </c>
    </row>
    <row r="344" spans="1:4" ht="19.95" customHeight="1" x14ac:dyDescent="0.25">
      <c r="A344" s="17" t="s">
        <v>15</v>
      </c>
      <c r="B344" s="18" t="s">
        <v>42</v>
      </c>
      <c r="C344" s="18"/>
      <c r="D344" s="18">
        <v>1972</v>
      </c>
    </row>
    <row r="345" spans="1:4" ht="19.95" customHeight="1" x14ac:dyDescent="0.25">
      <c r="A345" s="17" t="s">
        <v>17</v>
      </c>
      <c r="B345" s="18" t="s">
        <v>42</v>
      </c>
      <c r="C345" s="18"/>
      <c r="D345" s="18">
        <v>1972</v>
      </c>
    </row>
    <row r="346" spans="1:4" ht="19.95" customHeight="1" x14ac:dyDescent="0.25">
      <c r="A346" s="17" t="s">
        <v>18</v>
      </c>
      <c r="B346" s="18" t="s">
        <v>42</v>
      </c>
      <c r="C346" s="18"/>
      <c r="D346" s="18">
        <v>1972</v>
      </c>
    </row>
    <row r="347" spans="1:4" ht="19.95" customHeight="1" x14ac:dyDescent="0.25">
      <c r="A347" s="17" t="s">
        <v>19</v>
      </c>
      <c r="B347" s="18" t="s">
        <v>42</v>
      </c>
      <c r="C347" s="18"/>
      <c r="D347" s="18">
        <v>1972</v>
      </c>
    </row>
    <row r="348" spans="1:4" ht="19.95" customHeight="1" x14ac:dyDescent="0.25">
      <c r="A348" s="17" t="s">
        <v>20</v>
      </c>
      <c r="B348" s="18" t="s">
        <v>42</v>
      </c>
      <c r="C348" s="18"/>
      <c r="D348" s="18">
        <v>1972</v>
      </c>
    </row>
    <row r="349" spans="1:4" ht="19.95" customHeight="1" x14ac:dyDescent="0.25">
      <c r="A349" s="17" t="s">
        <v>21</v>
      </c>
      <c r="B349" s="18" t="s">
        <v>42</v>
      </c>
      <c r="C349" s="18">
        <v>17.082429345007299</v>
      </c>
      <c r="D349" s="18">
        <v>1972</v>
      </c>
    </row>
    <row r="350" spans="1:4" ht="19.95" customHeight="1" x14ac:dyDescent="0.25">
      <c r="A350" s="17" t="s">
        <v>22</v>
      </c>
      <c r="B350" s="18" t="s">
        <v>42</v>
      </c>
      <c r="C350" s="18"/>
      <c r="D350" s="18">
        <v>1972</v>
      </c>
    </row>
    <row r="351" spans="1:4" ht="19.95" customHeight="1" x14ac:dyDescent="0.25">
      <c r="A351" s="17" t="s">
        <v>23</v>
      </c>
      <c r="B351" s="18" t="s">
        <v>42</v>
      </c>
      <c r="C351" s="18">
        <v>4.1404956413712197</v>
      </c>
      <c r="D351" s="18">
        <v>1972</v>
      </c>
    </row>
    <row r="352" spans="1:4" ht="19.95" customHeight="1" x14ac:dyDescent="0.25">
      <c r="A352" s="17" t="s">
        <v>24</v>
      </c>
      <c r="B352" s="18" t="s">
        <v>42</v>
      </c>
      <c r="C352" s="18">
        <v>-1.2726215308478399</v>
      </c>
      <c r="D352" s="18">
        <v>1972</v>
      </c>
    </row>
    <row r="353" spans="1:4" ht="19.95" customHeight="1" x14ac:dyDescent="0.25">
      <c r="A353" s="17" t="s">
        <v>25</v>
      </c>
      <c r="B353" s="18" t="s">
        <v>42</v>
      </c>
      <c r="C353" s="18">
        <v>6.2313490084583698</v>
      </c>
      <c r="D353" s="18">
        <v>1972</v>
      </c>
    </row>
    <row r="354" spans="1:4" ht="19.95" customHeight="1" x14ac:dyDescent="0.25">
      <c r="A354" s="17" t="s">
        <v>26</v>
      </c>
      <c r="B354" s="18" t="s">
        <v>42</v>
      </c>
      <c r="C354" s="18">
        <v>5.8440164309550697</v>
      </c>
      <c r="D354" s="18">
        <v>1972</v>
      </c>
    </row>
    <row r="355" spans="1:4" ht="19.95" customHeight="1" x14ac:dyDescent="0.25">
      <c r="A355" s="17" t="s">
        <v>27</v>
      </c>
      <c r="B355" s="18" t="s">
        <v>42</v>
      </c>
      <c r="C355" s="18"/>
      <c r="D355" s="18">
        <v>1972</v>
      </c>
    </row>
    <row r="356" spans="1:4" ht="19.95" customHeight="1" x14ac:dyDescent="0.25">
      <c r="A356" s="17" t="s">
        <v>28</v>
      </c>
      <c r="B356" s="18" t="s">
        <v>42</v>
      </c>
      <c r="C356" s="18"/>
      <c r="D356" s="18">
        <v>1972</v>
      </c>
    </row>
    <row r="357" spans="1:4" ht="19.95" customHeight="1" x14ac:dyDescent="0.25">
      <c r="A357" s="17" t="s">
        <v>29</v>
      </c>
      <c r="B357" s="18" t="s">
        <v>42</v>
      </c>
      <c r="C357" s="18">
        <v>2.4358413728682802</v>
      </c>
      <c r="D357" s="18">
        <v>1972</v>
      </c>
    </row>
    <row r="358" spans="1:4" ht="19.95" customHeight="1" x14ac:dyDescent="0.25">
      <c r="A358" s="17" t="s">
        <v>31</v>
      </c>
      <c r="B358" s="18" t="s">
        <v>42</v>
      </c>
      <c r="C358" s="18">
        <v>3.11780036344416</v>
      </c>
      <c r="D358" s="18">
        <v>1972</v>
      </c>
    </row>
    <row r="359" spans="1:4" ht="19.95" customHeight="1" x14ac:dyDescent="0.25">
      <c r="A359" s="17" t="s">
        <v>32</v>
      </c>
      <c r="B359" s="18" t="s">
        <v>42</v>
      </c>
      <c r="C359" s="18">
        <v>2.22072289156625</v>
      </c>
      <c r="D359" s="18">
        <v>1972</v>
      </c>
    </row>
    <row r="360" spans="1:4" ht="19.95" customHeight="1" x14ac:dyDescent="0.25">
      <c r="A360" s="17" t="s">
        <v>33</v>
      </c>
      <c r="B360" s="18" t="s">
        <v>42</v>
      </c>
      <c r="C360" s="18">
        <v>-5.1662723061600202</v>
      </c>
      <c r="D360" s="18">
        <v>1972</v>
      </c>
    </row>
    <row r="361" spans="1:4" ht="19.95" customHeight="1" x14ac:dyDescent="0.25">
      <c r="A361" s="17" t="s">
        <v>34</v>
      </c>
      <c r="B361" s="18" t="s">
        <v>42</v>
      </c>
      <c r="C361" s="18">
        <v>0.26306827157360102</v>
      </c>
      <c r="D361" s="18">
        <v>1972</v>
      </c>
    </row>
    <row r="362" spans="1:4" ht="19.95" customHeight="1" x14ac:dyDescent="0.25">
      <c r="A362" s="17" t="s">
        <v>35</v>
      </c>
      <c r="B362" s="18" t="s">
        <v>42</v>
      </c>
      <c r="C362" s="18"/>
      <c r="D362" s="18">
        <v>1972</v>
      </c>
    </row>
    <row r="363" spans="1:4" ht="19.95" customHeight="1" x14ac:dyDescent="0.25">
      <c r="A363" s="17" t="s">
        <v>2</v>
      </c>
      <c r="B363" s="18" t="s">
        <v>42</v>
      </c>
      <c r="C363" s="18">
        <v>-0.41047991882295798</v>
      </c>
      <c r="D363" s="18">
        <v>1972</v>
      </c>
    </row>
    <row r="364" spans="1:4" ht="19.95" customHeight="1" x14ac:dyDescent="0.25">
      <c r="A364" s="17" t="s">
        <v>36</v>
      </c>
      <c r="B364" s="18" t="s">
        <v>42</v>
      </c>
      <c r="C364" s="18"/>
      <c r="D364" s="18">
        <v>1972</v>
      </c>
    </row>
    <row r="365" spans="1:4" ht="19.95" customHeight="1" x14ac:dyDescent="0.25">
      <c r="A365" s="17" t="s">
        <v>37</v>
      </c>
      <c r="B365" s="18" t="s">
        <v>42</v>
      </c>
      <c r="C365" s="18"/>
      <c r="D365" s="18">
        <v>1972</v>
      </c>
    </row>
    <row r="366" spans="1:4" ht="19.95" customHeight="1" x14ac:dyDescent="0.25">
      <c r="A366" s="17" t="s">
        <v>38</v>
      </c>
      <c r="B366" s="18" t="s">
        <v>42</v>
      </c>
      <c r="C366" s="18"/>
      <c r="D366" s="18">
        <v>1972</v>
      </c>
    </row>
    <row r="367" spans="1:4" ht="19.95" customHeight="1" x14ac:dyDescent="0.25">
      <c r="A367" s="17" t="s">
        <v>39</v>
      </c>
      <c r="B367" s="18" t="s">
        <v>42</v>
      </c>
      <c r="C367" s="18">
        <v>9.2088651423127903</v>
      </c>
      <c r="D367" s="18">
        <v>1972</v>
      </c>
    </row>
    <row r="368" spans="1:4" ht="19.95" customHeight="1" x14ac:dyDescent="0.25">
      <c r="A368" s="17" t="s">
        <v>40</v>
      </c>
      <c r="B368" s="18" t="s">
        <v>42</v>
      </c>
      <c r="C368" s="18">
        <v>8.3297747275245193</v>
      </c>
      <c r="D368" s="18">
        <v>1972</v>
      </c>
    </row>
    <row r="369" spans="1:4" ht="19.95" customHeight="1" x14ac:dyDescent="0.25">
      <c r="A369" s="17" t="s">
        <v>10</v>
      </c>
      <c r="B369" s="18" t="s">
        <v>42</v>
      </c>
      <c r="C369" s="18">
        <v>6.8890507178803899</v>
      </c>
      <c r="D369" s="18">
        <v>1973</v>
      </c>
    </row>
    <row r="370" spans="1:4" ht="19.95" customHeight="1" x14ac:dyDescent="0.25">
      <c r="A370" s="17" t="s">
        <v>13</v>
      </c>
      <c r="B370" s="18" t="s">
        <v>42</v>
      </c>
      <c r="C370" s="18">
        <v>5.35568077795112</v>
      </c>
      <c r="D370" s="18">
        <v>1973</v>
      </c>
    </row>
    <row r="371" spans="1:4" ht="19.95" customHeight="1" x14ac:dyDescent="0.25">
      <c r="A371" s="17" t="s">
        <v>16</v>
      </c>
      <c r="B371" s="18" t="s">
        <v>42</v>
      </c>
      <c r="C371" s="18">
        <v>-8.3808830080084409</v>
      </c>
      <c r="D371" s="18">
        <v>1973</v>
      </c>
    </row>
    <row r="372" spans="1:4" ht="19.95" customHeight="1" x14ac:dyDescent="0.25">
      <c r="A372" s="17" t="s">
        <v>15</v>
      </c>
      <c r="B372" s="18" t="s">
        <v>42</v>
      </c>
      <c r="C372" s="18"/>
      <c r="D372" s="18">
        <v>1973</v>
      </c>
    </row>
    <row r="373" spans="1:4" ht="19.95" customHeight="1" x14ac:dyDescent="0.25">
      <c r="A373" s="17" t="s">
        <v>17</v>
      </c>
      <c r="B373" s="18" t="s">
        <v>42</v>
      </c>
      <c r="C373" s="18"/>
      <c r="D373" s="18">
        <v>1973</v>
      </c>
    </row>
    <row r="374" spans="1:4" ht="19.95" customHeight="1" x14ac:dyDescent="0.25">
      <c r="A374" s="17" t="s">
        <v>18</v>
      </c>
      <c r="B374" s="18" t="s">
        <v>42</v>
      </c>
      <c r="C374" s="18"/>
      <c r="D374" s="18">
        <v>1973</v>
      </c>
    </row>
    <row r="375" spans="1:4" ht="19.95" customHeight="1" x14ac:dyDescent="0.25">
      <c r="A375" s="17" t="s">
        <v>19</v>
      </c>
      <c r="B375" s="18" t="s">
        <v>42</v>
      </c>
      <c r="C375" s="18"/>
      <c r="D375" s="18">
        <v>1973</v>
      </c>
    </row>
    <row r="376" spans="1:4" ht="19.95" customHeight="1" x14ac:dyDescent="0.25">
      <c r="A376" s="17" t="s">
        <v>20</v>
      </c>
      <c r="B376" s="18" t="s">
        <v>42</v>
      </c>
      <c r="C376" s="18"/>
      <c r="D376" s="18">
        <v>1973</v>
      </c>
    </row>
    <row r="377" spans="1:4" ht="19.95" customHeight="1" x14ac:dyDescent="0.25">
      <c r="A377" s="17" t="s">
        <v>21</v>
      </c>
      <c r="B377" s="18" t="s">
        <v>42</v>
      </c>
      <c r="C377" s="18">
        <v>5.8965802146441497</v>
      </c>
      <c r="D377" s="18">
        <v>1973</v>
      </c>
    </row>
    <row r="378" spans="1:4" ht="19.95" customHeight="1" x14ac:dyDescent="0.25">
      <c r="A378" s="17" t="s">
        <v>22</v>
      </c>
      <c r="B378" s="18" t="s">
        <v>42</v>
      </c>
      <c r="C378" s="18"/>
      <c r="D378" s="18">
        <v>1973</v>
      </c>
    </row>
    <row r="379" spans="1:4" ht="19.95" customHeight="1" x14ac:dyDescent="0.25">
      <c r="A379" s="17" t="s">
        <v>23</v>
      </c>
      <c r="B379" s="18" t="s">
        <v>42</v>
      </c>
      <c r="C379" s="18">
        <v>-2.2559751981148399</v>
      </c>
      <c r="D379" s="18">
        <v>1973</v>
      </c>
    </row>
    <row r="380" spans="1:4" ht="19.95" customHeight="1" x14ac:dyDescent="0.25">
      <c r="A380" s="17" t="s">
        <v>24</v>
      </c>
      <c r="B380" s="18" t="s">
        <v>42</v>
      </c>
      <c r="C380" s="18">
        <v>-2.6184783296946499</v>
      </c>
      <c r="D380" s="18">
        <v>1973</v>
      </c>
    </row>
    <row r="381" spans="1:4" ht="19.95" customHeight="1" x14ac:dyDescent="0.25">
      <c r="A381" s="17" t="s">
        <v>25</v>
      </c>
      <c r="B381" s="18" t="s">
        <v>42</v>
      </c>
      <c r="C381" s="18">
        <v>2.30066157112137</v>
      </c>
      <c r="D381" s="18">
        <v>1973</v>
      </c>
    </row>
    <row r="382" spans="1:4" ht="19.95" customHeight="1" x14ac:dyDescent="0.25">
      <c r="A382" s="17" t="s">
        <v>26</v>
      </c>
      <c r="B382" s="18" t="s">
        <v>42</v>
      </c>
      <c r="C382" s="18">
        <v>-1.4551158019297801</v>
      </c>
      <c r="D382" s="18">
        <v>1973</v>
      </c>
    </row>
    <row r="383" spans="1:4" ht="19.95" customHeight="1" x14ac:dyDescent="0.25">
      <c r="A383" s="17" t="s">
        <v>27</v>
      </c>
      <c r="B383" s="18" t="s">
        <v>42</v>
      </c>
      <c r="C383" s="18"/>
      <c r="D383" s="18">
        <v>1973</v>
      </c>
    </row>
    <row r="384" spans="1:4" ht="19.95" customHeight="1" x14ac:dyDescent="0.25">
      <c r="A384" s="17" t="s">
        <v>28</v>
      </c>
      <c r="B384" s="18" t="s">
        <v>42</v>
      </c>
      <c r="C384" s="18"/>
      <c r="D384" s="18">
        <v>1973</v>
      </c>
    </row>
    <row r="385" spans="1:4" ht="19.95" customHeight="1" x14ac:dyDescent="0.25">
      <c r="A385" s="17" t="s">
        <v>29</v>
      </c>
      <c r="B385" s="18" t="s">
        <v>42</v>
      </c>
      <c r="C385" s="18">
        <v>-0.96812471833550295</v>
      </c>
      <c r="D385" s="18">
        <v>1973</v>
      </c>
    </row>
    <row r="386" spans="1:4" ht="19.95" customHeight="1" x14ac:dyDescent="0.25">
      <c r="A386" s="17" t="s">
        <v>31</v>
      </c>
      <c r="B386" s="18" t="s">
        <v>42</v>
      </c>
      <c r="C386" s="18">
        <v>-0.47653626836205398</v>
      </c>
      <c r="D386" s="18">
        <v>1973</v>
      </c>
    </row>
    <row r="387" spans="1:4" ht="19.95" customHeight="1" x14ac:dyDescent="0.25">
      <c r="A387" s="17" t="s">
        <v>32</v>
      </c>
      <c r="B387" s="18" t="s">
        <v>42</v>
      </c>
      <c r="C387" s="18">
        <v>6.4170139740132202</v>
      </c>
      <c r="D387" s="18">
        <v>1973</v>
      </c>
    </row>
    <row r="388" spans="1:4" ht="19.95" customHeight="1" x14ac:dyDescent="0.25">
      <c r="A388" s="17" t="s">
        <v>33</v>
      </c>
      <c r="B388" s="18" t="s">
        <v>42</v>
      </c>
      <c r="C388" s="18">
        <v>-17.047583570958199</v>
      </c>
      <c r="D388" s="18">
        <v>1973</v>
      </c>
    </row>
    <row r="389" spans="1:4" ht="19.95" customHeight="1" x14ac:dyDescent="0.25">
      <c r="A389" s="17" t="s">
        <v>34</v>
      </c>
      <c r="B389" s="18" t="s">
        <v>42</v>
      </c>
      <c r="C389" s="18">
        <v>3.4380881358617299</v>
      </c>
      <c r="D389" s="18">
        <v>1973</v>
      </c>
    </row>
    <row r="390" spans="1:4" ht="19.95" customHeight="1" x14ac:dyDescent="0.25">
      <c r="A390" s="17" t="s">
        <v>35</v>
      </c>
      <c r="B390" s="18" t="s">
        <v>42</v>
      </c>
      <c r="C390" s="18"/>
      <c r="D390" s="18">
        <v>1973</v>
      </c>
    </row>
    <row r="391" spans="1:4" ht="19.95" customHeight="1" x14ac:dyDescent="0.25">
      <c r="A391" s="17" t="s">
        <v>2</v>
      </c>
      <c r="B391" s="18" t="s">
        <v>42</v>
      </c>
      <c r="C391" s="18">
        <v>7.0573989345745796</v>
      </c>
      <c r="D391" s="18">
        <v>1973</v>
      </c>
    </row>
    <row r="392" spans="1:4" ht="19.95" customHeight="1" x14ac:dyDescent="0.25">
      <c r="A392" s="17" t="s">
        <v>36</v>
      </c>
      <c r="B392" s="18" t="s">
        <v>42</v>
      </c>
      <c r="C392" s="18"/>
      <c r="D392" s="18">
        <v>1973</v>
      </c>
    </row>
    <row r="393" spans="1:4" ht="19.95" customHeight="1" x14ac:dyDescent="0.25">
      <c r="A393" s="17" t="s">
        <v>37</v>
      </c>
      <c r="B393" s="18" t="s">
        <v>42</v>
      </c>
      <c r="C393" s="18"/>
      <c r="D393" s="18">
        <v>1973</v>
      </c>
    </row>
    <row r="394" spans="1:4" ht="19.95" customHeight="1" x14ac:dyDescent="0.25">
      <c r="A394" s="17" t="s">
        <v>38</v>
      </c>
      <c r="B394" s="18" t="s">
        <v>42</v>
      </c>
      <c r="C394" s="18"/>
      <c r="D394" s="18">
        <v>1973</v>
      </c>
    </row>
    <row r="395" spans="1:4" ht="19.95" customHeight="1" x14ac:dyDescent="0.25">
      <c r="A395" s="17" t="s">
        <v>39</v>
      </c>
      <c r="B395" s="18" t="s">
        <v>42</v>
      </c>
      <c r="C395" s="18">
        <v>-0.96204875642632703</v>
      </c>
      <c r="D395" s="18">
        <v>1973</v>
      </c>
    </row>
    <row r="396" spans="1:4" ht="19.95" customHeight="1" x14ac:dyDescent="0.25">
      <c r="A396" s="17" t="s">
        <v>40</v>
      </c>
      <c r="B396" s="18" t="s">
        <v>42</v>
      </c>
      <c r="C396" s="18">
        <v>2.6047146972872501</v>
      </c>
      <c r="D396" s="18">
        <v>1973</v>
      </c>
    </row>
    <row r="397" spans="1:4" ht="19.95" customHeight="1" x14ac:dyDescent="0.25">
      <c r="A397" s="17" t="s">
        <v>10</v>
      </c>
      <c r="B397" s="18" t="s">
        <v>42</v>
      </c>
      <c r="C397" s="18">
        <v>-0.72683956211645295</v>
      </c>
      <c r="D397" s="18">
        <v>1974</v>
      </c>
    </row>
    <row r="398" spans="1:4" ht="19.95" customHeight="1" x14ac:dyDescent="0.25">
      <c r="A398" s="17" t="s">
        <v>13</v>
      </c>
      <c r="B398" s="18" t="s">
        <v>42</v>
      </c>
      <c r="C398" s="18">
        <v>10.734262259412001</v>
      </c>
      <c r="D398" s="18">
        <v>1974</v>
      </c>
    </row>
    <row r="399" spans="1:4" ht="19.95" customHeight="1" x14ac:dyDescent="0.25">
      <c r="A399" s="17" t="s">
        <v>16</v>
      </c>
      <c r="B399" s="18" t="s">
        <v>42</v>
      </c>
      <c r="C399" s="18">
        <v>4.9618525825387003</v>
      </c>
      <c r="D399" s="18">
        <v>1974</v>
      </c>
    </row>
    <row r="400" spans="1:4" ht="19.95" customHeight="1" x14ac:dyDescent="0.25">
      <c r="A400" s="17" t="s">
        <v>15</v>
      </c>
      <c r="B400" s="18" t="s">
        <v>42</v>
      </c>
      <c r="C400" s="18"/>
      <c r="D400" s="18">
        <v>1974</v>
      </c>
    </row>
    <row r="401" spans="1:4" ht="19.95" customHeight="1" x14ac:dyDescent="0.25">
      <c r="A401" s="17" t="s">
        <v>17</v>
      </c>
      <c r="B401" s="18" t="s">
        <v>42</v>
      </c>
      <c r="C401" s="18"/>
      <c r="D401" s="18">
        <v>1974</v>
      </c>
    </row>
    <row r="402" spans="1:4" ht="19.95" customHeight="1" x14ac:dyDescent="0.25">
      <c r="A402" s="17" t="s">
        <v>18</v>
      </c>
      <c r="B402" s="18" t="s">
        <v>42</v>
      </c>
      <c r="C402" s="18"/>
      <c r="D402" s="18">
        <v>1974</v>
      </c>
    </row>
    <row r="403" spans="1:4" ht="19.95" customHeight="1" x14ac:dyDescent="0.25">
      <c r="A403" s="17" t="s">
        <v>19</v>
      </c>
      <c r="B403" s="18" t="s">
        <v>42</v>
      </c>
      <c r="C403" s="18"/>
      <c r="D403" s="18">
        <v>1974</v>
      </c>
    </row>
    <row r="404" spans="1:4" ht="19.95" customHeight="1" x14ac:dyDescent="0.25">
      <c r="A404" s="17" t="s">
        <v>20</v>
      </c>
      <c r="B404" s="18" t="s">
        <v>42</v>
      </c>
      <c r="C404" s="18"/>
      <c r="D404" s="18">
        <v>1974</v>
      </c>
    </row>
    <row r="405" spans="1:4" ht="19.95" customHeight="1" x14ac:dyDescent="0.25">
      <c r="A405" s="17" t="s">
        <v>21</v>
      </c>
      <c r="B405" s="18" t="s">
        <v>42</v>
      </c>
      <c r="C405" s="18">
        <v>4.0656173472308597</v>
      </c>
      <c r="D405" s="18">
        <v>1974</v>
      </c>
    </row>
    <row r="406" spans="1:4" ht="19.95" customHeight="1" x14ac:dyDescent="0.25">
      <c r="A406" s="17" t="s">
        <v>22</v>
      </c>
      <c r="B406" s="18" t="s">
        <v>42</v>
      </c>
      <c r="C406" s="18"/>
      <c r="D406" s="18">
        <v>1974</v>
      </c>
    </row>
    <row r="407" spans="1:4" ht="19.95" customHeight="1" x14ac:dyDescent="0.25">
      <c r="A407" s="17" t="s">
        <v>23</v>
      </c>
      <c r="B407" s="18" t="s">
        <v>42</v>
      </c>
      <c r="C407" s="18">
        <v>4.7532003355210701</v>
      </c>
      <c r="D407" s="18">
        <v>1974</v>
      </c>
    </row>
    <row r="408" spans="1:4" ht="19.95" customHeight="1" x14ac:dyDescent="0.25">
      <c r="A408" s="17" t="s">
        <v>24</v>
      </c>
      <c r="B408" s="18" t="s">
        <v>42</v>
      </c>
      <c r="C408" s="18">
        <v>2.00687937926212</v>
      </c>
      <c r="D408" s="18">
        <v>1974</v>
      </c>
    </row>
    <row r="409" spans="1:4" ht="19.95" customHeight="1" x14ac:dyDescent="0.25">
      <c r="A409" s="17" t="s">
        <v>25</v>
      </c>
      <c r="B409" s="18" t="s">
        <v>42</v>
      </c>
      <c r="C409" s="18">
        <v>7.1759636183840003</v>
      </c>
      <c r="D409" s="18">
        <v>1974</v>
      </c>
    </row>
    <row r="410" spans="1:4" ht="19.95" customHeight="1" x14ac:dyDescent="0.25">
      <c r="A410" s="17" t="s">
        <v>26</v>
      </c>
      <c r="B410" s="18" t="s">
        <v>42</v>
      </c>
      <c r="C410" s="18">
        <v>-1.5288261023840299</v>
      </c>
      <c r="D410" s="18">
        <v>1974</v>
      </c>
    </row>
    <row r="411" spans="1:4" ht="19.95" customHeight="1" x14ac:dyDescent="0.25">
      <c r="A411" s="17" t="s">
        <v>27</v>
      </c>
      <c r="B411" s="18" t="s">
        <v>42</v>
      </c>
      <c r="C411" s="18"/>
      <c r="D411" s="18">
        <v>1974</v>
      </c>
    </row>
    <row r="412" spans="1:4" ht="19.95" customHeight="1" x14ac:dyDescent="0.25">
      <c r="A412" s="17" t="s">
        <v>28</v>
      </c>
      <c r="B412" s="18" t="s">
        <v>42</v>
      </c>
      <c r="C412" s="18"/>
      <c r="D412" s="18">
        <v>1974</v>
      </c>
    </row>
    <row r="413" spans="1:4" ht="19.95" customHeight="1" x14ac:dyDescent="0.25">
      <c r="A413" s="17" t="s">
        <v>29</v>
      </c>
      <c r="B413" s="18" t="s">
        <v>42</v>
      </c>
      <c r="C413" s="18">
        <v>5.34237568949926</v>
      </c>
      <c r="D413" s="18">
        <v>1974</v>
      </c>
    </row>
    <row r="414" spans="1:4" ht="19.95" customHeight="1" x14ac:dyDescent="0.25">
      <c r="A414" s="17" t="s">
        <v>31</v>
      </c>
      <c r="B414" s="18" t="s">
        <v>42</v>
      </c>
      <c r="C414" s="18">
        <v>6.3335903734871097</v>
      </c>
      <c r="D414" s="18">
        <v>1974</v>
      </c>
    </row>
    <row r="415" spans="1:4" ht="19.95" customHeight="1" x14ac:dyDescent="0.25">
      <c r="A415" s="17" t="s">
        <v>32</v>
      </c>
      <c r="B415" s="18" t="s">
        <v>42</v>
      </c>
      <c r="C415" s="18">
        <v>14.192425094918899</v>
      </c>
      <c r="D415" s="18">
        <v>1974</v>
      </c>
    </row>
    <row r="416" spans="1:4" ht="19.95" customHeight="1" x14ac:dyDescent="0.25">
      <c r="A416" s="17" t="s">
        <v>33</v>
      </c>
      <c r="B416" s="18" t="s">
        <v>42</v>
      </c>
      <c r="C416" s="18">
        <v>8.7752380504887402</v>
      </c>
      <c r="D416" s="18">
        <v>1974</v>
      </c>
    </row>
    <row r="417" spans="1:4" ht="19.95" customHeight="1" x14ac:dyDescent="0.25">
      <c r="A417" s="17" t="s">
        <v>34</v>
      </c>
      <c r="B417" s="18" t="s">
        <v>42</v>
      </c>
      <c r="C417" s="18">
        <v>1.40982357085026</v>
      </c>
      <c r="D417" s="18">
        <v>1974</v>
      </c>
    </row>
    <row r="418" spans="1:4" ht="19.95" customHeight="1" x14ac:dyDescent="0.25">
      <c r="A418" s="17" t="s">
        <v>35</v>
      </c>
      <c r="B418" s="18" t="s">
        <v>42</v>
      </c>
      <c r="C418" s="18"/>
      <c r="D418" s="18">
        <v>1974</v>
      </c>
    </row>
    <row r="419" spans="1:4" ht="19.95" customHeight="1" x14ac:dyDescent="0.25">
      <c r="A419" s="17" t="s">
        <v>2</v>
      </c>
      <c r="B419" s="18" t="s">
        <v>42</v>
      </c>
      <c r="C419" s="18">
        <v>3.8458308373174401</v>
      </c>
      <c r="D419" s="18">
        <v>1974</v>
      </c>
    </row>
    <row r="420" spans="1:4" ht="19.95" customHeight="1" x14ac:dyDescent="0.25">
      <c r="A420" s="17" t="s">
        <v>36</v>
      </c>
      <c r="B420" s="18" t="s">
        <v>42</v>
      </c>
      <c r="C420" s="18"/>
      <c r="D420" s="18">
        <v>1974</v>
      </c>
    </row>
    <row r="421" spans="1:4" ht="19.95" customHeight="1" x14ac:dyDescent="0.25">
      <c r="A421" s="17" t="s">
        <v>37</v>
      </c>
      <c r="B421" s="18" t="s">
        <v>42</v>
      </c>
      <c r="C421" s="18"/>
      <c r="D421" s="18">
        <v>1974</v>
      </c>
    </row>
    <row r="422" spans="1:4" ht="19.95" customHeight="1" x14ac:dyDescent="0.25">
      <c r="A422" s="17" t="s">
        <v>38</v>
      </c>
      <c r="B422" s="18" t="s">
        <v>42</v>
      </c>
      <c r="C422" s="18"/>
      <c r="D422" s="18">
        <v>1974</v>
      </c>
    </row>
    <row r="423" spans="1:4" ht="19.95" customHeight="1" x14ac:dyDescent="0.25">
      <c r="A423" s="17" t="s">
        <v>39</v>
      </c>
      <c r="B423" s="18" t="s">
        <v>42</v>
      </c>
      <c r="C423" s="18">
        <v>6.4281585489209601</v>
      </c>
      <c r="D423" s="18">
        <v>1974</v>
      </c>
    </row>
    <row r="424" spans="1:4" ht="19.95" customHeight="1" x14ac:dyDescent="0.25">
      <c r="A424" s="17" t="s">
        <v>40</v>
      </c>
      <c r="B424" s="18" t="s">
        <v>42</v>
      </c>
      <c r="C424" s="18">
        <v>6.6251536176685999</v>
      </c>
      <c r="D424" s="18">
        <v>1974</v>
      </c>
    </row>
    <row r="425" spans="1:4" ht="19.95" customHeight="1" x14ac:dyDescent="0.25">
      <c r="A425" s="17" t="s">
        <v>10</v>
      </c>
      <c r="B425" s="18" t="s">
        <v>42</v>
      </c>
      <c r="C425" s="18">
        <v>0.69792023617054599</v>
      </c>
      <c r="D425" s="18">
        <v>1975</v>
      </c>
    </row>
    <row r="426" spans="1:4" ht="19.95" customHeight="1" x14ac:dyDescent="0.25">
      <c r="A426" s="17" t="s">
        <v>13</v>
      </c>
      <c r="B426" s="18" t="s">
        <v>42</v>
      </c>
      <c r="C426" s="18">
        <v>11.245058774704701</v>
      </c>
      <c r="D426" s="18">
        <v>1975</v>
      </c>
    </row>
    <row r="427" spans="1:4" ht="19.95" customHeight="1" x14ac:dyDescent="0.25">
      <c r="A427" s="17" t="s">
        <v>16</v>
      </c>
      <c r="B427" s="18" t="s">
        <v>42</v>
      </c>
      <c r="C427" s="18">
        <v>9.0102673055045397</v>
      </c>
      <c r="D427" s="18">
        <v>1975</v>
      </c>
    </row>
    <row r="428" spans="1:4" ht="19.95" customHeight="1" x14ac:dyDescent="0.25">
      <c r="A428" s="17" t="s">
        <v>15</v>
      </c>
      <c r="B428" s="18" t="s">
        <v>42</v>
      </c>
      <c r="C428" s="18"/>
      <c r="D428" s="18">
        <v>1975</v>
      </c>
    </row>
    <row r="429" spans="1:4" ht="19.95" customHeight="1" x14ac:dyDescent="0.25">
      <c r="A429" s="17" t="s">
        <v>17</v>
      </c>
      <c r="B429" s="18" t="s">
        <v>42</v>
      </c>
      <c r="C429" s="18"/>
      <c r="D429" s="18">
        <v>1975</v>
      </c>
    </row>
    <row r="430" spans="1:4" ht="19.95" customHeight="1" x14ac:dyDescent="0.25">
      <c r="A430" s="17" t="s">
        <v>18</v>
      </c>
      <c r="B430" s="18" t="s">
        <v>42</v>
      </c>
      <c r="C430" s="18"/>
      <c r="D430" s="18">
        <v>1975</v>
      </c>
    </row>
    <row r="431" spans="1:4" ht="19.95" customHeight="1" x14ac:dyDescent="0.25">
      <c r="A431" s="17" t="s">
        <v>19</v>
      </c>
      <c r="B431" s="18" t="s">
        <v>42</v>
      </c>
      <c r="C431" s="18"/>
      <c r="D431" s="18">
        <v>1975</v>
      </c>
    </row>
    <row r="432" spans="1:4" ht="19.95" customHeight="1" x14ac:dyDescent="0.25">
      <c r="A432" s="17" t="s">
        <v>20</v>
      </c>
      <c r="B432" s="18" t="s">
        <v>42</v>
      </c>
      <c r="C432" s="18"/>
      <c r="D432" s="18">
        <v>1975</v>
      </c>
    </row>
    <row r="433" spans="1:4" ht="19.95" customHeight="1" x14ac:dyDescent="0.25">
      <c r="A433" s="17" t="s">
        <v>21</v>
      </c>
      <c r="B433" s="18" t="s">
        <v>42</v>
      </c>
      <c r="C433" s="18">
        <v>0.88220317844796603</v>
      </c>
      <c r="D433" s="18">
        <v>1975</v>
      </c>
    </row>
    <row r="434" spans="1:4" ht="19.95" customHeight="1" x14ac:dyDescent="0.25">
      <c r="A434" s="17" t="s">
        <v>22</v>
      </c>
      <c r="B434" s="18" t="s">
        <v>42</v>
      </c>
      <c r="C434" s="18"/>
      <c r="D434" s="18">
        <v>1975</v>
      </c>
    </row>
    <row r="435" spans="1:4" ht="19.95" customHeight="1" x14ac:dyDescent="0.25">
      <c r="A435" s="17" t="s">
        <v>23</v>
      </c>
      <c r="B435" s="18" t="s">
        <v>42</v>
      </c>
      <c r="C435" s="18">
        <v>-3.4685894889403799</v>
      </c>
      <c r="D435" s="18">
        <v>1975</v>
      </c>
    </row>
    <row r="436" spans="1:4" ht="19.95" customHeight="1" x14ac:dyDescent="0.25">
      <c r="A436" s="17" t="s">
        <v>24</v>
      </c>
      <c r="B436" s="18" t="s">
        <v>42</v>
      </c>
      <c r="C436" s="18">
        <v>1.2586916344902199</v>
      </c>
      <c r="D436" s="18">
        <v>1975</v>
      </c>
    </row>
    <row r="437" spans="1:4" ht="19.95" customHeight="1" x14ac:dyDescent="0.25">
      <c r="A437" s="17" t="s">
        <v>25</v>
      </c>
      <c r="B437" s="18" t="s">
        <v>42</v>
      </c>
      <c r="C437" s="18">
        <v>6.0868238098933896</v>
      </c>
      <c r="D437" s="18">
        <v>1975</v>
      </c>
    </row>
    <row r="438" spans="1:4" ht="19.95" customHeight="1" x14ac:dyDescent="0.25">
      <c r="A438" s="17" t="s">
        <v>26</v>
      </c>
      <c r="B438" s="18" t="s">
        <v>42</v>
      </c>
      <c r="C438" s="18">
        <v>11.625049137452001</v>
      </c>
      <c r="D438" s="18">
        <v>1975</v>
      </c>
    </row>
    <row r="439" spans="1:4" ht="19.95" customHeight="1" x14ac:dyDescent="0.25">
      <c r="A439" s="17" t="s">
        <v>27</v>
      </c>
      <c r="B439" s="18" t="s">
        <v>42</v>
      </c>
      <c r="C439" s="18"/>
      <c r="D439" s="18">
        <v>1975</v>
      </c>
    </row>
    <row r="440" spans="1:4" ht="19.95" customHeight="1" x14ac:dyDescent="0.25">
      <c r="A440" s="17" t="s">
        <v>28</v>
      </c>
      <c r="B440" s="18" t="s">
        <v>42</v>
      </c>
      <c r="C440" s="18"/>
      <c r="D440" s="18">
        <v>1975</v>
      </c>
    </row>
    <row r="441" spans="1:4" ht="19.95" customHeight="1" x14ac:dyDescent="0.25">
      <c r="A441" s="17" t="s">
        <v>29</v>
      </c>
      <c r="B441" s="18" t="s">
        <v>42</v>
      </c>
      <c r="C441" s="18">
        <v>4.1527091885278802</v>
      </c>
      <c r="D441" s="18">
        <v>1975</v>
      </c>
    </row>
    <row r="442" spans="1:4" ht="19.95" customHeight="1" x14ac:dyDescent="0.25">
      <c r="A442" s="17" t="s">
        <v>31</v>
      </c>
      <c r="B442" s="18" t="s">
        <v>42</v>
      </c>
      <c r="C442" s="18">
        <v>1.45647070823327</v>
      </c>
      <c r="D442" s="18">
        <v>1975</v>
      </c>
    </row>
    <row r="443" spans="1:4" ht="19.95" customHeight="1" x14ac:dyDescent="0.25">
      <c r="A443" s="17" t="s">
        <v>32</v>
      </c>
      <c r="B443" s="18" t="s">
        <v>42</v>
      </c>
      <c r="C443" s="18">
        <v>-0.15324689432553401</v>
      </c>
      <c r="D443" s="18">
        <v>1975</v>
      </c>
    </row>
    <row r="444" spans="1:4" ht="19.95" customHeight="1" x14ac:dyDescent="0.25">
      <c r="A444" s="17" t="s">
        <v>33</v>
      </c>
      <c r="B444" s="18" t="s">
        <v>42</v>
      </c>
      <c r="C444" s="18">
        <v>-2.7931934356381598</v>
      </c>
      <c r="D444" s="18">
        <v>1975</v>
      </c>
    </row>
    <row r="445" spans="1:4" ht="19.95" customHeight="1" x14ac:dyDescent="0.25">
      <c r="A445" s="17" t="s">
        <v>34</v>
      </c>
      <c r="B445" s="18" t="s">
        <v>42</v>
      </c>
      <c r="C445" s="18">
        <v>-2.1138254230278202</v>
      </c>
      <c r="D445" s="18">
        <v>1975</v>
      </c>
    </row>
    <row r="446" spans="1:4" ht="19.95" customHeight="1" x14ac:dyDescent="0.25">
      <c r="A446" s="17" t="s">
        <v>35</v>
      </c>
      <c r="B446" s="18" t="s">
        <v>42</v>
      </c>
      <c r="C446" s="18"/>
      <c r="D446" s="18">
        <v>1975</v>
      </c>
    </row>
    <row r="447" spans="1:4" ht="19.95" customHeight="1" x14ac:dyDescent="0.25">
      <c r="A447" s="17" t="s">
        <v>2</v>
      </c>
      <c r="B447" s="18" t="s">
        <v>42</v>
      </c>
      <c r="C447" s="18">
        <v>6.1262331650004702</v>
      </c>
      <c r="D447" s="18">
        <v>1975</v>
      </c>
    </row>
    <row r="448" spans="1:4" ht="19.95" customHeight="1" x14ac:dyDescent="0.25">
      <c r="A448" s="17" t="s">
        <v>36</v>
      </c>
      <c r="B448" s="18" t="s">
        <v>42</v>
      </c>
      <c r="C448" s="18"/>
      <c r="D448" s="18">
        <v>1975</v>
      </c>
    </row>
    <row r="449" spans="1:4" ht="19.95" customHeight="1" x14ac:dyDescent="0.25">
      <c r="A449" s="17" t="s">
        <v>37</v>
      </c>
      <c r="B449" s="18" t="s">
        <v>42</v>
      </c>
      <c r="C449" s="18"/>
      <c r="D449" s="18">
        <v>1975</v>
      </c>
    </row>
    <row r="450" spans="1:4" ht="19.95" customHeight="1" x14ac:dyDescent="0.25">
      <c r="A450" s="17" t="s">
        <v>38</v>
      </c>
      <c r="B450" s="18" t="s">
        <v>42</v>
      </c>
      <c r="C450" s="18"/>
      <c r="D450" s="18">
        <v>1975</v>
      </c>
    </row>
    <row r="451" spans="1:4" ht="19.95" customHeight="1" x14ac:dyDescent="0.25">
      <c r="A451" s="17" t="s">
        <v>39</v>
      </c>
      <c r="B451" s="18" t="s">
        <v>42</v>
      </c>
      <c r="C451" s="18">
        <v>-2.2693289241895198</v>
      </c>
      <c r="D451" s="18">
        <v>1975</v>
      </c>
    </row>
    <row r="452" spans="1:4" ht="19.95" customHeight="1" x14ac:dyDescent="0.25">
      <c r="A452" s="17" t="s">
        <v>40</v>
      </c>
      <c r="B452" s="18" t="s">
        <v>42</v>
      </c>
      <c r="C452" s="18">
        <v>-1.9312232388006401</v>
      </c>
      <c r="D452" s="18">
        <v>1975</v>
      </c>
    </row>
    <row r="453" spans="1:4" ht="19.95" customHeight="1" x14ac:dyDescent="0.25">
      <c r="A453" s="17" t="s">
        <v>10</v>
      </c>
      <c r="B453" s="18" t="s">
        <v>42</v>
      </c>
      <c r="C453" s="18">
        <v>7.9426609759666302</v>
      </c>
      <c r="D453" s="18">
        <v>1976</v>
      </c>
    </row>
    <row r="454" spans="1:4" ht="19.95" customHeight="1" x14ac:dyDescent="0.25">
      <c r="A454" s="17" t="s">
        <v>13</v>
      </c>
      <c r="B454" s="18" t="s">
        <v>42</v>
      </c>
      <c r="C454" s="18">
        <v>-5.4951383967509297</v>
      </c>
      <c r="D454" s="18">
        <v>1976</v>
      </c>
    </row>
    <row r="455" spans="1:4" ht="19.95" customHeight="1" x14ac:dyDescent="0.25">
      <c r="A455" s="17" t="s">
        <v>16</v>
      </c>
      <c r="B455" s="18" t="s">
        <v>42</v>
      </c>
      <c r="C455" s="18">
        <v>2.98076526952687</v>
      </c>
      <c r="D455" s="18">
        <v>1976</v>
      </c>
    </row>
    <row r="456" spans="1:4" ht="19.95" customHeight="1" x14ac:dyDescent="0.25">
      <c r="A456" s="17" t="s">
        <v>15</v>
      </c>
      <c r="B456" s="18" t="s">
        <v>42</v>
      </c>
      <c r="C456" s="18"/>
      <c r="D456" s="18">
        <v>1976</v>
      </c>
    </row>
    <row r="457" spans="1:4" ht="19.95" customHeight="1" x14ac:dyDescent="0.25">
      <c r="A457" s="17" t="s">
        <v>17</v>
      </c>
      <c r="B457" s="18" t="s">
        <v>42</v>
      </c>
      <c r="C457" s="18"/>
      <c r="D457" s="18">
        <v>1976</v>
      </c>
    </row>
    <row r="458" spans="1:4" ht="19.95" customHeight="1" x14ac:dyDescent="0.25">
      <c r="A458" s="17" t="s">
        <v>18</v>
      </c>
      <c r="B458" s="18" t="s">
        <v>42</v>
      </c>
      <c r="C458" s="18"/>
      <c r="D458" s="18">
        <v>1976</v>
      </c>
    </row>
    <row r="459" spans="1:4" ht="19.95" customHeight="1" x14ac:dyDescent="0.25">
      <c r="A459" s="17" t="s">
        <v>19</v>
      </c>
      <c r="B459" s="18" t="s">
        <v>42</v>
      </c>
      <c r="C459" s="18"/>
      <c r="D459" s="18">
        <v>1976</v>
      </c>
    </row>
    <row r="460" spans="1:4" ht="19.95" customHeight="1" x14ac:dyDescent="0.25">
      <c r="A460" s="17" t="s">
        <v>20</v>
      </c>
      <c r="B460" s="18" t="s">
        <v>42</v>
      </c>
      <c r="C460" s="18"/>
      <c r="D460" s="18">
        <v>1976</v>
      </c>
    </row>
    <row r="461" spans="1:4" ht="19.95" customHeight="1" x14ac:dyDescent="0.25">
      <c r="A461" s="17" t="s">
        <v>21</v>
      </c>
      <c r="B461" s="18" t="s">
        <v>42</v>
      </c>
      <c r="C461" s="18">
        <v>2.1539644974098602</v>
      </c>
      <c r="D461" s="18">
        <v>1976</v>
      </c>
    </row>
    <row r="462" spans="1:4" ht="19.95" customHeight="1" x14ac:dyDescent="0.25">
      <c r="A462" s="17" t="s">
        <v>22</v>
      </c>
      <c r="B462" s="18" t="s">
        <v>42</v>
      </c>
      <c r="C462" s="18"/>
      <c r="D462" s="18">
        <v>1976</v>
      </c>
    </row>
    <row r="463" spans="1:4" ht="19.95" customHeight="1" x14ac:dyDescent="0.25">
      <c r="A463" s="17" t="s">
        <v>23</v>
      </c>
      <c r="B463" s="18" t="s">
        <v>42</v>
      </c>
      <c r="C463" s="18">
        <v>5.3107340739905204</v>
      </c>
      <c r="D463" s="18">
        <v>1976</v>
      </c>
    </row>
    <row r="464" spans="1:4" ht="19.95" customHeight="1" x14ac:dyDescent="0.25">
      <c r="A464" s="17" t="s">
        <v>24</v>
      </c>
      <c r="B464" s="18" t="s">
        <v>42</v>
      </c>
      <c r="C464" s="18">
        <v>-3.06885839126649</v>
      </c>
      <c r="D464" s="18">
        <v>1976</v>
      </c>
    </row>
    <row r="465" spans="1:4" ht="19.95" customHeight="1" x14ac:dyDescent="0.25">
      <c r="A465" s="17" t="s">
        <v>25</v>
      </c>
      <c r="B465" s="18" t="s">
        <v>42</v>
      </c>
      <c r="C465" s="18">
        <v>4.9977312425481299</v>
      </c>
      <c r="D465" s="18">
        <v>1976</v>
      </c>
    </row>
    <row r="466" spans="1:4" ht="19.95" customHeight="1" x14ac:dyDescent="0.25">
      <c r="A466" s="17" t="s">
        <v>26</v>
      </c>
      <c r="B466" s="18" t="s">
        <v>42</v>
      </c>
      <c r="C466" s="18">
        <v>13.6234385336651</v>
      </c>
      <c r="D466" s="18">
        <v>1976</v>
      </c>
    </row>
    <row r="467" spans="1:4" ht="19.95" customHeight="1" x14ac:dyDescent="0.25">
      <c r="A467" s="17" t="s">
        <v>27</v>
      </c>
      <c r="B467" s="18" t="s">
        <v>42</v>
      </c>
      <c r="C467" s="18"/>
      <c r="D467" s="18">
        <v>1976</v>
      </c>
    </row>
    <row r="468" spans="1:4" ht="19.95" customHeight="1" x14ac:dyDescent="0.25">
      <c r="A468" s="17" t="s">
        <v>28</v>
      </c>
      <c r="B468" s="18" t="s">
        <v>42</v>
      </c>
      <c r="C468" s="18"/>
      <c r="D468" s="18">
        <v>1976</v>
      </c>
    </row>
    <row r="469" spans="1:4" ht="19.95" customHeight="1" x14ac:dyDescent="0.25">
      <c r="A469" s="17" t="s">
        <v>29</v>
      </c>
      <c r="B469" s="18" t="s">
        <v>42</v>
      </c>
      <c r="C469" s="18">
        <v>6.0803962292861904</v>
      </c>
      <c r="D469" s="18">
        <v>1976</v>
      </c>
    </row>
    <row r="470" spans="1:4" ht="19.95" customHeight="1" x14ac:dyDescent="0.25">
      <c r="A470" s="17" t="s">
        <v>31</v>
      </c>
      <c r="B470" s="18" t="s">
        <v>42</v>
      </c>
      <c r="C470" s="18">
        <v>4.3985361798315701</v>
      </c>
      <c r="D470" s="18">
        <v>1976</v>
      </c>
    </row>
    <row r="471" spans="1:4" ht="19.95" customHeight="1" x14ac:dyDescent="0.25">
      <c r="A471" s="17" t="s">
        <v>32</v>
      </c>
      <c r="B471" s="18" t="s">
        <v>42</v>
      </c>
      <c r="C471" s="18">
        <v>5.2094544974138604</v>
      </c>
      <c r="D471" s="18">
        <v>1976</v>
      </c>
    </row>
    <row r="472" spans="1:4" ht="19.95" customHeight="1" x14ac:dyDescent="0.25">
      <c r="A472" s="17" t="s">
        <v>33</v>
      </c>
      <c r="B472" s="18" t="s">
        <v>42</v>
      </c>
      <c r="C472" s="18">
        <v>0.67820340231987997</v>
      </c>
      <c r="D472" s="18">
        <v>1976</v>
      </c>
    </row>
    <row r="473" spans="1:4" ht="19.95" customHeight="1" x14ac:dyDescent="0.25">
      <c r="A473" s="17" t="s">
        <v>34</v>
      </c>
      <c r="B473" s="18" t="s">
        <v>42</v>
      </c>
      <c r="C473" s="18">
        <v>19.504577171159301</v>
      </c>
      <c r="D473" s="18">
        <v>1976</v>
      </c>
    </row>
    <row r="474" spans="1:4" ht="19.95" customHeight="1" x14ac:dyDescent="0.25">
      <c r="A474" s="17" t="s">
        <v>35</v>
      </c>
      <c r="B474" s="18" t="s">
        <v>42</v>
      </c>
      <c r="C474" s="18"/>
      <c r="D474" s="18">
        <v>1976</v>
      </c>
    </row>
    <row r="475" spans="1:4" ht="19.95" customHeight="1" x14ac:dyDescent="0.25">
      <c r="A475" s="17" t="s">
        <v>2</v>
      </c>
      <c r="B475" s="18" t="s">
        <v>42</v>
      </c>
      <c r="C475" s="18">
        <v>3.3351066902162398</v>
      </c>
      <c r="D475" s="18">
        <v>1976</v>
      </c>
    </row>
    <row r="476" spans="1:4" ht="19.95" customHeight="1" x14ac:dyDescent="0.25">
      <c r="A476" s="17" t="s">
        <v>36</v>
      </c>
      <c r="B476" s="18" t="s">
        <v>42</v>
      </c>
      <c r="C476" s="18"/>
      <c r="D476" s="18">
        <v>1976</v>
      </c>
    </row>
    <row r="477" spans="1:4" ht="19.95" customHeight="1" x14ac:dyDescent="0.25">
      <c r="A477" s="17" t="s">
        <v>37</v>
      </c>
      <c r="B477" s="18" t="s">
        <v>42</v>
      </c>
      <c r="C477" s="18"/>
      <c r="D477" s="18">
        <v>1976</v>
      </c>
    </row>
    <row r="478" spans="1:4" ht="19.95" customHeight="1" x14ac:dyDescent="0.25">
      <c r="A478" s="17" t="s">
        <v>38</v>
      </c>
      <c r="B478" s="18" t="s">
        <v>42</v>
      </c>
      <c r="C478" s="18"/>
      <c r="D478" s="18">
        <v>1976</v>
      </c>
    </row>
    <row r="479" spans="1:4" ht="19.95" customHeight="1" x14ac:dyDescent="0.25">
      <c r="A479" s="17" t="s">
        <v>39</v>
      </c>
      <c r="B479" s="18" t="s">
        <v>42</v>
      </c>
      <c r="C479" s="18">
        <v>6.2209752670717497</v>
      </c>
      <c r="D479" s="18">
        <v>1976</v>
      </c>
    </row>
    <row r="480" spans="1:4" ht="19.95" customHeight="1" x14ac:dyDescent="0.25">
      <c r="A480" s="17" t="s">
        <v>40</v>
      </c>
      <c r="B480" s="18" t="s">
        <v>42</v>
      </c>
      <c r="C480" s="18">
        <v>0.464838905538841</v>
      </c>
      <c r="D480" s="18">
        <v>1976</v>
      </c>
    </row>
    <row r="481" spans="1:4" ht="19.95" customHeight="1" x14ac:dyDescent="0.25">
      <c r="A481" s="17" t="s">
        <v>10</v>
      </c>
      <c r="B481" s="18" t="s">
        <v>42</v>
      </c>
      <c r="C481" s="18">
        <v>11.469453044272701</v>
      </c>
      <c r="D481" s="18">
        <v>1977</v>
      </c>
    </row>
    <row r="482" spans="1:4" ht="19.95" customHeight="1" x14ac:dyDescent="0.25">
      <c r="A482" s="17" t="s">
        <v>13</v>
      </c>
      <c r="B482" s="18" t="s">
        <v>42</v>
      </c>
      <c r="C482" s="18">
        <v>13.739871523038801</v>
      </c>
      <c r="D482" s="18">
        <v>1977</v>
      </c>
    </row>
    <row r="483" spans="1:4" ht="19.95" customHeight="1" x14ac:dyDescent="0.25">
      <c r="A483" s="17" t="s">
        <v>16</v>
      </c>
      <c r="B483" s="18" t="s">
        <v>42</v>
      </c>
      <c r="C483" s="18">
        <v>2.2346248491377199</v>
      </c>
      <c r="D483" s="18">
        <v>1977</v>
      </c>
    </row>
    <row r="484" spans="1:4" ht="19.95" customHeight="1" x14ac:dyDescent="0.25">
      <c r="A484" s="17" t="s">
        <v>15</v>
      </c>
      <c r="B484" s="18" t="s">
        <v>42</v>
      </c>
      <c r="C484" s="18"/>
      <c r="D484" s="18">
        <v>1977</v>
      </c>
    </row>
    <row r="485" spans="1:4" ht="19.95" customHeight="1" x14ac:dyDescent="0.25">
      <c r="A485" s="17" t="s">
        <v>17</v>
      </c>
      <c r="B485" s="18" t="s">
        <v>42</v>
      </c>
      <c r="C485" s="18"/>
      <c r="D485" s="18">
        <v>1977</v>
      </c>
    </row>
    <row r="486" spans="1:4" ht="19.95" customHeight="1" x14ac:dyDescent="0.25">
      <c r="A486" s="17" t="s">
        <v>18</v>
      </c>
      <c r="B486" s="18" t="s">
        <v>42</v>
      </c>
      <c r="C486" s="18"/>
      <c r="D486" s="18">
        <v>1977</v>
      </c>
    </row>
    <row r="487" spans="1:4" ht="19.95" customHeight="1" x14ac:dyDescent="0.25">
      <c r="A487" s="17" t="s">
        <v>19</v>
      </c>
      <c r="B487" s="18" t="s">
        <v>42</v>
      </c>
      <c r="C487" s="18"/>
      <c r="D487" s="18">
        <v>1977</v>
      </c>
    </row>
    <row r="488" spans="1:4" ht="19.95" customHeight="1" x14ac:dyDescent="0.25">
      <c r="A488" s="17" t="s">
        <v>20</v>
      </c>
      <c r="B488" s="18" t="s">
        <v>42</v>
      </c>
      <c r="C488" s="18"/>
      <c r="D488" s="18">
        <v>1977</v>
      </c>
    </row>
    <row r="489" spans="1:4" ht="19.95" customHeight="1" x14ac:dyDescent="0.25">
      <c r="A489" s="17" t="s">
        <v>21</v>
      </c>
      <c r="B489" s="18" t="s">
        <v>42</v>
      </c>
      <c r="C489" s="18">
        <v>9.4537978493697903</v>
      </c>
      <c r="D489" s="18">
        <v>1977</v>
      </c>
    </row>
    <row r="490" spans="1:4" ht="19.95" customHeight="1" x14ac:dyDescent="0.25">
      <c r="A490" s="17" t="s">
        <v>22</v>
      </c>
      <c r="B490" s="18" t="s">
        <v>42</v>
      </c>
      <c r="C490" s="18"/>
      <c r="D490" s="18">
        <v>1977</v>
      </c>
    </row>
    <row r="491" spans="1:4" ht="19.95" customHeight="1" x14ac:dyDescent="0.25">
      <c r="A491" s="17" t="s">
        <v>23</v>
      </c>
      <c r="B491" s="18" t="s">
        <v>42</v>
      </c>
      <c r="C491" s="18">
        <v>1.5879845666249699</v>
      </c>
      <c r="D491" s="18">
        <v>1977</v>
      </c>
    </row>
    <row r="492" spans="1:4" ht="19.95" customHeight="1" x14ac:dyDescent="0.25">
      <c r="A492" s="17" t="s">
        <v>24</v>
      </c>
      <c r="B492" s="18" t="s">
        <v>42</v>
      </c>
      <c r="C492" s="18">
        <v>2.36400035887337</v>
      </c>
      <c r="D492" s="18">
        <v>1977</v>
      </c>
    </row>
    <row r="493" spans="1:4" ht="19.95" customHeight="1" x14ac:dyDescent="0.25">
      <c r="A493" s="17" t="s">
        <v>25</v>
      </c>
      <c r="B493" s="18" t="s">
        <v>42</v>
      </c>
      <c r="C493" s="18">
        <v>4.9180313685787498</v>
      </c>
      <c r="D493" s="18">
        <v>1977</v>
      </c>
    </row>
    <row r="494" spans="1:4" ht="19.95" customHeight="1" x14ac:dyDescent="0.25">
      <c r="A494" s="17" t="s">
        <v>26</v>
      </c>
      <c r="B494" s="18" t="s">
        <v>42</v>
      </c>
      <c r="C494" s="18">
        <v>6.34864719393605</v>
      </c>
      <c r="D494" s="18">
        <v>1977</v>
      </c>
    </row>
    <row r="495" spans="1:4" ht="19.95" customHeight="1" x14ac:dyDescent="0.25">
      <c r="A495" s="17" t="s">
        <v>27</v>
      </c>
      <c r="B495" s="18" t="s">
        <v>42</v>
      </c>
      <c r="C495" s="18"/>
      <c r="D495" s="18">
        <v>1977</v>
      </c>
    </row>
    <row r="496" spans="1:4" ht="19.95" customHeight="1" x14ac:dyDescent="0.25">
      <c r="A496" s="17" t="s">
        <v>28</v>
      </c>
      <c r="B496" s="18" t="s">
        <v>42</v>
      </c>
      <c r="C496" s="18"/>
      <c r="D496" s="18">
        <v>1977</v>
      </c>
    </row>
    <row r="497" spans="1:4" ht="19.95" customHeight="1" x14ac:dyDescent="0.25">
      <c r="A497" s="17" t="s">
        <v>29</v>
      </c>
      <c r="B497" s="18" t="s">
        <v>42</v>
      </c>
      <c r="C497" s="18">
        <v>5.9522866105718997</v>
      </c>
      <c r="D497" s="18">
        <v>1977</v>
      </c>
    </row>
    <row r="498" spans="1:4" ht="19.95" customHeight="1" x14ac:dyDescent="0.25">
      <c r="A498" s="17" t="s">
        <v>31</v>
      </c>
      <c r="B498" s="18" t="s">
        <v>42</v>
      </c>
      <c r="C498" s="18">
        <v>3.0169734406464199</v>
      </c>
      <c r="D498" s="18">
        <v>1977</v>
      </c>
    </row>
    <row r="499" spans="1:4" ht="19.95" customHeight="1" x14ac:dyDescent="0.25">
      <c r="A499" s="17" t="s">
        <v>32</v>
      </c>
      <c r="B499" s="18" t="s">
        <v>42</v>
      </c>
      <c r="C499" s="18">
        <v>8.3684805330067302</v>
      </c>
      <c r="D499" s="18">
        <v>1977</v>
      </c>
    </row>
    <row r="500" spans="1:4" ht="19.95" customHeight="1" x14ac:dyDescent="0.25">
      <c r="A500" s="17" t="s">
        <v>33</v>
      </c>
      <c r="B500" s="18" t="s">
        <v>42</v>
      </c>
      <c r="C500" s="18">
        <v>7.7645811191130196</v>
      </c>
      <c r="D500" s="18">
        <v>1977</v>
      </c>
    </row>
    <row r="501" spans="1:4" ht="19.95" customHeight="1" x14ac:dyDescent="0.25">
      <c r="A501" s="17" t="s">
        <v>34</v>
      </c>
      <c r="B501" s="18" t="s">
        <v>42</v>
      </c>
      <c r="C501" s="18">
        <v>1.9941094802713999</v>
      </c>
      <c r="D501" s="18">
        <v>1977</v>
      </c>
    </row>
    <row r="502" spans="1:4" ht="19.95" customHeight="1" x14ac:dyDescent="0.25">
      <c r="A502" s="17" t="s">
        <v>35</v>
      </c>
      <c r="B502" s="18" t="s">
        <v>42</v>
      </c>
      <c r="C502" s="18"/>
      <c r="D502" s="18">
        <v>1977</v>
      </c>
    </row>
    <row r="503" spans="1:4" ht="19.95" customHeight="1" x14ac:dyDescent="0.25">
      <c r="A503" s="17" t="s">
        <v>2</v>
      </c>
      <c r="B503" s="18" t="s">
        <v>42</v>
      </c>
      <c r="C503" s="18">
        <v>5.1005902676449999</v>
      </c>
      <c r="D503" s="18">
        <v>1977</v>
      </c>
    </row>
    <row r="504" spans="1:4" ht="19.95" customHeight="1" x14ac:dyDescent="0.25">
      <c r="A504" s="17" t="s">
        <v>36</v>
      </c>
      <c r="B504" s="18" t="s">
        <v>42</v>
      </c>
      <c r="C504" s="18"/>
      <c r="D504" s="18">
        <v>1977</v>
      </c>
    </row>
    <row r="505" spans="1:4" ht="19.95" customHeight="1" x14ac:dyDescent="0.25">
      <c r="A505" s="17" t="s">
        <v>37</v>
      </c>
      <c r="B505" s="18" t="s">
        <v>42</v>
      </c>
      <c r="C505" s="18"/>
      <c r="D505" s="18">
        <v>1977</v>
      </c>
    </row>
    <row r="506" spans="1:4" ht="19.95" customHeight="1" x14ac:dyDescent="0.25">
      <c r="A506" s="17" t="s">
        <v>38</v>
      </c>
      <c r="B506" s="18" t="s">
        <v>42</v>
      </c>
      <c r="C506" s="18"/>
      <c r="D506" s="18">
        <v>1977</v>
      </c>
    </row>
    <row r="507" spans="1:4" ht="19.95" customHeight="1" x14ac:dyDescent="0.25">
      <c r="A507" s="17" t="s">
        <v>39</v>
      </c>
      <c r="B507" s="18" t="s">
        <v>42</v>
      </c>
      <c r="C507" s="18">
        <v>-4.5642361743653801</v>
      </c>
      <c r="D507" s="18">
        <v>1977</v>
      </c>
    </row>
    <row r="508" spans="1:4" ht="19.95" customHeight="1" x14ac:dyDescent="0.25">
      <c r="A508" s="17" t="s">
        <v>40</v>
      </c>
      <c r="B508" s="18" t="s">
        <v>42</v>
      </c>
      <c r="C508" s="18">
        <v>-6.8607031934178604</v>
      </c>
      <c r="D508" s="18">
        <v>1977</v>
      </c>
    </row>
    <row r="509" spans="1:4" ht="19.95" customHeight="1" x14ac:dyDescent="0.25">
      <c r="A509" s="17" t="s">
        <v>10</v>
      </c>
      <c r="B509" s="18" t="s">
        <v>42</v>
      </c>
      <c r="C509" s="18">
        <v>-0.94057598916847995</v>
      </c>
      <c r="D509" s="18">
        <v>1978</v>
      </c>
    </row>
    <row r="510" spans="1:4" ht="19.95" customHeight="1" x14ac:dyDescent="0.25">
      <c r="A510" s="17" t="s">
        <v>13</v>
      </c>
      <c r="B510" s="18" t="s">
        <v>42</v>
      </c>
      <c r="C510" s="18">
        <v>22.0030049229977</v>
      </c>
      <c r="D510" s="18">
        <v>1978</v>
      </c>
    </row>
    <row r="511" spans="1:4" ht="19.95" customHeight="1" x14ac:dyDescent="0.25">
      <c r="A511" s="17" t="s">
        <v>16</v>
      </c>
      <c r="B511" s="18" t="s">
        <v>42</v>
      </c>
      <c r="C511" s="18">
        <v>-0.46963418803200302</v>
      </c>
      <c r="D511" s="18">
        <v>1978</v>
      </c>
    </row>
    <row r="512" spans="1:4" ht="19.95" customHeight="1" x14ac:dyDescent="0.25">
      <c r="A512" s="17" t="s">
        <v>15</v>
      </c>
      <c r="B512" s="18" t="s">
        <v>42</v>
      </c>
      <c r="C512" s="18"/>
      <c r="D512" s="18">
        <v>1978</v>
      </c>
    </row>
    <row r="513" spans="1:4" ht="19.95" customHeight="1" x14ac:dyDescent="0.25">
      <c r="A513" s="17" t="s">
        <v>17</v>
      </c>
      <c r="B513" s="18" t="s">
        <v>42</v>
      </c>
      <c r="C513" s="18"/>
      <c r="D513" s="18">
        <v>1978</v>
      </c>
    </row>
    <row r="514" spans="1:4" ht="19.95" customHeight="1" x14ac:dyDescent="0.25">
      <c r="A514" s="17" t="s">
        <v>18</v>
      </c>
      <c r="B514" s="18" t="s">
        <v>42</v>
      </c>
      <c r="C514" s="18"/>
      <c r="D514" s="18">
        <v>1978</v>
      </c>
    </row>
    <row r="515" spans="1:4" ht="19.95" customHeight="1" x14ac:dyDescent="0.25">
      <c r="A515" s="17" t="s">
        <v>19</v>
      </c>
      <c r="B515" s="18" t="s">
        <v>42</v>
      </c>
      <c r="C515" s="18"/>
      <c r="D515" s="18">
        <v>1978</v>
      </c>
    </row>
    <row r="516" spans="1:4" ht="19.95" customHeight="1" x14ac:dyDescent="0.25">
      <c r="A516" s="17" t="s">
        <v>20</v>
      </c>
      <c r="B516" s="18" t="s">
        <v>42</v>
      </c>
      <c r="C516" s="18"/>
      <c r="D516" s="18">
        <v>1978</v>
      </c>
    </row>
    <row r="517" spans="1:4" ht="19.95" customHeight="1" x14ac:dyDescent="0.25">
      <c r="A517" s="17" t="s">
        <v>21</v>
      </c>
      <c r="B517" s="18" t="s">
        <v>42</v>
      </c>
      <c r="C517" s="18">
        <v>6.9124935466745496</v>
      </c>
      <c r="D517" s="18">
        <v>1978</v>
      </c>
    </row>
    <row r="518" spans="1:4" ht="19.95" customHeight="1" x14ac:dyDescent="0.25">
      <c r="A518" s="17" t="s">
        <v>22</v>
      </c>
      <c r="B518" s="18" t="s">
        <v>42</v>
      </c>
      <c r="C518" s="18"/>
      <c r="D518" s="18">
        <v>1978</v>
      </c>
    </row>
    <row r="519" spans="1:4" ht="19.95" customHeight="1" x14ac:dyDescent="0.25">
      <c r="A519" s="17" t="s">
        <v>23</v>
      </c>
      <c r="B519" s="18" t="s">
        <v>42</v>
      </c>
      <c r="C519" s="18">
        <v>4.8162206284737596</v>
      </c>
      <c r="D519" s="18">
        <v>1978</v>
      </c>
    </row>
    <row r="520" spans="1:4" ht="19.95" customHeight="1" x14ac:dyDescent="0.25">
      <c r="A520" s="17" t="s">
        <v>24</v>
      </c>
      <c r="B520" s="18" t="s">
        <v>42</v>
      </c>
      <c r="C520" s="18">
        <v>-2.6618059648546599</v>
      </c>
      <c r="D520" s="18">
        <v>1978</v>
      </c>
    </row>
    <row r="521" spans="1:4" ht="19.95" customHeight="1" x14ac:dyDescent="0.25">
      <c r="A521" s="17" t="s">
        <v>25</v>
      </c>
      <c r="B521" s="18" t="s">
        <v>42</v>
      </c>
      <c r="C521" s="18">
        <v>9.7450680272818992</v>
      </c>
      <c r="D521" s="18">
        <v>1978</v>
      </c>
    </row>
    <row r="522" spans="1:4" ht="19.95" customHeight="1" x14ac:dyDescent="0.25">
      <c r="A522" s="17" t="s">
        <v>26</v>
      </c>
      <c r="B522" s="18" t="s">
        <v>42</v>
      </c>
      <c r="C522" s="18">
        <v>-1.4634763319916699</v>
      </c>
      <c r="D522" s="18">
        <v>1978</v>
      </c>
    </row>
    <row r="523" spans="1:4" ht="19.95" customHeight="1" x14ac:dyDescent="0.25">
      <c r="A523" s="17" t="s">
        <v>27</v>
      </c>
      <c r="B523" s="18" t="s">
        <v>42</v>
      </c>
      <c r="C523" s="18"/>
      <c r="D523" s="18">
        <v>1978</v>
      </c>
    </row>
    <row r="524" spans="1:4" ht="19.95" customHeight="1" x14ac:dyDescent="0.25">
      <c r="A524" s="17" t="s">
        <v>28</v>
      </c>
      <c r="B524" s="18" t="s">
        <v>42</v>
      </c>
      <c r="C524" s="18"/>
      <c r="D524" s="18">
        <v>1978</v>
      </c>
    </row>
    <row r="525" spans="1:4" ht="19.95" customHeight="1" x14ac:dyDescent="0.25">
      <c r="A525" s="17" t="s">
        <v>29</v>
      </c>
      <c r="B525" s="18" t="s">
        <v>42</v>
      </c>
      <c r="C525" s="18">
        <v>6.5178170231427499</v>
      </c>
      <c r="D525" s="18">
        <v>1978</v>
      </c>
    </row>
    <row r="526" spans="1:4" ht="19.95" customHeight="1" x14ac:dyDescent="0.25">
      <c r="A526" s="17" t="s">
        <v>31</v>
      </c>
      <c r="B526" s="18" t="s">
        <v>42</v>
      </c>
      <c r="C526" s="18">
        <v>4.4057413896139401</v>
      </c>
      <c r="D526" s="18">
        <v>1978</v>
      </c>
    </row>
    <row r="527" spans="1:4" ht="19.95" customHeight="1" x14ac:dyDescent="0.25">
      <c r="A527" s="17" t="s">
        <v>32</v>
      </c>
      <c r="B527" s="18" t="s">
        <v>42</v>
      </c>
      <c r="C527" s="18">
        <v>-7.8388003748832897</v>
      </c>
      <c r="D527" s="18">
        <v>1978</v>
      </c>
    </row>
    <row r="528" spans="1:4" ht="19.95" customHeight="1" x14ac:dyDescent="0.25">
      <c r="A528" s="17" t="s">
        <v>33</v>
      </c>
      <c r="B528" s="18" t="s">
        <v>42</v>
      </c>
      <c r="C528" s="18">
        <v>13.472612331383701</v>
      </c>
      <c r="D528" s="18">
        <v>1978</v>
      </c>
    </row>
    <row r="529" spans="1:4" ht="19.95" customHeight="1" x14ac:dyDescent="0.25">
      <c r="A529" s="17" t="s">
        <v>34</v>
      </c>
      <c r="B529" s="18" t="s">
        <v>42</v>
      </c>
      <c r="C529" s="18">
        <v>9.1508408175140907</v>
      </c>
      <c r="D529" s="18">
        <v>1978</v>
      </c>
    </row>
    <row r="530" spans="1:4" ht="19.95" customHeight="1" x14ac:dyDescent="0.25">
      <c r="A530" s="17" t="s">
        <v>35</v>
      </c>
      <c r="B530" s="18" t="s">
        <v>42</v>
      </c>
      <c r="C530" s="18"/>
      <c r="D530" s="18">
        <v>1978</v>
      </c>
    </row>
    <row r="531" spans="1:4" ht="19.95" customHeight="1" x14ac:dyDescent="0.25">
      <c r="A531" s="17" t="s">
        <v>2</v>
      </c>
      <c r="B531" s="18" t="s">
        <v>42</v>
      </c>
      <c r="C531" s="18">
        <v>5.65383685205222</v>
      </c>
      <c r="D531" s="18">
        <v>1978</v>
      </c>
    </row>
    <row r="532" spans="1:4" ht="19.95" customHeight="1" x14ac:dyDescent="0.25">
      <c r="A532" s="17" t="s">
        <v>36</v>
      </c>
      <c r="B532" s="18" t="s">
        <v>42</v>
      </c>
      <c r="C532" s="18"/>
      <c r="D532" s="18">
        <v>1978</v>
      </c>
    </row>
    <row r="533" spans="1:4" ht="19.95" customHeight="1" x14ac:dyDescent="0.25">
      <c r="A533" s="17" t="s">
        <v>37</v>
      </c>
      <c r="B533" s="18" t="s">
        <v>42</v>
      </c>
      <c r="C533" s="18"/>
      <c r="D533" s="18">
        <v>1978</v>
      </c>
    </row>
    <row r="534" spans="1:4" ht="19.95" customHeight="1" x14ac:dyDescent="0.25">
      <c r="A534" s="17" t="s">
        <v>38</v>
      </c>
      <c r="B534" s="18" t="s">
        <v>42</v>
      </c>
      <c r="C534" s="18"/>
      <c r="D534" s="18">
        <v>1978</v>
      </c>
    </row>
    <row r="535" spans="1:4" ht="19.95" customHeight="1" x14ac:dyDescent="0.25">
      <c r="A535" s="17" t="s">
        <v>39</v>
      </c>
      <c r="B535" s="18" t="s">
        <v>42</v>
      </c>
      <c r="C535" s="18">
        <v>0.55376384424839398</v>
      </c>
      <c r="D535" s="18">
        <v>1978</v>
      </c>
    </row>
    <row r="536" spans="1:4" ht="19.95" customHeight="1" x14ac:dyDescent="0.25">
      <c r="A536" s="17" t="s">
        <v>40</v>
      </c>
      <c r="B536" s="18" t="s">
        <v>42</v>
      </c>
      <c r="C536" s="18">
        <v>-2.70692248477576</v>
      </c>
      <c r="D536" s="18">
        <v>1978</v>
      </c>
    </row>
    <row r="537" spans="1:4" ht="19.95" customHeight="1" x14ac:dyDescent="0.25">
      <c r="A537" s="17" t="s">
        <v>10</v>
      </c>
      <c r="B537" s="18" t="s">
        <v>42</v>
      </c>
      <c r="C537" s="18">
        <v>1.66495495026508</v>
      </c>
      <c r="D537" s="18">
        <v>1979</v>
      </c>
    </row>
    <row r="538" spans="1:4" ht="19.95" customHeight="1" x14ac:dyDescent="0.25">
      <c r="A538" s="17" t="s">
        <v>13</v>
      </c>
      <c r="B538" s="18" t="s">
        <v>42</v>
      </c>
      <c r="C538" s="18">
        <v>6.0351187732671399</v>
      </c>
      <c r="D538" s="18">
        <v>1979</v>
      </c>
    </row>
    <row r="539" spans="1:4" ht="19.95" customHeight="1" x14ac:dyDescent="0.25">
      <c r="A539" s="17" t="s">
        <v>16</v>
      </c>
      <c r="B539" s="18" t="s">
        <v>42</v>
      </c>
      <c r="C539" s="18">
        <v>-21.441087688912202</v>
      </c>
      <c r="D539" s="18">
        <v>1979</v>
      </c>
    </row>
    <row r="540" spans="1:4" ht="19.95" customHeight="1" x14ac:dyDescent="0.25">
      <c r="A540" s="17" t="s">
        <v>15</v>
      </c>
      <c r="B540" s="18" t="s">
        <v>42</v>
      </c>
      <c r="C540" s="18"/>
      <c r="D540" s="18">
        <v>1979</v>
      </c>
    </row>
    <row r="541" spans="1:4" ht="19.95" customHeight="1" x14ac:dyDescent="0.25">
      <c r="A541" s="17" t="s">
        <v>17</v>
      </c>
      <c r="B541" s="18" t="s">
        <v>42</v>
      </c>
      <c r="C541" s="18"/>
      <c r="D541" s="18">
        <v>1979</v>
      </c>
    </row>
    <row r="542" spans="1:4" ht="19.95" customHeight="1" x14ac:dyDescent="0.25">
      <c r="A542" s="17" t="s">
        <v>18</v>
      </c>
      <c r="B542" s="18" t="s">
        <v>42</v>
      </c>
      <c r="C542" s="18"/>
      <c r="D542" s="18">
        <v>1979</v>
      </c>
    </row>
    <row r="543" spans="1:4" ht="19.95" customHeight="1" x14ac:dyDescent="0.25">
      <c r="A543" s="17" t="s">
        <v>19</v>
      </c>
      <c r="B543" s="18" t="s">
        <v>42</v>
      </c>
      <c r="C543" s="18"/>
      <c r="D543" s="18">
        <v>1979</v>
      </c>
    </row>
    <row r="544" spans="1:4" ht="19.95" customHeight="1" x14ac:dyDescent="0.25">
      <c r="A544" s="17" t="s">
        <v>20</v>
      </c>
      <c r="B544" s="18" t="s">
        <v>42</v>
      </c>
      <c r="C544" s="18"/>
      <c r="D544" s="18">
        <v>1979</v>
      </c>
    </row>
    <row r="545" spans="1:4" ht="19.95" customHeight="1" x14ac:dyDescent="0.25">
      <c r="A545" s="17" t="s">
        <v>21</v>
      </c>
      <c r="B545" s="18" t="s">
        <v>42</v>
      </c>
      <c r="C545" s="18">
        <v>7.6152260415942399</v>
      </c>
      <c r="D545" s="18">
        <v>1979</v>
      </c>
    </row>
    <row r="546" spans="1:4" ht="19.95" customHeight="1" x14ac:dyDescent="0.25">
      <c r="A546" s="17" t="s">
        <v>22</v>
      </c>
      <c r="B546" s="18" t="s">
        <v>42</v>
      </c>
      <c r="C546" s="18"/>
      <c r="D546" s="18">
        <v>1979</v>
      </c>
    </row>
    <row r="547" spans="1:4" ht="19.95" customHeight="1" x14ac:dyDescent="0.25">
      <c r="A547" s="17" t="s">
        <v>23</v>
      </c>
      <c r="B547" s="18" t="s">
        <v>42</v>
      </c>
      <c r="C547" s="18">
        <v>3.2648196898751798</v>
      </c>
      <c r="D547" s="18">
        <v>1979</v>
      </c>
    </row>
    <row r="548" spans="1:4" ht="19.95" customHeight="1" x14ac:dyDescent="0.25">
      <c r="A548" s="17" t="s">
        <v>24</v>
      </c>
      <c r="B548" s="18" t="s">
        <v>42</v>
      </c>
      <c r="C548" s="18">
        <v>9.8546502902421498</v>
      </c>
      <c r="D548" s="18">
        <v>1979</v>
      </c>
    </row>
    <row r="549" spans="1:4" ht="19.95" customHeight="1" x14ac:dyDescent="0.25">
      <c r="A549" s="17" t="s">
        <v>25</v>
      </c>
      <c r="B549" s="18" t="s">
        <v>42</v>
      </c>
      <c r="C549" s="18">
        <v>4.3961537403666897</v>
      </c>
      <c r="D549" s="18">
        <v>1979</v>
      </c>
    </row>
    <row r="550" spans="1:4" ht="19.95" customHeight="1" x14ac:dyDescent="0.25">
      <c r="A550" s="17" t="s">
        <v>26</v>
      </c>
      <c r="B550" s="18" t="s">
        <v>42</v>
      </c>
      <c r="C550" s="18">
        <v>10.3956772105957</v>
      </c>
      <c r="D550" s="18">
        <v>1979</v>
      </c>
    </row>
    <row r="551" spans="1:4" ht="19.95" customHeight="1" x14ac:dyDescent="0.25">
      <c r="A551" s="17" t="s">
        <v>27</v>
      </c>
      <c r="B551" s="18" t="s">
        <v>42</v>
      </c>
      <c r="C551" s="18"/>
      <c r="D551" s="18">
        <v>1979</v>
      </c>
    </row>
    <row r="552" spans="1:4" ht="19.95" customHeight="1" x14ac:dyDescent="0.25">
      <c r="A552" s="17" t="s">
        <v>28</v>
      </c>
      <c r="B552" s="18" t="s">
        <v>42</v>
      </c>
      <c r="C552" s="18"/>
      <c r="D552" s="18">
        <v>1979</v>
      </c>
    </row>
    <row r="553" spans="1:4" ht="19.95" customHeight="1" x14ac:dyDescent="0.25">
      <c r="A553" s="17" t="s">
        <v>29</v>
      </c>
      <c r="B553" s="18" t="s">
        <v>42</v>
      </c>
      <c r="C553" s="18">
        <v>5.2012774807409698</v>
      </c>
      <c r="D553" s="18">
        <v>1979</v>
      </c>
    </row>
    <row r="554" spans="1:4" ht="19.95" customHeight="1" x14ac:dyDescent="0.25">
      <c r="A554" s="17" t="s">
        <v>31</v>
      </c>
      <c r="B554" s="18" t="s">
        <v>42</v>
      </c>
      <c r="C554" s="18">
        <v>2.3688777943633301</v>
      </c>
      <c r="D554" s="18">
        <v>1979</v>
      </c>
    </row>
    <row r="555" spans="1:4" ht="19.95" customHeight="1" x14ac:dyDescent="0.25">
      <c r="A555" s="17" t="s">
        <v>32</v>
      </c>
      <c r="B555" s="18" t="s">
        <v>42</v>
      </c>
      <c r="C555" s="18">
        <v>-26.478788864893399</v>
      </c>
      <c r="D555" s="18">
        <v>1979</v>
      </c>
    </row>
    <row r="556" spans="1:4" ht="19.95" customHeight="1" x14ac:dyDescent="0.25">
      <c r="A556" s="17" t="s">
        <v>33</v>
      </c>
      <c r="B556" s="18" t="s">
        <v>42</v>
      </c>
      <c r="C556" s="18">
        <v>7.1469960659650997</v>
      </c>
      <c r="D556" s="18">
        <v>1979</v>
      </c>
    </row>
    <row r="557" spans="1:4" ht="19.95" customHeight="1" x14ac:dyDescent="0.25">
      <c r="A557" s="17" t="s">
        <v>34</v>
      </c>
      <c r="B557" s="18" t="s">
        <v>42</v>
      </c>
      <c r="C557" s="18">
        <v>11.869908038505001</v>
      </c>
      <c r="D557" s="18">
        <v>1979</v>
      </c>
    </row>
    <row r="558" spans="1:4" ht="19.95" customHeight="1" x14ac:dyDescent="0.25">
      <c r="A558" s="17" t="s">
        <v>35</v>
      </c>
      <c r="B558" s="18" t="s">
        <v>42</v>
      </c>
      <c r="C558" s="18"/>
      <c r="D558" s="18">
        <v>1979</v>
      </c>
    </row>
    <row r="559" spans="1:4" ht="19.95" customHeight="1" x14ac:dyDescent="0.25">
      <c r="A559" s="17" t="s">
        <v>2</v>
      </c>
      <c r="B559" s="18" t="s">
        <v>42</v>
      </c>
      <c r="C559" s="18">
        <v>6.4035569252160398</v>
      </c>
      <c r="D559" s="18">
        <v>1979</v>
      </c>
    </row>
    <row r="560" spans="1:4" ht="19.95" customHeight="1" x14ac:dyDescent="0.25">
      <c r="A560" s="17" t="s">
        <v>36</v>
      </c>
      <c r="B560" s="18" t="s">
        <v>42</v>
      </c>
      <c r="C560" s="18"/>
      <c r="D560" s="18">
        <v>1979</v>
      </c>
    </row>
    <row r="561" spans="1:4" ht="19.95" customHeight="1" x14ac:dyDescent="0.25">
      <c r="A561" s="17" t="s">
        <v>37</v>
      </c>
      <c r="B561" s="18" t="s">
        <v>42</v>
      </c>
      <c r="C561" s="18"/>
      <c r="D561" s="18">
        <v>1979</v>
      </c>
    </row>
    <row r="562" spans="1:4" ht="19.95" customHeight="1" x14ac:dyDescent="0.25">
      <c r="A562" s="17" t="s">
        <v>38</v>
      </c>
      <c r="B562" s="18" t="s">
        <v>42</v>
      </c>
      <c r="C562" s="18"/>
      <c r="D562" s="18">
        <v>1979</v>
      </c>
    </row>
    <row r="563" spans="1:4" ht="19.95" customHeight="1" x14ac:dyDescent="0.25">
      <c r="A563" s="17" t="s">
        <v>39</v>
      </c>
      <c r="B563" s="18" t="s">
        <v>42</v>
      </c>
      <c r="C563" s="18">
        <v>-3.0239310312180101</v>
      </c>
      <c r="D563" s="18">
        <v>1979</v>
      </c>
    </row>
    <row r="564" spans="1:4" ht="19.95" customHeight="1" x14ac:dyDescent="0.25">
      <c r="A564" s="17" t="s">
        <v>40</v>
      </c>
      <c r="B564" s="18" t="s">
        <v>42</v>
      </c>
      <c r="C564" s="18">
        <v>3.2970353993860901</v>
      </c>
      <c r="D564" s="18">
        <v>1979</v>
      </c>
    </row>
    <row r="565" spans="1:4" ht="19.95" customHeight="1" x14ac:dyDescent="0.25">
      <c r="A565" s="17" t="s">
        <v>10</v>
      </c>
      <c r="B565" s="18" t="s">
        <v>42</v>
      </c>
      <c r="C565" s="18">
        <v>0.99105572513178697</v>
      </c>
      <c r="D565" s="18">
        <v>1980</v>
      </c>
    </row>
    <row r="566" spans="1:4" ht="19.95" customHeight="1" x14ac:dyDescent="0.25">
      <c r="A566" s="17" t="s">
        <v>13</v>
      </c>
      <c r="B566" s="18" t="s">
        <v>42</v>
      </c>
      <c r="C566" s="18">
        <v>-1.9652916688370801</v>
      </c>
      <c r="D566" s="18">
        <v>1980</v>
      </c>
    </row>
    <row r="567" spans="1:4" ht="19.95" customHeight="1" x14ac:dyDescent="0.25">
      <c r="A567" s="17" t="s">
        <v>16</v>
      </c>
      <c r="B567" s="18" t="s">
        <v>42</v>
      </c>
      <c r="C567" s="18">
        <v>-6.04767074733003</v>
      </c>
      <c r="D567" s="18">
        <v>1980</v>
      </c>
    </row>
    <row r="568" spans="1:4" ht="19.95" customHeight="1" x14ac:dyDescent="0.25">
      <c r="A568" s="17" t="s">
        <v>15</v>
      </c>
      <c r="B568" s="18" t="s">
        <v>42</v>
      </c>
      <c r="C568" s="18"/>
      <c r="D568" s="18">
        <v>1980</v>
      </c>
    </row>
    <row r="569" spans="1:4" ht="19.95" customHeight="1" x14ac:dyDescent="0.25">
      <c r="A569" s="17" t="s">
        <v>17</v>
      </c>
      <c r="B569" s="18" t="s">
        <v>42</v>
      </c>
      <c r="C569" s="18"/>
      <c r="D569" s="18">
        <v>1980</v>
      </c>
    </row>
    <row r="570" spans="1:4" ht="19.95" customHeight="1" x14ac:dyDescent="0.25">
      <c r="A570" s="17" t="s">
        <v>18</v>
      </c>
      <c r="B570" s="18" t="s">
        <v>42</v>
      </c>
      <c r="C570" s="18"/>
      <c r="D570" s="18">
        <v>1980</v>
      </c>
    </row>
    <row r="571" spans="1:4" ht="19.95" customHeight="1" x14ac:dyDescent="0.25">
      <c r="A571" s="17" t="s">
        <v>19</v>
      </c>
      <c r="B571" s="18" t="s">
        <v>42</v>
      </c>
      <c r="C571" s="18"/>
      <c r="D571" s="18">
        <v>1980</v>
      </c>
    </row>
    <row r="572" spans="1:4" ht="19.95" customHeight="1" x14ac:dyDescent="0.25">
      <c r="A572" s="17" t="s">
        <v>20</v>
      </c>
      <c r="B572" s="18" t="s">
        <v>42</v>
      </c>
      <c r="C572" s="18"/>
      <c r="D572" s="18">
        <v>1980</v>
      </c>
    </row>
    <row r="573" spans="1:4" ht="19.95" customHeight="1" x14ac:dyDescent="0.25">
      <c r="A573" s="17" t="s">
        <v>21</v>
      </c>
      <c r="B573" s="18" t="s">
        <v>42</v>
      </c>
      <c r="C573" s="18">
        <v>5.5919762065950396</v>
      </c>
      <c r="D573" s="18">
        <v>1980</v>
      </c>
    </row>
    <row r="574" spans="1:4" ht="19.95" customHeight="1" x14ac:dyDescent="0.25">
      <c r="A574" s="17" t="s">
        <v>22</v>
      </c>
      <c r="B574" s="18" t="s">
        <v>42</v>
      </c>
      <c r="C574" s="18"/>
      <c r="D574" s="18">
        <v>1980</v>
      </c>
    </row>
    <row r="575" spans="1:4" ht="19.95" customHeight="1" x14ac:dyDescent="0.25">
      <c r="A575" s="17" t="s">
        <v>23</v>
      </c>
      <c r="B575" s="18" t="s">
        <v>42</v>
      </c>
      <c r="C575" s="18">
        <v>-4.0983640699047799</v>
      </c>
      <c r="D575" s="18">
        <v>1980</v>
      </c>
    </row>
    <row r="576" spans="1:4" ht="19.95" customHeight="1" x14ac:dyDescent="0.25">
      <c r="A576" s="17" t="s">
        <v>24</v>
      </c>
      <c r="B576" s="18" t="s">
        <v>42</v>
      </c>
      <c r="C576" s="18">
        <v>0.80577081769179404</v>
      </c>
      <c r="D576" s="18">
        <v>1980</v>
      </c>
    </row>
    <row r="577" spans="1:4" ht="19.95" customHeight="1" x14ac:dyDescent="0.25">
      <c r="A577" s="17" t="s">
        <v>25</v>
      </c>
      <c r="B577" s="18" t="s">
        <v>42</v>
      </c>
      <c r="C577" s="18">
        <v>0.40674641302035802</v>
      </c>
      <c r="D577" s="18">
        <v>1980</v>
      </c>
    </row>
    <row r="578" spans="1:4" ht="19.95" customHeight="1" x14ac:dyDescent="0.25">
      <c r="A578" s="17" t="s">
        <v>26</v>
      </c>
      <c r="B578" s="18" t="s">
        <v>42</v>
      </c>
      <c r="C578" s="18">
        <v>-4.3258398689978597</v>
      </c>
      <c r="D578" s="18">
        <v>1980</v>
      </c>
    </row>
    <row r="579" spans="1:4" ht="19.95" customHeight="1" x14ac:dyDescent="0.25">
      <c r="A579" s="17" t="s">
        <v>27</v>
      </c>
      <c r="B579" s="18" t="s">
        <v>42</v>
      </c>
      <c r="C579" s="18"/>
      <c r="D579" s="18">
        <v>1980</v>
      </c>
    </row>
    <row r="580" spans="1:4" ht="19.95" customHeight="1" x14ac:dyDescent="0.25">
      <c r="A580" s="17" t="s">
        <v>28</v>
      </c>
      <c r="B580" s="18" t="s">
        <v>42</v>
      </c>
      <c r="C580" s="18"/>
      <c r="D580" s="18">
        <v>1980</v>
      </c>
    </row>
    <row r="581" spans="1:4" ht="19.95" customHeight="1" x14ac:dyDescent="0.25">
      <c r="A581" s="17" t="s">
        <v>29</v>
      </c>
      <c r="B581" s="18" t="s">
        <v>42</v>
      </c>
      <c r="C581" s="18">
        <v>7.9385380808307398</v>
      </c>
      <c r="D581" s="18">
        <v>1980</v>
      </c>
    </row>
    <row r="582" spans="1:4" ht="19.95" customHeight="1" x14ac:dyDescent="0.25">
      <c r="A582" s="17" t="s">
        <v>31</v>
      </c>
      <c r="B582" s="18" t="s">
        <v>42</v>
      </c>
      <c r="C582" s="18">
        <v>-2.31939420324042</v>
      </c>
      <c r="D582" s="18">
        <v>1980</v>
      </c>
    </row>
    <row r="583" spans="1:4" ht="19.95" customHeight="1" x14ac:dyDescent="0.25">
      <c r="A583" s="17" t="s">
        <v>32</v>
      </c>
      <c r="B583" s="18" t="s">
        <v>42</v>
      </c>
      <c r="C583" s="18">
        <v>4.6117322791080504</v>
      </c>
      <c r="D583" s="18">
        <v>1980</v>
      </c>
    </row>
    <row r="584" spans="1:4" ht="19.95" customHeight="1" x14ac:dyDescent="0.25">
      <c r="A584" s="17" t="s">
        <v>33</v>
      </c>
      <c r="B584" s="18" t="s">
        <v>42</v>
      </c>
      <c r="C584" s="18">
        <v>-2.2324446911053402</v>
      </c>
      <c r="D584" s="18">
        <v>1980</v>
      </c>
    </row>
    <row r="585" spans="1:4" ht="19.95" customHeight="1" x14ac:dyDescent="0.25">
      <c r="A585" s="17" t="s">
        <v>34</v>
      </c>
      <c r="B585" s="18" t="s">
        <v>42</v>
      </c>
      <c r="C585" s="18">
        <v>8.9516123307594508</v>
      </c>
      <c r="D585" s="18">
        <v>1980</v>
      </c>
    </row>
    <row r="586" spans="1:4" ht="19.95" customHeight="1" x14ac:dyDescent="0.25">
      <c r="A586" s="17" t="s">
        <v>35</v>
      </c>
      <c r="B586" s="18" t="s">
        <v>42</v>
      </c>
      <c r="C586" s="18"/>
      <c r="D586" s="18">
        <v>1980</v>
      </c>
    </row>
    <row r="587" spans="1:4" ht="19.95" customHeight="1" x14ac:dyDescent="0.25">
      <c r="A587" s="17" t="s">
        <v>2</v>
      </c>
      <c r="B587" s="18" t="s">
        <v>42</v>
      </c>
      <c r="C587" s="18">
        <v>5.8460265156251996</v>
      </c>
      <c r="D587" s="18">
        <v>1980</v>
      </c>
    </row>
    <row r="588" spans="1:4" ht="19.95" customHeight="1" x14ac:dyDescent="0.25">
      <c r="A588" s="17" t="s">
        <v>36</v>
      </c>
      <c r="B588" s="18" t="s">
        <v>42</v>
      </c>
      <c r="C588" s="18"/>
      <c r="D588" s="18">
        <v>1980</v>
      </c>
    </row>
    <row r="589" spans="1:4" ht="19.95" customHeight="1" x14ac:dyDescent="0.25">
      <c r="A589" s="17" t="s">
        <v>37</v>
      </c>
      <c r="B589" s="18" t="s">
        <v>42</v>
      </c>
      <c r="C589" s="18"/>
      <c r="D589" s="18">
        <v>1980</v>
      </c>
    </row>
    <row r="590" spans="1:4" ht="19.95" customHeight="1" x14ac:dyDescent="0.25">
      <c r="A590" s="17" t="s">
        <v>38</v>
      </c>
      <c r="B590" s="18" t="s">
        <v>42</v>
      </c>
      <c r="C590" s="18"/>
      <c r="D590" s="18">
        <v>1980</v>
      </c>
    </row>
    <row r="591" spans="1:4" ht="19.95" customHeight="1" x14ac:dyDescent="0.25">
      <c r="A591" s="17" t="s">
        <v>39</v>
      </c>
      <c r="B591" s="18" t="s">
        <v>42</v>
      </c>
      <c r="C591" s="18">
        <v>3.0356223506610398</v>
      </c>
      <c r="D591" s="18">
        <v>1980</v>
      </c>
    </row>
    <row r="592" spans="1:4" ht="19.95" customHeight="1" x14ac:dyDescent="0.25">
      <c r="A592" s="17" t="s">
        <v>40</v>
      </c>
      <c r="B592" s="18" t="s">
        <v>42</v>
      </c>
      <c r="C592" s="18">
        <v>14.420683903897</v>
      </c>
      <c r="D592" s="18">
        <v>1980</v>
      </c>
    </row>
    <row r="593" spans="1:4" ht="19.95" customHeight="1" x14ac:dyDescent="0.25">
      <c r="A593" s="17" t="s">
        <v>10</v>
      </c>
      <c r="B593" s="18" t="s">
        <v>42</v>
      </c>
      <c r="C593" s="18">
        <v>12.163275570246601</v>
      </c>
      <c r="D593" s="18">
        <v>1981</v>
      </c>
    </row>
    <row r="594" spans="1:4" ht="19.95" customHeight="1" x14ac:dyDescent="0.25">
      <c r="A594" s="17" t="s">
        <v>13</v>
      </c>
      <c r="B594" s="18" t="s">
        <v>42</v>
      </c>
      <c r="C594" s="18">
        <v>17.0826822487541</v>
      </c>
      <c r="D594" s="18">
        <v>1981</v>
      </c>
    </row>
    <row r="595" spans="1:4" ht="19.95" customHeight="1" x14ac:dyDescent="0.25">
      <c r="A595" s="17" t="s">
        <v>16</v>
      </c>
      <c r="B595" s="18" t="s">
        <v>42</v>
      </c>
      <c r="C595" s="18">
        <v>1.0429181025977501</v>
      </c>
      <c r="D595" s="18">
        <v>1981</v>
      </c>
    </row>
    <row r="596" spans="1:4" ht="19.95" customHeight="1" x14ac:dyDescent="0.25">
      <c r="A596" s="17" t="s">
        <v>15</v>
      </c>
      <c r="B596" s="18" t="s">
        <v>42</v>
      </c>
      <c r="C596" s="18">
        <v>3.8649211443068499</v>
      </c>
      <c r="D596" s="18">
        <v>1981</v>
      </c>
    </row>
    <row r="597" spans="1:4" ht="19.95" customHeight="1" x14ac:dyDescent="0.25">
      <c r="A597" s="17" t="s">
        <v>17</v>
      </c>
      <c r="B597" s="18" t="s">
        <v>42</v>
      </c>
      <c r="C597" s="18"/>
      <c r="D597" s="18">
        <v>1981</v>
      </c>
    </row>
    <row r="598" spans="1:4" ht="19.95" customHeight="1" x14ac:dyDescent="0.25">
      <c r="A598" s="17" t="s">
        <v>18</v>
      </c>
      <c r="B598" s="18" t="s">
        <v>42</v>
      </c>
      <c r="C598" s="18"/>
      <c r="D598" s="18">
        <v>1981</v>
      </c>
    </row>
    <row r="599" spans="1:4" ht="19.95" customHeight="1" x14ac:dyDescent="0.25">
      <c r="A599" s="17" t="s">
        <v>19</v>
      </c>
      <c r="B599" s="18" t="s">
        <v>42</v>
      </c>
      <c r="C599" s="18"/>
      <c r="D599" s="18">
        <v>1981</v>
      </c>
    </row>
    <row r="600" spans="1:4" ht="19.95" customHeight="1" x14ac:dyDescent="0.25">
      <c r="A600" s="17" t="s">
        <v>20</v>
      </c>
      <c r="B600" s="18" t="s">
        <v>42</v>
      </c>
      <c r="C600" s="18"/>
      <c r="D600" s="18">
        <v>1981</v>
      </c>
    </row>
    <row r="601" spans="1:4" ht="19.95" customHeight="1" x14ac:dyDescent="0.25">
      <c r="A601" s="17" t="s">
        <v>21</v>
      </c>
      <c r="B601" s="18" t="s">
        <v>42</v>
      </c>
      <c r="C601" s="18">
        <v>3.7735441966441998</v>
      </c>
      <c r="D601" s="18">
        <v>1981</v>
      </c>
    </row>
    <row r="602" spans="1:4" ht="19.95" customHeight="1" x14ac:dyDescent="0.25">
      <c r="A602" s="17" t="s">
        <v>22</v>
      </c>
      <c r="B602" s="18" t="s">
        <v>42</v>
      </c>
      <c r="C602" s="18"/>
      <c r="D602" s="18">
        <v>1981</v>
      </c>
    </row>
    <row r="603" spans="1:4" ht="19.95" customHeight="1" x14ac:dyDescent="0.25">
      <c r="A603" s="17" t="s">
        <v>23</v>
      </c>
      <c r="B603" s="18" t="s">
        <v>42</v>
      </c>
      <c r="C603" s="18">
        <v>-2.13675011492262</v>
      </c>
      <c r="D603" s="18">
        <v>1981</v>
      </c>
    </row>
    <row r="604" spans="1:4" ht="19.95" customHeight="1" x14ac:dyDescent="0.25">
      <c r="A604" s="17" t="s">
        <v>24</v>
      </c>
      <c r="B604" s="18" t="s">
        <v>42</v>
      </c>
      <c r="C604" s="18">
        <v>-9.6987883750713699</v>
      </c>
      <c r="D604" s="18">
        <v>1981</v>
      </c>
    </row>
    <row r="605" spans="1:4" ht="19.95" customHeight="1" x14ac:dyDescent="0.25">
      <c r="A605" s="17" t="s">
        <v>25</v>
      </c>
      <c r="B605" s="18" t="s">
        <v>42</v>
      </c>
      <c r="C605" s="18">
        <v>-5.2901192185899797</v>
      </c>
      <c r="D605" s="18">
        <v>1981</v>
      </c>
    </row>
    <row r="606" spans="1:4" ht="19.95" customHeight="1" x14ac:dyDescent="0.25">
      <c r="A606" s="17" t="s">
        <v>26</v>
      </c>
      <c r="B606" s="18" t="s">
        <v>42</v>
      </c>
      <c r="C606" s="18">
        <v>1.5088042968527</v>
      </c>
      <c r="D606" s="18">
        <v>1981</v>
      </c>
    </row>
    <row r="607" spans="1:4" ht="19.95" customHeight="1" x14ac:dyDescent="0.25">
      <c r="A607" s="17" t="s">
        <v>27</v>
      </c>
      <c r="B607" s="18" t="s">
        <v>42</v>
      </c>
      <c r="C607" s="18"/>
      <c r="D607" s="18">
        <v>1981</v>
      </c>
    </row>
    <row r="608" spans="1:4" ht="19.95" customHeight="1" x14ac:dyDescent="0.25">
      <c r="A608" s="17" t="s">
        <v>28</v>
      </c>
      <c r="B608" s="18" t="s">
        <v>42</v>
      </c>
      <c r="C608" s="18">
        <v>5.0000029494085396</v>
      </c>
      <c r="D608" s="18">
        <v>1981</v>
      </c>
    </row>
    <row r="609" spans="1:4" ht="19.95" customHeight="1" x14ac:dyDescent="0.25">
      <c r="A609" s="17" t="s">
        <v>29</v>
      </c>
      <c r="B609" s="18" t="s">
        <v>42</v>
      </c>
      <c r="C609" s="18">
        <v>6.3557545919585197</v>
      </c>
      <c r="D609" s="18">
        <v>1981</v>
      </c>
    </row>
    <row r="610" spans="1:4" ht="19.95" customHeight="1" x14ac:dyDescent="0.25">
      <c r="A610" s="17" t="s">
        <v>31</v>
      </c>
      <c r="B610" s="18" t="s">
        <v>42</v>
      </c>
      <c r="C610" s="18">
        <v>8.3419741344454206</v>
      </c>
      <c r="D610" s="18">
        <v>1981</v>
      </c>
    </row>
    <row r="611" spans="1:4" ht="19.95" customHeight="1" x14ac:dyDescent="0.25">
      <c r="A611" s="17" t="s">
        <v>32</v>
      </c>
      <c r="B611" s="18" t="s">
        <v>42</v>
      </c>
      <c r="C611" s="18">
        <v>5.3632901898187102</v>
      </c>
      <c r="D611" s="18">
        <v>1981</v>
      </c>
    </row>
    <row r="612" spans="1:4" ht="19.95" customHeight="1" x14ac:dyDescent="0.25">
      <c r="A612" s="17" t="s">
        <v>33</v>
      </c>
      <c r="B612" s="18" t="s">
        <v>42</v>
      </c>
      <c r="C612" s="18">
        <v>0.60891523908905798</v>
      </c>
      <c r="D612" s="18">
        <v>1981</v>
      </c>
    </row>
    <row r="613" spans="1:4" ht="19.95" customHeight="1" x14ac:dyDescent="0.25">
      <c r="A613" s="17" t="s">
        <v>34</v>
      </c>
      <c r="B613" s="18" t="s">
        <v>42</v>
      </c>
      <c r="C613" s="18">
        <v>5.4361994803542997</v>
      </c>
      <c r="D613" s="18">
        <v>1981</v>
      </c>
    </row>
    <row r="614" spans="1:4" ht="19.95" customHeight="1" x14ac:dyDescent="0.25">
      <c r="A614" s="17" t="s">
        <v>35</v>
      </c>
      <c r="B614" s="18" t="s">
        <v>42</v>
      </c>
      <c r="C614" s="18"/>
      <c r="D614" s="18">
        <v>1981</v>
      </c>
    </row>
    <row r="615" spans="1:4" ht="19.95" customHeight="1" x14ac:dyDescent="0.25">
      <c r="A615" s="17" t="s">
        <v>2</v>
      </c>
      <c r="B615" s="18" t="s">
        <v>42</v>
      </c>
      <c r="C615" s="18">
        <v>5.69952476907687</v>
      </c>
      <c r="D615" s="18">
        <v>1981</v>
      </c>
    </row>
    <row r="616" spans="1:4" ht="19.95" customHeight="1" x14ac:dyDescent="0.25">
      <c r="A616" s="17" t="s">
        <v>36</v>
      </c>
      <c r="B616" s="18" t="s">
        <v>42</v>
      </c>
      <c r="C616" s="18"/>
      <c r="D616" s="18">
        <v>1981</v>
      </c>
    </row>
    <row r="617" spans="1:4" ht="19.95" customHeight="1" x14ac:dyDescent="0.25">
      <c r="A617" s="17" t="s">
        <v>37</v>
      </c>
      <c r="B617" s="18" t="s">
        <v>42</v>
      </c>
      <c r="C617" s="18"/>
      <c r="D617" s="18">
        <v>1981</v>
      </c>
    </row>
    <row r="618" spans="1:4" ht="19.95" customHeight="1" x14ac:dyDescent="0.25">
      <c r="A618" s="17" t="s">
        <v>38</v>
      </c>
      <c r="B618" s="18" t="s">
        <v>42</v>
      </c>
      <c r="C618" s="18"/>
      <c r="D618" s="18">
        <v>1981</v>
      </c>
    </row>
    <row r="619" spans="1:4" ht="19.95" customHeight="1" x14ac:dyDescent="0.25">
      <c r="A619" s="17" t="s">
        <v>39</v>
      </c>
      <c r="B619" s="18" t="s">
        <v>42</v>
      </c>
      <c r="C619" s="18">
        <v>6.1679574065058898</v>
      </c>
      <c r="D619" s="18">
        <v>1981</v>
      </c>
    </row>
    <row r="620" spans="1:4" ht="19.95" customHeight="1" x14ac:dyDescent="0.25">
      <c r="A620" s="17" t="s">
        <v>40</v>
      </c>
      <c r="B620" s="18" t="s">
        <v>42</v>
      </c>
      <c r="C620" s="18">
        <v>12.5254248597006</v>
      </c>
      <c r="D620" s="18">
        <v>1981</v>
      </c>
    </row>
    <row r="621" spans="1:4" ht="19.95" customHeight="1" x14ac:dyDescent="0.25">
      <c r="A621" s="17" t="s">
        <v>10</v>
      </c>
      <c r="B621" s="18" t="s">
        <v>42</v>
      </c>
      <c r="C621" s="18">
        <v>-1.05359982020342</v>
      </c>
      <c r="D621" s="18">
        <v>1982</v>
      </c>
    </row>
    <row r="622" spans="1:4" ht="19.95" customHeight="1" x14ac:dyDescent="0.25">
      <c r="A622" s="17" t="s">
        <v>13</v>
      </c>
      <c r="B622" s="18" t="s">
        <v>42</v>
      </c>
      <c r="C622" s="18">
        <v>7.5162026055376003</v>
      </c>
      <c r="D622" s="18">
        <v>1982</v>
      </c>
    </row>
    <row r="623" spans="1:4" ht="19.95" customHeight="1" x14ac:dyDescent="0.25">
      <c r="A623" s="17" t="s">
        <v>16</v>
      </c>
      <c r="B623" s="18" t="s">
        <v>42</v>
      </c>
      <c r="C623" s="18">
        <v>5.3466089993691197</v>
      </c>
      <c r="D623" s="18">
        <v>1982</v>
      </c>
    </row>
    <row r="624" spans="1:4" ht="19.95" customHeight="1" x14ac:dyDescent="0.25">
      <c r="A624" s="17" t="s">
        <v>15</v>
      </c>
      <c r="B624" s="18" t="s">
        <v>42</v>
      </c>
      <c r="C624" s="18">
        <v>6.3836233767744099</v>
      </c>
      <c r="D624" s="18">
        <v>1982</v>
      </c>
    </row>
    <row r="625" spans="1:4" ht="19.95" customHeight="1" x14ac:dyDescent="0.25">
      <c r="A625" s="17" t="s">
        <v>17</v>
      </c>
      <c r="B625" s="18" t="s">
        <v>42</v>
      </c>
      <c r="C625" s="18"/>
      <c r="D625" s="18">
        <v>1982</v>
      </c>
    </row>
    <row r="626" spans="1:4" ht="19.95" customHeight="1" x14ac:dyDescent="0.25">
      <c r="A626" s="17" t="s">
        <v>18</v>
      </c>
      <c r="B626" s="18" t="s">
        <v>42</v>
      </c>
      <c r="C626" s="18">
        <v>0.91601385808238001</v>
      </c>
      <c r="D626" s="18">
        <v>1982</v>
      </c>
    </row>
    <row r="627" spans="1:4" ht="19.95" customHeight="1" x14ac:dyDescent="0.25">
      <c r="A627" s="17" t="s">
        <v>19</v>
      </c>
      <c r="B627" s="18" t="s">
        <v>42</v>
      </c>
      <c r="C627" s="18"/>
      <c r="D627" s="18">
        <v>1982</v>
      </c>
    </row>
    <row r="628" spans="1:4" ht="19.95" customHeight="1" x14ac:dyDescent="0.25">
      <c r="A628" s="17" t="s">
        <v>20</v>
      </c>
      <c r="B628" s="18" t="s">
        <v>42</v>
      </c>
      <c r="C628" s="18"/>
      <c r="D628" s="18">
        <v>1982</v>
      </c>
    </row>
    <row r="629" spans="1:4" ht="19.95" customHeight="1" x14ac:dyDescent="0.25">
      <c r="A629" s="17" t="s">
        <v>21</v>
      </c>
      <c r="B629" s="18" t="s">
        <v>42</v>
      </c>
      <c r="C629" s="18">
        <v>1.50647825447521</v>
      </c>
      <c r="D629" s="18">
        <v>1982</v>
      </c>
    </row>
    <row r="630" spans="1:4" ht="19.95" customHeight="1" x14ac:dyDescent="0.25">
      <c r="A630" s="17" t="s">
        <v>22</v>
      </c>
      <c r="B630" s="18" t="s">
        <v>42</v>
      </c>
      <c r="C630" s="18"/>
      <c r="D630" s="18">
        <v>1982</v>
      </c>
    </row>
    <row r="631" spans="1:4" ht="19.95" customHeight="1" x14ac:dyDescent="0.25">
      <c r="A631" s="17" t="s">
        <v>23</v>
      </c>
      <c r="B631" s="18" t="s">
        <v>42</v>
      </c>
      <c r="C631" s="18">
        <v>-2.4329372470569299</v>
      </c>
      <c r="D631" s="18">
        <v>1982</v>
      </c>
    </row>
    <row r="632" spans="1:4" ht="19.95" customHeight="1" x14ac:dyDescent="0.25">
      <c r="A632" s="17" t="s">
        <v>24</v>
      </c>
      <c r="B632" s="18" t="s">
        <v>42</v>
      </c>
      <c r="C632" s="18">
        <v>-1.81019416145621</v>
      </c>
      <c r="D632" s="18">
        <v>1982</v>
      </c>
    </row>
    <row r="633" spans="1:4" ht="19.95" customHeight="1" x14ac:dyDescent="0.25">
      <c r="A633" s="17" t="s">
        <v>25</v>
      </c>
      <c r="B633" s="18" t="s">
        <v>42</v>
      </c>
      <c r="C633" s="18">
        <v>2.50345381365055</v>
      </c>
      <c r="D633" s="18">
        <v>1982</v>
      </c>
    </row>
    <row r="634" spans="1:4" ht="19.95" customHeight="1" x14ac:dyDescent="0.25">
      <c r="A634" s="17" t="s">
        <v>26</v>
      </c>
      <c r="B634" s="18" t="s">
        <v>42</v>
      </c>
      <c r="C634" s="18">
        <v>-7.3784330460581904</v>
      </c>
      <c r="D634" s="18">
        <v>1982</v>
      </c>
    </row>
    <row r="635" spans="1:4" ht="19.95" customHeight="1" x14ac:dyDescent="0.25">
      <c r="A635" s="17" t="s">
        <v>27</v>
      </c>
      <c r="B635" s="18" t="s">
        <v>42</v>
      </c>
      <c r="C635" s="18"/>
      <c r="D635" s="18">
        <v>1982</v>
      </c>
    </row>
    <row r="636" spans="1:4" ht="19.95" customHeight="1" x14ac:dyDescent="0.25">
      <c r="A636" s="17" t="s">
        <v>28</v>
      </c>
      <c r="B636" s="18" t="s">
        <v>42</v>
      </c>
      <c r="C636" s="18">
        <v>-6.8999994394117596</v>
      </c>
      <c r="D636" s="18">
        <v>1982</v>
      </c>
    </row>
    <row r="637" spans="1:4" ht="19.95" customHeight="1" x14ac:dyDescent="0.25">
      <c r="A637" s="17" t="s">
        <v>29</v>
      </c>
      <c r="B637" s="18" t="s">
        <v>42</v>
      </c>
      <c r="C637" s="18">
        <v>5.6038764255664102</v>
      </c>
      <c r="D637" s="18">
        <v>1982</v>
      </c>
    </row>
    <row r="638" spans="1:4" ht="19.95" customHeight="1" x14ac:dyDescent="0.25">
      <c r="A638" s="17" t="s">
        <v>31</v>
      </c>
      <c r="B638" s="18" t="s">
        <v>42</v>
      </c>
      <c r="C638" s="18">
        <v>3.7793746542902502</v>
      </c>
      <c r="D638" s="18">
        <v>1982</v>
      </c>
    </row>
    <row r="639" spans="1:4" ht="19.95" customHeight="1" x14ac:dyDescent="0.25">
      <c r="A639" s="17" t="s">
        <v>32</v>
      </c>
      <c r="B639" s="18" t="s">
        <v>42</v>
      </c>
      <c r="C639" s="18">
        <v>-0.81636191892965804</v>
      </c>
      <c r="D639" s="18">
        <v>1982</v>
      </c>
    </row>
    <row r="640" spans="1:4" ht="19.95" customHeight="1" x14ac:dyDescent="0.25">
      <c r="A640" s="17" t="s">
        <v>33</v>
      </c>
      <c r="B640" s="18" t="s">
        <v>42</v>
      </c>
      <c r="C640" s="18">
        <v>1.6231021998596999</v>
      </c>
      <c r="D640" s="18">
        <v>1982</v>
      </c>
    </row>
    <row r="641" spans="1:4" ht="19.95" customHeight="1" x14ac:dyDescent="0.25">
      <c r="A641" s="17" t="s">
        <v>34</v>
      </c>
      <c r="B641" s="18" t="s">
        <v>42</v>
      </c>
      <c r="C641" s="18">
        <v>1.81084644591472</v>
      </c>
      <c r="D641" s="18">
        <v>1982</v>
      </c>
    </row>
    <row r="642" spans="1:4" ht="19.95" customHeight="1" x14ac:dyDescent="0.25">
      <c r="A642" s="17" t="s">
        <v>35</v>
      </c>
      <c r="B642" s="18" t="s">
        <v>42</v>
      </c>
      <c r="C642" s="18"/>
      <c r="D642" s="18">
        <v>1982</v>
      </c>
    </row>
    <row r="643" spans="1:4" ht="19.95" customHeight="1" x14ac:dyDescent="0.25">
      <c r="A643" s="17" t="s">
        <v>2</v>
      </c>
      <c r="B643" s="18" t="s">
        <v>42</v>
      </c>
      <c r="C643" s="18">
        <v>4.1414956999411698</v>
      </c>
      <c r="D643" s="18">
        <v>1982</v>
      </c>
    </row>
    <row r="644" spans="1:4" ht="19.95" customHeight="1" x14ac:dyDescent="0.25">
      <c r="A644" s="17" t="s">
        <v>36</v>
      </c>
      <c r="B644" s="18" t="s">
        <v>42</v>
      </c>
      <c r="C644" s="18"/>
      <c r="D644" s="18">
        <v>1982</v>
      </c>
    </row>
    <row r="645" spans="1:4" ht="19.95" customHeight="1" x14ac:dyDescent="0.25">
      <c r="A645" s="17" t="s">
        <v>37</v>
      </c>
      <c r="B645" s="18" t="s">
        <v>42</v>
      </c>
      <c r="C645" s="18"/>
      <c r="D645" s="18">
        <v>1982</v>
      </c>
    </row>
    <row r="646" spans="1:4" ht="19.95" customHeight="1" x14ac:dyDescent="0.25">
      <c r="A646" s="17" t="s">
        <v>38</v>
      </c>
      <c r="B646" s="18" t="s">
        <v>42</v>
      </c>
      <c r="C646" s="18"/>
      <c r="D646" s="18">
        <v>1982</v>
      </c>
    </row>
    <row r="647" spans="1:4" ht="19.95" customHeight="1" x14ac:dyDescent="0.25">
      <c r="A647" s="17" t="s">
        <v>39</v>
      </c>
      <c r="B647" s="18" t="s">
        <v>42</v>
      </c>
      <c r="C647" s="18">
        <v>-2.8127826286889102</v>
      </c>
      <c r="D647" s="18">
        <v>1982</v>
      </c>
    </row>
    <row r="648" spans="1:4" ht="19.95" customHeight="1" x14ac:dyDescent="0.25">
      <c r="A648" s="17" t="s">
        <v>40</v>
      </c>
      <c r="B648" s="18" t="s">
        <v>42</v>
      </c>
      <c r="C648" s="18">
        <v>2.6342971440809899</v>
      </c>
      <c r="D648" s="18">
        <v>1982</v>
      </c>
    </row>
    <row r="649" spans="1:4" ht="19.95" customHeight="1" x14ac:dyDescent="0.25">
      <c r="A649" s="17" t="s">
        <v>10</v>
      </c>
      <c r="B649" s="18" t="s">
        <v>42</v>
      </c>
      <c r="C649" s="18">
        <v>3.7153269914313101</v>
      </c>
      <c r="D649" s="18">
        <v>1983</v>
      </c>
    </row>
    <row r="650" spans="1:4" ht="19.95" customHeight="1" x14ac:dyDescent="0.25">
      <c r="A650" s="17" t="s">
        <v>13</v>
      </c>
      <c r="B650" s="18" t="s">
        <v>42</v>
      </c>
      <c r="C650" s="18">
        <v>6.8668305661141904</v>
      </c>
      <c r="D650" s="18">
        <v>1983</v>
      </c>
    </row>
    <row r="651" spans="1:4" ht="19.95" customHeight="1" x14ac:dyDescent="0.25">
      <c r="A651" s="17" t="s">
        <v>16</v>
      </c>
      <c r="B651" s="18" t="s">
        <v>42</v>
      </c>
      <c r="C651" s="18">
        <v>15.6787177787337</v>
      </c>
      <c r="D651" s="18">
        <v>1983</v>
      </c>
    </row>
    <row r="652" spans="1:4" ht="19.95" customHeight="1" x14ac:dyDescent="0.25">
      <c r="A652" s="17" t="s">
        <v>15</v>
      </c>
      <c r="B652" s="18" t="s">
        <v>42</v>
      </c>
      <c r="C652" s="18">
        <v>4.8210279345244098</v>
      </c>
      <c r="D652" s="18">
        <v>1983</v>
      </c>
    </row>
    <row r="653" spans="1:4" ht="19.95" customHeight="1" x14ac:dyDescent="0.25">
      <c r="A653" s="17" t="s">
        <v>17</v>
      </c>
      <c r="B653" s="18" t="s">
        <v>42</v>
      </c>
      <c r="C653" s="18"/>
      <c r="D653" s="18">
        <v>1983</v>
      </c>
    </row>
    <row r="654" spans="1:4" ht="19.95" customHeight="1" x14ac:dyDescent="0.25">
      <c r="A654" s="17" t="s">
        <v>18</v>
      </c>
      <c r="B654" s="18" t="s">
        <v>42</v>
      </c>
      <c r="C654" s="18">
        <v>8.2350057184645404</v>
      </c>
      <c r="D654" s="18">
        <v>1983</v>
      </c>
    </row>
    <row r="655" spans="1:4" ht="19.95" customHeight="1" x14ac:dyDescent="0.25">
      <c r="A655" s="17" t="s">
        <v>19</v>
      </c>
      <c r="B655" s="18" t="s">
        <v>42</v>
      </c>
      <c r="C655" s="18"/>
      <c r="D655" s="18">
        <v>1983</v>
      </c>
    </row>
    <row r="656" spans="1:4" ht="19.95" customHeight="1" x14ac:dyDescent="0.25">
      <c r="A656" s="17" t="s">
        <v>20</v>
      </c>
      <c r="B656" s="18" t="s">
        <v>42</v>
      </c>
      <c r="C656" s="18"/>
      <c r="D656" s="18">
        <v>1983</v>
      </c>
    </row>
    <row r="657" spans="1:4" ht="19.95" customHeight="1" x14ac:dyDescent="0.25">
      <c r="A657" s="17" t="s">
        <v>21</v>
      </c>
      <c r="B657" s="18" t="s">
        <v>42</v>
      </c>
      <c r="C657" s="18">
        <v>1.30905024171788</v>
      </c>
      <c r="D657" s="18">
        <v>1983</v>
      </c>
    </row>
    <row r="658" spans="1:4" ht="19.95" customHeight="1" x14ac:dyDescent="0.25">
      <c r="A658" s="17" t="s">
        <v>22</v>
      </c>
      <c r="B658" s="18" t="s">
        <v>42</v>
      </c>
      <c r="C658" s="18"/>
      <c r="D658" s="18">
        <v>1983</v>
      </c>
    </row>
    <row r="659" spans="1:4" ht="19.95" customHeight="1" x14ac:dyDescent="0.25">
      <c r="A659" s="17" t="s">
        <v>23</v>
      </c>
      <c r="B659" s="18" t="s">
        <v>42</v>
      </c>
      <c r="C659" s="18">
        <v>-1.8968528152653501</v>
      </c>
      <c r="D659" s="18">
        <v>1983</v>
      </c>
    </row>
    <row r="660" spans="1:4" ht="19.95" customHeight="1" x14ac:dyDescent="0.25">
      <c r="A660" s="17" t="s">
        <v>24</v>
      </c>
      <c r="B660" s="18" t="s">
        <v>42</v>
      </c>
      <c r="C660" s="18">
        <v>0.90210631935559604</v>
      </c>
      <c r="D660" s="18">
        <v>1983</v>
      </c>
    </row>
    <row r="661" spans="1:4" ht="19.95" customHeight="1" x14ac:dyDescent="0.25">
      <c r="A661" s="17" t="s">
        <v>25</v>
      </c>
      <c r="B661" s="18" t="s">
        <v>42</v>
      </c>
      <c r="C661" s="18">
        <v>3.7187090510680298</v>
      </c>
      <c r="D661" s="18">
        <v>1983</v>
      </c>
    </row>
    <row r="662" spans="1:4" ht="19.95" customHeight="1" x14ac:dyDescent="0.25">
      <c r="A662" s="17" t="s">
        <v>26</v>
      </c>
      <c r="B662" s="18" t="s">
        <v>42</v>
      </c>
      <c r="C662" s="18">
        <v>1.8208737723150099</v>
      </c>
      <c r="D662" s="18">
        <v>1983</v>
      </c>
    </row>
    <row r="663" spans="1:4" ht="19.95" customHeight="1" x14ac:dyDescent="0.25">
      <c r="A663" s="17" t="s">
        <v>27</v>
      </c>
      <c r="B663" s="18" t="s">
        <v>42</v>
      </c>
      <c r="C663" s="18"/>
      <c r="D663" s="18">
        <v>1983</v>
      </c>
    </row>
    <row r="664" spans="1:4" ht="19.95" customHeight="1" x14ac:dyDescent="0.25">
      <c r="A664" s="17" t="s">
        <v>28</v>
      </c>
      <c r="B664" s="18" t="s">
        <v>42</v>
      </c>
      <c r="C664" s="18">
        <v>-15.7000020385832</v>
      </c>
      <c r="D664" s="18">
        <v>1983</v>
      </c>
    </row>
    <row r="665" spans="1:4" ht="19.95" customHeight="1" x14ac:dyDescent="0.25">
      <c r="A665" s="17" t="s">
        <v>29</v>
      </c>
      <c r="B665" s="18" t="s">
        <v>42</v>
      </c>
      <c r="C665" s="18">
        <v>4.3910926798879997</v>
      </c>
      <c r="D665" s="18">
        <v>1983</v>
      </c>
    </row>
    <row r="666" spans="1:4" ht="19.95" customHeight="1" x14ac:dyDescent="0.25">
      <c r="A666" s="17" t="s">
        <v>31</v>
      </c>
      <c r="B666" s="18" t="s">
        <v>42</v>
      </c>
      <c r="C666" s="18">
        <v>-2.9774058575497699</v>
      </c>
      <c r="D666" s="18">
        <v>1983</v>
      </c>
    </row>
    <row r="667" spans="1:4" ht="19.95" customHeight="1" x14ac:dyDescent="0.25">
      <c r="A667" s="17" t="s">
        <v>32</v>
      </c>
      <c r="B667" s="18" t="s">
        <v>42</v>
      </c>
      <c r="C667" s="18">
        <v>4.6132116271151897</v>
      </c>
      <c r="D667" s="18">
        <v>1983</v>
      </c>
    </row>
    <row r="668" spans="1:4" ht="19.95" customHeight="1" x14ac:dyDescent="0.25">
      <c r="A668" s="17" t="s">
        <v>33</v>
      </c>
      <c r="B668" s="18" t="s">
        <v>42</v>
      </c>
      <c r="C668" s="18">
        <v>-4.7509432292635001</v>
      </c>
      <c r="D668" s="18">
        <v>1983</v>
      </c>
    </row>
    <row r="669" spans="1:4" ht="19.95" customHeight="1" x14ac:dyDescent="0.25">
      <c r="A669" s="17" t="s">
        <v>34</v>
      </c>
      <c r="B669" s="18" t="s">
        <v>42</v>
      </c>
      <c r="C669" s="18">
        <v>5.98034993649929</v>
      </c>
      <c r="D669" s="18">
        <v>1983</v>
      </c>
    </row>
    <row r="670" spans="1:4" ht="19.95" customHeight="1" x14ac:dyDescent="0.25">
      <c r="A670" s="17" t="s">
        <v>35</v>
      </c>
      <c r="B670" s="18" t="s">
        <v>42</v>
      </c>
      <c r="C670" s="18"/>
      <c r="D670" s="18">
        <v>1983</v>
      </c>
    </row>
    <row r="671" spans="1:4" ht="19.95" customHeight="1" x14ac:dyDescent="0.25">
      <c r="A671" s="17" t="s">
        <v>2</v>
      </c>
      <c r="B671" s="18" t="s">
        <v>42</v>
      </c>
      <c r="C671" s="18">
        <v>4.8139909711313296</v>
      </c>
      <c r="D671" s="18">
        <v>1983</v>
      </c>
    </row>
    <row r="672" spans="1:4" ht="19.95" customHeight="1" x14ac:dyDescent="0.25">
      <c r="A672" s="17" t="s">
        <v>36</v>
      </c>
      <c r="B672" s="18" t="s">
        <v>42</v>
      </c>
      <c r="C672" s="18"/>
      <c r="D672" s="18">
        <v>1983</v>
      </c>
    </row>
    <row r="673" spans="1:4" ht="19.95" customHeight="1" x14ac:dyDescent="0.25">
      <c r="A673" s="17" t="s">
        <v>37</v>
      </c>
      <c r="B673" s="18" t="s">
        <v>42</v>
      </c>
      <c r="C673" s="18"/>
      <c r="D673" s="18">
        <v>1983</v>
      </c>
    </row>
    <row r="674" spans="1:4" ht="19.95" customHeight="1" x14ac:dyDescent="0.25">
      <c r="A674" s="17" t="s">
        <v>38</v>
      </c>
      <c r="B674" s="18" t="s">
        <v>42</v>
      </c>
      <c r="C674" s="18">
        <v>5.7445577086957904</v>
      </c>
      <c r="D674" s="18">
        <v>1983</v>
      </c>
    </row>
    <row r="675" spans="1:4" ht="19.95" customHeight="1" x14ac:dyDescent="0.25">
      <c r="A675" s="17" t="s">
        <v>39</v>
      </c>
      <c r="B675" s="18" t="s">
        <v>42</v>
      </c>
      <c r="C675" s="18">
        <v>-1.9666892976213399</v>
      </c>
      <c r="D675" s="18">
        <v>1983</v>
      </c>
    </row>
    <row r="676" spans="1:4" ht="19.95" customHeight="1" x14ac:dyDescent="0.25">
      <c r="A676" s="17" t="s">
        <v>40</v>
      </c>
      <c r="B676" s="18" t="s">
        <v>42</v>
      </c>
      <c r="C676" s="18">
        <v>1.5853054593915901</v>
      </c>
      <c r="D676" s="18">
        <v>1983</v>
      </c>
    </row>
    <row r="677" spans="1:4" ht="19.95" customHeight="1" x14ac:dyDescent="0.25">
      <c r="A677" s="17" t="s">
        <v>10</v>
      </c>
      <c r="B677" s="18" t="s">
        <v>42</v>
      </c>
      <c r="C677" s="18">
        <v>0.15554400481792599</v>
      </c>
      <c r="D677" s="18">
        <v>1984</v>
      </c>
    </row>
    <row r="678" spans="1:4" ht="19.95" customHeight="1" x14ac:dyDescent="0.25">
      <c r="A678" s="17" t="s">
        <v>13</v>
      </c>
      <c r="B678" s="18" t="s">
        <v>42</v>
      </c>
      <c r="C678" s="18">
        <v>7.4745725430174002</v>
      </c>
      <c r="D678" s="18">
        <v>1984</v>
      </c>
    </row>
    <row r="679" spans="1:4" ht="19.95" customHeight="1" x14ac:dyDescent="0.25">
      <c r="A679" s="17" t="s">
        <v>16</v>
      </c>
      <c r="B679" s="18" t="s">
        <v>42</v>
      </c>
      <c r="C679" s="18">
        <v>2.0488989108163098</v>
      </c>
      <c r="D679" s="18">
        <v>1984</v>
      </c>
    </row>
    <row r="680" spans="1:4" ht="19.95" customHeight="1" x14ac:dyDescent="0.25">
      <c r="A680" s="17" t="s">
        <v>15</v>
      </c>
      <c r="B680" s="18" t="s">
        <v>42</v>
      </c>
      <c r="C680" s="18">
        <v>4.1102642508020297</v>
      </c>
      <c r="D680" s="18">
        <v>1984</v>
      </c>
    </row>
    <row r="681" spans="1:4" ht="19.95" customHeight="1" x14ac:dyDescent="0.25">
      <c r="A681" s="17" t="s">
        <v>17</v>
      </c>
      <c r="B681" s="18" t="s">
        <v>42</v>
      </c>
      <c r="C681" s="18"/>
      <c r="D681" s="18">
        <v>1984</v>
      </c>
    </row>
    <row r="682" spans="1:4" ht="19.95" customHeight="1" x14ac:dyDescent="0.25">
      <c r="A682" s="17" t="s">
        <v>18</v>
      </c>
      <c r="B682" s="18" t="s">
        <v>42</v>
      </c>
      <c r="C682" s="18">
        <v>-2.8480214526401002</v>
      </c>
      <c r="D682" s="18">
        <v>1984</v>
      </c>
    </row>
    <row r="683" spans="1:4" ht="19.95" customHeight="1" x14ac:dyDescent="0.25">
      <c r="A683" s="17" t="s">
        <v>19</v>
      </c>
      <c r="B683" s="18" t="s">
        <v>42</v>
      </c>
      <c r="C683" s="18"/>
      <c r="D683" s="18">
        <v>1984</v>
      </c>
    </row>
    <row r="684" spans="1:4" ht="19.95" customHeight="1" x14ac:dyDescent="0.25">
      <c r="A684" s="17" t="s">
        <v>20</v>
      </c>
      <c r="B684" s="18" t="s">
        <v>42</v>
      </c>
      <c r="C684" s="18"/>
      <c r="D684" s="18">
        <v>1984</v>
      </c>
    </row>
    <row r="685" spans="1:4" ht="19.95" customHeight="1" x14ac:dyDescent="0.25">
      <c r="A685" s="17" t="s">
        <v>21</v>
      </c>
      <c r="B685" s="18" t="s">
        <v>42</v>
      </c>
      <c r="C685" s="18">
        <v>1.7552169769687</v>
      </c>
      <c r="D685" s="18">
        <v>1984</v>
      </c>
    </row>
    <row r="686" spans="1:4" ht="19.95" customHeight="1" x14ac:dyDescent="0.25">
      <c r="A686" s="17" t="s">
        <v>22</v>
      </c>
      <c r="B686" s="18" t="s">
        <v>42</v>
      </c>
      <c r="C686" s="18"/>
      <c r="D686" s="18">
        <v>1984</v>
      </c>
    </row>
    <row r="687" spans="1:4" ht="19.95" customHeight="1" x14ac:dyDescent="0.25">
      <c r="A687" s="17" t="s">
        <v>23</v>
      </c>
      <c r="B687" s="18" t="s">
        <v>42</v>
      </c>
      <c r="C687" s="18">
        <v>-2.1073156999200902</v>
      </c>
      <c r="D687" s="18">
        <v>1984</v>
      </c>
    </row>
    <row r="688" spans="1:4" ht="19.95" customHeight="1" x14ac:dyDescent="0.25">
      <c r="A688" s="17" t="s">
        <v>24</v>
      </c>
      <c r="B688" s="18" t="s">
        <v>42</v>
      </c>
      <c r="C688" s="18">
        <v>1.7046788407404601</v>
      </c>
      <c r="D688" s="18">
        <v>1984</v>
      </c>
    </row>
    <row r="689" spans="1:4" ht="19.95" customHeight="1" x14ac:dyDescent="0.25">
      <c r="A689" s="17" t="s">
        <v>25</v>
      </c>
      <c r="B689" s="18" t="s">
        <v>42</v>
      </c>
      <c r="C689" s="18">
        <v>5.3603040939681099</v>
      </c>
      <c r="D689" s="18">
        <v>1984</v>
      </c>
    </row>
    <row r="690" spans="1:4" ht="19.95" customHeight="1" x14ac:dyDescent="0.25">
      <c r="A690" s="17" t="s">
        <v>26</v>
      </c>
      <c r="B690" s="18" t="s">
        <v>42</v>
      </c>
      <c r="C690" s="18">
        <v>-0.28701115619664103</v>
      </c>
      <c r="D690" s="18">
        <v>1984</v>
      </c>
    </row>
    <row r="691" spans="1:4" ht="19.95" customHeight="1" x14ac:dyDescent="0.25">
      <c r="A691" s="17" t="s">
        <v>27</v>
      </c>
      <c r="B691" s="18" t="s">
        <v>42</v>
      </c>
      <c r="C691" s="18"/>
      <c r="D691" s="18">
        <v>1984</v>
      </c>
    </row>
    <row r="692" spans="1:4" ht="19.95" customHeight="1" x14ac:dyDescent="0.25">
      <c r="A692" s="17" t="s">
        <v>28</v>
      </c>
      <c r="B692" s="18" t="s">
        <v>42</v>
      </c>
      <c r="C692" s="18">
        <v>-6.4999998798460004</v>
      </c>
      <c r="D692" s="18">
        <v>1984</v>
      </c>
    </row>
    <row r="693" spans="1:4" ht="19.95" customHeight="1" x14ac:dyDescent="0.25">
      <c r="A693" s="17" t="s">
        <v>29</v>
      </c>
      <c r="B693" s="18" t="s">
        <v>42</v>
      </c>
      <c r="C693" s="18">
        <v>4.9327280261805804</v>
      </c>
      <c r="D693" s="18">
        <v>1984</v>
      </c>
    </row>
    <row r="694" spans="1:4" ht="19.95" customHeight="1" x14ac:dyDescent="0.25">
      <c r="A694" s="17" t="s">
        <v>31</v>
      </c>
      <c r="B694" s="18" t="s">
        <v>42</v>
      </c>
      <c r="C694" s="18">
        <v>9.6811300152306394</v>
      </c>
      <c r="D694" s="18">
        <v>1984</v>
      </c>
    </row>
    <row r="695" spans="1:4" ht="19.95" customHeight="1" x14ac:dyDescent="0.25">
      <c r="A695" s="17" t="s">
        <v>32</v>
      </c>
      <c r="B695" s="18" t="s">
        <v>42</v>
      </c>
      <c r="C695" s="18">
        <v>-1.5660939128598701</v>
      </c>
      <c r="D695" s="18">
        <v>1984</v>
      </c>
    </row>
    <row r="696" spans="1:4" ht="19.95" customHeight="1" x14ac:dyDescent="0.25">
      <c r="A696" s="17" t="s">
        <v>33</v>
      </c>
      <c r="B696" s="18" t="s">
        <v>42</v>
      </c>
      <c r="C696" s="18">
        <v>-16.825354995541801</v>
      </c>
      <c r="D696" s="18">
        <v>1984</v>
      </c>
    </row>
    <row r="697" spans="1:4" ht="19.95" customHeight="1" x14ac:dyDescent="0.25">
      <c r="A697" s="17" t="s">
        <v>34</v>
      </c>
      <c r="B697" s="18" t="s">
        <v>42</v>
      </c>
      <c r="C697" s="18">
        <v>-4.2407732807182903</v>
      </c>
      <c r="D697" s="18">
        <v>1984</v>
      </c>
    </row>
    <row r="698" spans="1:4" ht="19.95" customHeight="1" x14ac:dyDescent="0.25">
      <c r="A698" s="17" t="s">
        <v>35</v>
      </c>
      <c r="B698" s="18" t="s">
        <v>42</v>
      </c>
      <c r="C698" s="18"/>
      <c r="D698" s="18">
        <v>1984</v>
      </c>
    </row>
    <row r="699" spans="1:4" ht="19.95" customHeight="1" x14ac:dyDescent="0.25">
      <c r="A699" s="17" t="s">
        <v>2</v>
      </c>
      <c r="B699" s="18" t="s">
        <v>42</v>
      </c>
      <c r="C699" s="18">
        <v>5.0991465605861199</v>
      </c>
      <c r="D699" s="18">
        <v>1984</v>
      </c>
    </row>
    <row r="700" spans="1:4" ht="19.95" customHeight="1" x14ac:dyDescent="0.25">
      <c r="A700" s="17" t="s">
        <v>36</v>
      </c>
      <c r="B700" s="18" t="s">
        <v>42</v>
      </c>
      <c r="C700" s="18"/>
      <c r="D700" s="18">
        <v>1984</v>
      </c>
    </row>
    <row r="701" spans="1:4" ht="19.95" customHeight="1" x14ac:dyDescent="0.25">
      <c r="A701" s="17" t="s">
        <v>37</v>
      </c>
      <c r="B701" s="18" t="s">
        <v>42</v>
      </c>
      <c r="C701" s="18"/>
      <c r="D701" s="18">
        <v>1984</v>
      </c>
    </row>
    <row r="702" spans="1:4" ht="19.95" customHeight="1" x14ac:dyDescent="0.25">
      <c r="A702" s="17" t="s">
        <v>38</v>
      </c>
      <c r="B702" s="18" t="s">
        <v>42</v>
      </c>
      <c r="C702" s="18">
        <v>-0.34467668060891299</v>
      </c>
      <c r="D702" s="18">
        <v>1984</v>
      </c>
    </row>
    <row r="703" spans="1:4" ht="19.95" customHeight="1" x14ac:dyDescent="0.25">
      <c r="A703" s="17" t="s">
        <v>39</v>
      </c>
      <c r="B703" s="18" t="s">
        <v>42</v>
      </c>
      <c r="C703" s="18">
        <v>-0.336834899256019</v>
      </c>
      <c r="D703" s="18">
        <v>1984</v>
      </c>
    </row>
    <row r="704" spans="1:4" ht="19.95" customHeight="1" x14ac:dyDescent="0.25">
      <c r="A704" s="17" t="s">
        <v>40</v>
      </c>
      <c r="B704" s="18" t="s">
        <v>42</v>
      </c>
      <c r="C704" s="18">
        <v>-1.90736010746745</v>
      </c>
      <c r="D704" s="18">
        <v>1984</v>
      </c>
    </row>
    <row r="705" spans="1:4" ht="19.95" customHeight="1" x14ac:dyDescent="0.25">
      <c r="A705" s="17" t="s">
        <v>10</v>
      </c>
      <c r="B705" s="18" t="s">
        <v>42</v>
      </c>
      <c r="C705" s="18">
        <v>11.7831801831472</v>
      </c>
      <c r="D705" s="18">
        <v>1985</v>
      </c>
    </row>
    <row r="706" spans="1:4" ht="19.95" customHeight="1" x14ac:dyDescent="0.25">
      <c r="A706" s="17" t="s">
        <v>13</v>
      </c>
      <c r="B706" s="18" t="s">
        <v>42</v>
      </c>
      <c r="C706" s="18">
        <v>8.0631616718715993</v>
      </c>
      <c r="D706" s="18">
        <v>1985</v>
      </c>
    </row>
    <row r="707" spans="1:4" ht="19.95" customHeight="1" x14ac:dyDescent="0.25">
      <c r="A707" s="17" t="s">
        <v>16</v>
      </c>
      <c r="B707" s="18" t="s">
        <v>42</v>
      </c>
      <c r="C707" s="18">
        <v>21.792773530392001</v>
      </c>
      <c r="D707" s="18">
        <v>1985</v>
      </c>
    </row>
    <row r="708" spans="1:4" ht="19.95" customHeight="1" x14ac:dyDescent="0.25">
      <c r="A708" s="17" t="s">
        <v>15</v>
      </c>
      <c r="B708" s="18" t="s">
        <v>42</v>
      </c>
      <c r="C708" s="18">
        <v>2.28037187393622</v>
      </c>
      <c r="D708" s="18">
        <v>1985</v>
      </c>
    </row>
    <row r="709" spans="1:4" ht="19.95" customHeight="1" x14ac:dyDescent="0.25">
      <c r="A709" s="17" t="s">
        <v>17</v>
      </c>
      <c r="B709" s="18" t="s">
        <v>42</v>
      </c>
      <c r="C709" s="18"/>
      <c r="D709" s="18">
        <v>1985</v>
      </c>
    </row>
    <row r="710" spans="1:4" ht="19.95" customHeight="1" x14ac:dyDescent="0.25">
      <c r="A710" s="17" t="s">
        <v>18</v>
      </c>
      <c r="B710" s="18" t="s">
        <v>42</v>
      </c>
      <c r="C710" s="18">
        <v>-11.144352977637899</v>
      </c>
      <c r="D710" s="18">
        <v>1985</v>
      </c>
    </row>
    <row r="711" spans="1:4" ht="19.95" customHeight="1" x14ac:dyDescent="0.25">
      <c r="A711" s="17" t="s">
        <v>19</v>
      </c>
      <c r="B711" s="18" t="s">
        <v>42</v>
      </c>
      <c r="C711" s="18"/>
      <c r="D711" s="18">
        <v>1985</v>
      </c>
    </row>
    <row r="712" spans="1:4" ht="19.95" customHeight="1" x14ac:dyDescent="0.25">
      <c r="A712" s="17" t="s">
        <v>20</v>
      </c>
      <c r="B712" s="18" t="s">
        <v>42</v>
      </c>
      <c r="C712" s="18"/>
      <c r="D712" s="18">
        <v>1985</v>
      </c>
    </row>
    <row r="713" spans="1:4" ht="19.95" customHeight="1" x14ac:dyDescent="0.25">
      <c r="A713" s="17" t="s">
        <v>21</v>
      </c>
      <c r="B713" s="18" t="s">
        <v>42</v>
      </c>
      <c r="C713" s="18">
        <v>4.3005618195017101</v>
      </c>
      <c r="D713" s="18">
        <v>1985</v>
      </c>
    </row>
    <row r="714" spans="1:4" ht="19.95" customHeight="1" x14ac:dyDescent="0.25">
      <c r="A714" s="17" t="s">
        <v>22</v>
      </c>
      <c r="B714" s="18" t="s">
        <v>42</v>
      </c>
      <c r="C714" s="18"/>
      <c r="D714" s="18">
        <v>1985</v>
      </c>
    </row>
    <row r="715" spans="1:4" ht="19.95" customHeight="1" x14ac:dyDescent="0.25">
      <c r="A715" s="17" t="s">
        <v>23</v>
      </c>
      <c r="B715" s="18" t="s">
        <v>42</v>
      </c>
      <c r="C715" s="18">
        <v>-0.84331815944257504</v>
      </c>
      <c r="D715" s="18">
        <v>1985</v>
      </c>
    </row>
    <row r="716" spans="1:4" ht="19.95" customHeight="1" x14ac:dyDescent="0.25">
      <c r="A716" s="17" t="s">
        <v>24</v>
      </c>
      <c r="B716" s="18" t="s">
        <v>42</v>
      </c>
      <c r="C716" s="18">
        <v>1.15587716429373</v>
      </c>
      <c r="D716" s="18">
        <v>1985</v>
      </c>
    </row>
    <row r="717" spans="1:4" ht="19.95" customHeight="1" x14ac:dyDescent="0.25">
      <c r="A717" s="17" t="s">
        <v>25</v>
      </c>
      <c r="B717" s="18" t="s">
        <v>42</v>
      </c>
      <c r="C717" s="18">
        <v>4.5709823019014504</v>
      </c>
      <c r="D717" s="18">
        <v>1985</v>
      </c>
    </row>
    <row r="718" spans="1:4" ht="19.95" customHeight="1" x14ac:dyDescent="0.25">
      <c r="A718" s="17" t="s">
        <v>26</v>
      </c>
      <c r="B718" s="18" t="s">
        <v>42</v>
      </c>
      <c r="C718" s="18">
        <v>20.2866349407131</v>
      </c>
      <c r="D718" s="18">
        <v>1985</v>
      </c>
    </row>
    <row r="719" spans="1:4" ht="19.95" customHeight="1" x14ac:dyDescent="0.25">
      <c r="A719" s="17" t="s">
        <v>27</v>
      </c>
      <c r="B719" s="18" t="s">
        <v>42</v>
      </c>
      <c r="C719" s="18"/>
      <c r="D719" s="18">
        <v>1985</v>
      </c>
    </row>
    <row r="720" spans="1:4" ht="19.95" customHeight="1" x14ac:dyDescent="0.25">
      <c r="A720" s="17" t="s">
        <v>28</v>
      </c>
      <c r="B720" s="18" t="s">
        <v>42</v>
      </c>
      <c r="C720" s="18">
        <v>0.99999672079451296</v>
      </c>
      <c r="D720" s="18">
        <v>1985</v>
      </c>
    </row>
    <row r="721" spans="1:4" ht="19.95" customHeight="1" x14ac:dyDescent="0.25">
      <c r="A721" s="17" t="s">
        <v>29</v>
      </c>
      <c r="B721" s="18" t="s">
        <v>42</v>
      </c>
      <c r="C721" s="18">
        <v>2.8510002386845201</v>
      </c>
      <c r="D721" s="18">
        <v>1985</v>
      </c>
    </row>
    <row r="722" spans="1:4" ht="19.95" customHeight="1" x14ac:dyDescent="0.25">
      <c r="A722" s="17" t="s">
        <v>31</v>
      </c>
      <c r="B722" s="18" t="s">
        <v>42</v>
      </c>
      <c r="C722" s="18">
        <v>6.1449052381674303</v>
      </c>
      <c r="D722" s="18">
        <v>1985</v>
      </c>
    </row>
    <row r="723" spans="1:4" ht="19.95" customHeight="1" x14ac:dyDescent="0.25">
      <c r="A723" s="17" t="s">
        <v>32</v>
      </c>
      <c r="B723" s="18" t="s">
        <v>42</v>
      </c>
      <c r="C723" s="18">
        <v>-4.0818514878027399</v>
      </c>
      <c r="D723" s="18">
        <v>1985</v>
      </c>
    </row>
    <row r="724" spans="1:4" ht="19.95" customHeight="1" x14ac:dyDescent="0.25">
      <c r="A724" s="17" t="s">
        <v>33</v>
      </c>
      <c r="B724" s="18" t="s">
        <v>42</v>
      </c>
      <c r="C724" s="18">
        <v>7.7225438843204302</v>
      </c>
      <c r="D724" s="18">
        <v>1985</v>
      </c>
    </row>
    <row r="725" spans="1:4" ht="19.95" customHeight="1" x14ac:dyDescent="0.25">
      <c r="A725" s="17" t="s">
        <v>34</v>
      </c>
      <c r="B725" s="18" t="s">
        <v>42</v>
      </c>
      <c r="C725" s="18">
        <v>4.40274833640078</v>
      </c>
      <c r="D725" s="18">
        <v>1985</v>
      </c>
    </row>
    <row r="726" spans="1:4" ht="19.95" customHeight="1" x14ac:dyDescent="0.25">
      <c r="A726" s="17" t="s">
        <v>35</v>
      </c>
      <c r="B726" s="18" t="s">
        <v>42</v>
      </c>
      <c r="C726" s="18"/>
      <c r="D726" s="18">
        <v>1985</v>
      </c>
    </row>
    <row r="727" spans="1:4" ht="19.95" customHeight="1" x14ac:dyDescent="0.25">
      <c r="A727" s="17" t="s">
        <v>2</v>
      </c>
      <c r="B727" s="18" t="s">
        <v>42</v>
      </c>
      <c r="C727" s="18">
        <v>4.9994063691549302</v>
      </c>
      <c r="D727" s="18">
        <v>1985</v>
      </c>
    </row>
    <row r="728" spans="1:4" ht="19.95" customHeight="1" x14ac:dyDescent="0.25">
      <c r="A728" s="17" t="s">
        <v>36</v>
      </c>
      <c r="B728" s="18" t="s">
        <v>42</v>
      </c>
      <c r="C728" s="18"/>
      <c r="D728" s="18">
        <v>1985</v>
      </c>
    </row>
    <row r="729" spans="1:4" ht="19.95" customHeight="1" x14ac:dyDescent="0.25">
      <c r="A729" s="17" t="s">
        <v>37</v>
      </c>
      <c r="B729" s="18" t="s">
        <v>42</v>
      </c>
      <c r="C729" s="18"/>
      <c r="D729" s="18">
        <v>1985</v>
      </c>
    </row>
    <row r="730" spans="1:4" ht="19.95" customHeight="1" x14ac:dyDescent="0.25">
      <c r="A730" s="17" t="s">
        <v>38</v>
      </c>
      <c r="B730" s="18" t="s">
        <v>42</v>
      </c>
      <c r="C730" s="18">
        <v>-3.3063800034302302</v>
      </c>
      <c r="D730" s="18">
        <v>1985</v>
      </c>
    </row>
    <row r="731" spans="1:4" ht="19.95" customHeight="1" x14ac:dyDescent="0.25">
      <c r="A731" s="17" t="s">
        <v>39</v>
      </c>
      <c r="B731" s="18" t="s">
        <v>42</v>
      </c>
      <c r="C731" s="18">
        <v>1.61531036759311</v>
      </c>
      <c r="D731" s="18">
        <v>1985</v>
      </c>
    </row>
    <row r="732" spans="1:4" ht="19.95" customHeight="1" x14ac:dyDescent="0.25">
      <c r="A732" s="17" t="s">
        <v>40</v>
      </c>
      <c r="B732" s="18" t="s">
        <v>42</v>
      </c>
      <c r="C732" s="18">
        <v>6.9443877657105197</v>
      </c>
      <c r="D732" s="18">
        <v>1985</v>
      </c>
    </row>
    <row r="733" spans="1:4" ht="19.95" customHeight="1" x14ac:dyDescent="0.25">
      <c r="A733" s="17" t="s">
        <v>10</v>
      </c>
      <c r="B733" s="18" t="s">
        <v>42</v>
      </c>
      <c r="C733" s="18">
        <v>3.25018045829925</v>
      </c>
      <c r="D733" s="18">
        <v>1986</v>
      </c>
    </row>
    <row r="734" spans="1:4" ht="19.95" customHeight="1" x14ac:dyDescent="0.25">
      <c r="A734" s="17" t="s">
        <v>13</v>
      </c>
      <c r="B734" s="18" t="s">
        <v>42</v>
      </c>
      <c r="C734" s="18">
        <v>6.77166308049779</v>
      </c>
      <c r="D734" s="18">
        <v>1986</v>
      </c>
    </row>
    <row r="735" spans="1:4" ht="19.95" customHeight="1" x14ac:dyDescent="0.25">
      <c r="A735" s="17" t="s">
        <v>16</v>
      </c>
      <c r="B735" s="18" t="s">
        <v>42</v>
      </c>
      <c r="C735" s="18">
        <v>-4.0816675172733596</v>
      </c>
      <c r="D735" s="18">
        <v>1986</v>
      </c>
    </row>
    <row r="736" spans="1:4" ht="19.95" customHeight="1" x14ac:dyDescent="0.25">
      <c r="A736" s="17" t="s">
        <v>15</v>
      </c>
      <c r="B736" s="18" t="s">
        <v>42</v>
      </c>
      <c r="C736" s="18">
        <v>1.8672117637174499</v>
      </c>
      <c r="D736" s="18">
        <v>1986</v>
      </c>
    </row>
    <row r="737" spans="1:4" ht="19.95" customHeight="1" x14ac:dyDescent="0.25">
      <c r="A737" s="17" t="s">
        <v>17</v>
      </c>
      <c r="B737" s="18" t="s">
        <v>42</v>
      </c>
      <c r="C737" s="18"/>
      <c r="D737" s="18">
        <v>1986</v>
      </c>
    </row>
    <row r="738" spans="1:4" ht="19.95" customHeight="1" x14ac:dyDescent="0.25">
      <c r="A738" s="17" t="s">
        <v>18</v>
      </c>
      <c r="B738" s="18" t="s">
        <v>42</v>
      </c>
      <c r="C738" s="18">
        <v>9.6616123592666092</v>
      </c>
      <c r="D738" s="18">
        <v>1986</v>
      </c>
    </row>
    <row r="739" spans="1:4" ht="19.95" customHeight="1" x14ac:dyDescent="0.25">
      <c r="A739" s="17" t="s">
        <v>19</v>
      </c>
      <c r="B739" s="18" t="s">
        <v>42</v>
      </c>
      <c r="C739" s="18"/>
      <c r="D739" s="18">
        <v>1986</v>
      </c>
    </row>
    <row r="740" spans="1:4" ht="19.95" customHeight="1" x14ac:dyDescent="0.25">
      <c r="A740" s="17" t="s">
        <v>20</v>
      </c>
      <c r="B740" s="18" t="s">
        <v>42</v>
      </c>
      <c r="C740" s="18"/>
      <c r="D740" s="18">
        <v>1986</v>
      </c>
    </row>
    <row r="741" spans="1:4" ht="19.95" customHeight="1" x14ac:dyDescent="0.25">
      <c r="A741" s="17" t="s">
        <v>21</v>
      </c>
      <c r="B741" s="18" t="s">
        <v>42</v>
      </c>
      <c r="C741" s="18">
        <v>7.17755539087368</v>
      </c>
      <c r="D741" s="18">
        <v>1986</v>
      </c>
    </row>
    <row r="742" spans="1:4" ht="19.95" customHeight="1" x14ac:dyDescent="0.25">
      <c r="A742" s="17" t="s">
        <v>22</v>
      </c>
      <c r="B742" s="18" t="s">
        <v>42</v>
      </c>
      <c r="C742" s="18"/>
      <c r="D742" s="18">
        <v>1986</v>
      </c>
    </row>
    <row r="743" spans="1:4" ht="19.95" customHeight="1" x14ac:dyDescent="0.25">
      <c r="A743" s="17" t="s">
        <v>23</v>
      </c>
      <c r="B743" s="18" t="s">
        <v>42</v>
      </c>
      <c r="C743" s="18">
        <v>-1.6785981002684001</v>
      </c>
      <c r="D743" s="18">
        <v>1986</v>
      </c>
    </row>
    <row r="744" spans="1:4" ht="19.95" customHeight="1" x14ac:dyDescent="0.25">
      <c r="A744" s="17" t="s">
        <v>24</v>
      </c>
      <c r="B744" s="18" t="s">
        <v>42</v>
      </c>
      <c r="C744" s="18">
        <v>1.9591057679615</v>
      </c>
      <c r="D744" s="18">
        <v>1986</v>
      </c>
    </row>
    <row r="745" spans="1:4" ht="19.95" customHeight="1" x14ac:dyDescent="0.25">
      <c r="A745" s="17" t="s">
        <v>25</v>
      </c>
      <c r="B745" s="18" t="s">
        <v>42</v>
      </c>
      <c r="C745" s="18">
        <v>-0.21480251787333801</v>
      </c>
      <c r="D745" s="18">
        <v>1986</v>
      </c>
    </row>
    <row r="746" spans="1:4" ht="19.95" customHeight="1" x14ac:dyDescent="0.25">
      <c r="A746" s="17" t="s">
        <v>26</v>
      </c>
      <c r="B746" s="18" t="s">
        <v>42</v>
      </c>
      <c r="C746" s="18">
        <v>2.6926208809456802</v>
      </c>
      <c r="D746" s="18">
        <v>1986</v>
      </c>
    </row>
    <row r="747" spans="1:4" ht="19.95" customHeight="1" x14ac:dyDescent="0.25">
      <c r="A747" s="17" t="s">
        <v>27</v>
      </c>
      <c r="B747" s="18" t="s">
        <v>42</v>
      </c>
      <c r="C747" s="18"/>
      <c r="D747" s="18">
        <v>1986</v>
      </c>
    </row>
    <row r="748" spans="1:4" ht="19.95" customHeight="1" x14ac:dyDescent="0.25">
      <c r="A748" s="17" t="s">
        <v>28</v>
      </c>
      <c r="B748" s="18" t="s">
        <v>42</v>
      </c>
      <c r="C748" s="18">
        <v>-2.29999602631008</v>
      </c>
      <c r="D748" s="18">
        <v>1986</v>
      </c>
    </row>
    <row r="749" spans="1:4" ht="19.95" customHeight="1" x14ac:dyDescent="0.25">
      <c r="A749" s="17" t="s">
        <v>29</v>
      </c>
      <c r="B749" s="18" t="s">
        <v>42</v>
      </c>
      <c r="C749" s="18">
        <v>-1.05734875698275</v>
      </c>
      <c r="D749" s="18">
        <v>1986</v>
      </c>
    </row>
    <row r="750" spans="1:4" ht="19.95" customHeight="1" x14ac:dyDescent="0.25">
      <c r="A750" s="17" t="s">
        <v>31</v>
      </c>
      <c r="B750" s="18" t="s">
        <v>42</v>
      </c>
      <c r="C750" s="18">
        <v>4.5656505452221596</v>
      </c>
      <c r="D750" s="18">
        <v>1986</v>
      </c>
    </row>
    <row r="751" spans="1:4" ht="19.95" customHeight="1" x14ac:dyDescent="0.25">
      <c r="A751" s="17" t="s">
        <v>32</v>
      </c>
      <c r="B751" s="18" t="s">
        <v>42</v>
      </c>
      <c r="C751" s="18">
        <v>-1.0173091613721099</v>
      </c>
      <c r="D751" s="18">
        <v>1986</v>
      </c>
    </row>
    <row r="752" spans="1:4" ht="19.95" customHeight="1" x14ac:dyDescent="0.25">
      <c r="A752" s="17" t="s">
        <v>33</v>
      </c>
      <c r="B752" s="18" t="s">
        <v>42</v>
      </c>
      <c r="C752" s="18">
        <v>6.360026804646</v>
      </c>
      <c r="D752" s="18">
        <v>1986</v>
      </c>
    </row>
    <row r="753" spans="1:4" ht="19.95" customHeight="1" x14ac:dyDescent="0.25">
      <c r="A753" s="17" t="s">
        <v>34</v>
      </c>
      <c r="B753" s="18" t="s">
        <v>42</v>
      </c>
      <c r="C753" s="18">
        <v>5.4721374858561402</v>
      </c>
      <c r="D753" s="18">
        <v>1986</v>
      </c>
    </row>
    <row r="754" spans="1:4" ht="19.95" customHeight="1" x14ac:dyDescent="0.25">
      <c r="A754" s="17" t="s">
        <v>35</v>
      </c>
      <c r="B754" s="18" t="s">
        <v>42</v>
      </c>
      <c r="C754" s="18"/>
      <c r="D754" s="18">
        <v>1986</v>
      </c>
    </row>
    <row r="755" spans="1:4" ht="19.95" customHeight="1" x14ac:dyDescent="0.25">
      <c r="A755" s="17" t="s">
        <v>2</v>
      </c>
      <c r="B755" s="18" t="s">
        <v>42</v>
      </c>
      <c r="C755" s="18">
        <v>4.3555469169942</v>
      </c>
      <c r="D755" s="18">
        <v>1986</v>
      </c>
    </row>
    <row r="756" spans="1:4" ht="19.95" customHeight="1" x14ac:dyDescent="0.25">
      <c r="A756" s="17" t="s">
        <v>36</v>
      </c>
      <c r="B756" s="18" t="s">
        <v>42</v>
      </c>
      <c r="C756" s="18">
        <v>3.4999998730957702</v>
      </c>
      <c r="D756" s="18">
        <v>1986</v>
      </c>
    </row>
    <row r="757" spans="1:4" ht="19.95" customHeight="1" x14ac:dyDescent="0.25">
      <c r="A757" s="17" t="s">
        <v>37</v>
      </c>
      <c r="B757" s="18" t="s">
        <v>42</v>
      </c>
      <c r="C757" s="18"/>
      <c r="D757" s="18">
        <v>1986</v>
      </c>
    </row>
    <row r="758" spans="1:4" ht="19.95" customHeight="1" x14ac:dyDescent="0.25">
      <c r="A758" s="17" t="s">
        <v>38</v>
      </c>
      <c r="B758" s="18" t="s">
        <v>42</v>
      </c>
      <c r="C758" s="18">
        <v>0.390086945692531</v>
      </c>
      <c r="D758" s="18">
        <v>1986</v>
      </c>
    </row>
    <row r="759" spans="1:4" ht="19.95" customHeight="1" x14ac:dyDescent="0.25">
      <c r="A759" s="17" t="s">
        <v>39</v>
      </c>
      <c r="B759" s="18" t="s">
        <v>42</v>
      </c>
      <c r="C759" s="18">
        <v>0.72389395592391304</v>
      </c>
      <c r="D759" s="18">
        <v>1986</v>
      </c>
    </row>
    <row r="760" spans="1:4" ht="19.95" customHeight="1" x14ac:dyDescent="0.25">
      <c r="A760" s="17" t="s">
        <v>40</v>
      </c>
      <c r="B760" s="18" t="s">
        <v>42</v>
      </c>
      <c r="C760" s="18">
        <v>2.0990291289549399</v>
      </c>
      <c r="D760" s="18">
        <v>1986</v>
      </c>
    </row>
    <row r="761" spans="1:4" ht="19.95" customHeight="1" x14ac:dyDescent="0.25">
      <c r="A761" s="17" t="s">
        <v>10</v>
      </c>
      <c r="B761" s="18" t="s">
        <v>42</v>
      </c>
      <c r="C761" s="18">
        <v>5.5030961188439003</v>
      </c>
      <c r="D761" s="18">
        <v>1987</v>
      </c>
    </row>
    <row r="762" spans="1:4" ht="19.95" customHeight="1" x14ac:dyDescent="0.25">
      <c r="A762" s="17" t="s">
        <v>13</v>
      </c>
      <c r="B762" s="18" t="s">
        <v>42</v>
      </c>
      <c r="C762" s="18">
        <v>-2.1466502119192099</v>
      </c>
      <c r="D762" s="18">
        <v>1987</v>
      </c>
    </row>
    <row r="763" spans="1:4" ht="19.95" customHeight="1" x14ac:dyDescent="0.25">
      <c r="A763" s="17" t="s">
        <v>16</v>
      </c>
      <c r="B763" s="18" t="s">
        <v>42</v>
      </c>
      <c r="C763" s="18">
        <v>-2.3888084973240402</v>
      </c>
      <c r="D763" s="18">
        <v>1987</v>
      </c>
    </row>
    <row r="764" spans="1:4" ht="19.95" customHeight="1" x14ac:dyDescent="0.25">
      <c r="A764" s="17" t="s">
        <v>15</v>
      </c>
      <c r="B764" s="18" t="s">
        <v>42</v>
      </c>
      <c r="C764" s="18">
        <v>1.63799109676586</v>
      </c>
      <c r="D764" s="18">
        <v>1987</v>
      </c>
    </row>
    <row r="765" spans="1:4" ht="19.95" customHeight="1" x14ac:dyDescent="0.25">
      <c r="A765" s="17" t="s">
        <v>17</v>
      </c>
      <c r="B765" s="18" t="s">
        <v>42</v>
      </c>
      <c r="C765" s="18"/>
      <c r="D765" s="18">
        <v>1987</v>
      </c>
    </row>
    <row r="766" spans="1:4" ht="19.95" customHeight="1" x14ac:dyDescent="0.25">
      <c r="A766" s="17" t="s">
        <v>18</v>
      </c>
      <c r="B766" s="18" t="s">
        <v>42</v>
      </c>
      <c r="C766" s="18">
        <v>13.859330396653</v>
      </c>
      <c r="D766" s="18">
        <v>1987</v>
      </c>
    </row>
    <row r="767" spans="1:4" ht="19.95" customHeight="1" x14ac:dyDescent="0.25">
      <c r="A767" s="17" t="s">
        <v>19</v>
      </c>
      <c r="B767" s="18" t="s">
        <v>42</v>
      </c>
      <c r="C767" s="18">
        <v>3.2999388454758098</v>
      </c>
      <c r="D767" s="18">
        <v>1987</v>
      </c>
    </row>
    <row r="768" spans="1:4" ht="19.95" customHeight="1" x14ac:dyDescent="0.25">
      <c r="A768" s="17" t="s">
        <v>20</v>
      </c>
      <c r="B768" s="18" t="s">
        <v>42</v>
      </c>
      <c r="C768" s="18"/>
      <c r="D768" s="18">
        <v>1987</v>
      </c>
    </row>
    <row r="769" spans="1:4" ht="19.95" customHeight="1" x14ac:dyDescent="0.25">
      <c r="A769" s="17" t="s">
        <v>21</v>
      </c>
      <c r="B769" s="18" t="s">
        <v>42</v>
      </c>
      <c r="C769" s="18">
        <v>5.9371074461072801</v>
      </c>
      <c r="D769" s="18">
        <v>1987</v>
      </c>
    </row>
    <row r="770" spans="1:4" ht="19.95" customHeight="1" x14ac:dyDescent="0.25">
      <c r="A770" s="17" t="s">
        <v>22</v>
      </c>
      <c r="B770" s="18" t="s">
        <v>42</v>
      </c>
      <c r="C770" s="18"/>
      <c r="D770" s="18">
        <v>1987</v>
      </c>
    </row>
    <row r="771" spans="1:4" ht="19.95" customHeight="1" x14ac:dyDescent="0.25">
      <c r="A771" s="17" t="s">
        <v>23</v>
      </c>
      <c r="B771" s="18" t="s">
        <v>42</v>
      </c>
      <c r="C771" s="18">
        <v>-1.00160075318946</v>
      </c>
      <c r="D771" s="18">
        <v>1987</v>
      </c>
    </row>
    <row r="772" spans="1:4" ht="19.95" customHeight="1" x14ac:dyDescent="0.25">
      <c r="A772" s="17" t="s">
        <v>24</v>
      </c>
      <c r="B772" s="18" t="s">
        <v>42</v>
      </c>
      <c r="C772" s="18">
        <v>1.1780855188710599</v>
      </c>
      <c r="D772" s="18">
        <v>1987</v>
      </c>
    </row>
    <row r="773" spans="1:4" ht="19.95" customHeight="1" x14ac:dyDescent="0.25">
      <c r="A773" s="17" t="s">
        <v>25</v>
      </c>
      <c r="B773" s="18" t="s">
        <v>42</v>
      </c>
      <c r="C773" s="18">
        <v>1.6252391823554899</v>
      </c>
      <c r="D773" s="18">
        <v>1987</v>
      </c>
    </row>
    <row r="774" spans="1:4" ht="19.95" customHeight="1" x14ac:dyDescent="0.25">
      <c r="A774" s="17" t="s">
        <v>26</v>
      </c>
      <c r="B774" s="18" t="s">
        <v>42</v>
      </c>
      <c r="C774" s="18">
        <v>-0.13916428907798201</v>
      </c>
      <c r="D774" s="18">
        <v>1987</v>
      </c>
    </row>
    <row r="775" spans="1:4" ht="19.95" customHeight="1" x14ac:dyDescent="0.25">
      <c r="A775" s="17" t="s">
        <v>27</v>
      </c>
      <c r="B775" s="18" t="s">
        <v>42</v>
      </c>
      <c r="C775" s="18"/>
      <c r="D775" s="18">
        <v>1987</v>
      </c>
    </row>
    <row r="776" spans="1:4" ht="19.95" customHeight="1" x14ac:dyDescent="0.25">
      <c r="A776" s="17" t="s">
        <v>28</v>
      </c>
      <c r="B776" s="18" t="s">
        <v>42</v>
      </c>
      <c r="C776" s="18">
        <v>14.700000422831501</v>
      </c>
      <c r="D776" s="18">
        <v>1987</v>
      </c>
    </row>
    <row r="777" spans="1:4" ht="19.95" customHeight="1" x14ac:dyDescent="0.25">
      <c r="A777" s="17" t="s">
        <v>29</v>
      </c>
      <c r="B777" s="18" t="s">
        <v>42</v>
      </c>
      <c r="C777" s="18">
        <v>-4.0056317860644404</v>
      </c>
      <c r="D777" s="18">
        <v>1987</v>
      </c>
    </row>
    <row r="778" spans="1:4" ht="19.95" customHeight="1" x14ac:dyDescent="0.25">
      <c r="A778" s="17" t="s">
        <v>31</v>
      </c>
      <c r="B778" s="18" t="s">
        <v>42</v>
      </c>
      <c r="C778" s="18">
        <v>1.69561826463837</v>
      </c>
      <c r="D778" s="18">
        <v>1987</v>
      </c>
    </row>
    <row r="779" spans="1:4" ht="19.95" customHeight="1" x14ac:dyDescent="0.25">
      <c r="A779" s="17" t="s">
        <v>32</v>
      </c>
      <c r="B779" s="18" t="s">
        <v>42</v>
      </c>
      <c r="C779" s="18">
        <v>-0.70635294117637704</v>
      </c>
      <c r="D779" s="18">
        <v>1987</v>
      </c>
    </row>
    <row r="780" spans="1:4" ht="19.95" customHeight="1" x14ac:dyDescent="0.25">
      <c r="A780" s="17" t="s">
        <v>33</v>
      </c>
      <c r="B780" s="18" t="s">
        <v>42</v>
      </c>
      <c r="C780" s="18">
        <v>7.4556245189015199E-2</v>
      </c>
      <c r="D780" s="18">
        <v>1987</v>
      </c>
    </row>
    <row r="781" spans="1:4" ht="19.95" customHeight="1" x14ac:dyDescent="0.25">
      <c r="A781" s="17" t="s">
        <v>34</v>
      </c>
      <c r="B781" s="18" t="s">
        <v>42</v>
      </c>
      <c r="C781" s="18">
        <v>-2.4036107500464299E-2</v>
      </c>
      <c r="D781" s="18">
        <v>1987</v>
      </c>
    </row>
    <row r="782" spans="1:4" ht="19.95" customHeight="1" x14ac:dyDescent="0.25">
      <c r="A782" s="17" t="s">
        <v>35</v>
      </c>
      <c r="B782" s="18" t="s">
        <v>42</v>
      </c>
      <c r="C782" s="18"/>
      <c r="D782" s="18">
        <v>1987</v>
      </c>
    </row>
    <row r="783" spans="1:4" ht="19.95" customHeight="1" x14ac:dyDescent="0.25">
      <c r="A783" s="17" t="s">
        <v>2</v>
      </c>
      <c r="B783" s="18" t="s">
        <v>42</v>
      </c>
      <c r="C783" s="18">
        <v>1.7256106910010101</v>
      </c>
      <c r="D783" s="18">
        <v>1987</v>
      </c>
    </row>
    <row r="784" spans="1:4" ht="19.95" customHeight="1" x14ac:dyDescent="0.25">
      <c r="A784" s="17" t="s">
        <v>36</v>
      </c>
      <c r="B784" s="18" t="s">
        <v>42</v>
      </c>
      <c r="C784" s="18">
        <v>-1.20000004458646</v>
      </c>
      <c r="D784" s="18">
        <v>1987</v>
      </c>
    </row>
    <row r="785" spans="1:4" ht="19.95" customHeight="1" x14ac:dyDescent="0.25">
      <c r="A785" s="17" t="s">
        <v>37</v>
      </c>
      <c r="B785" s="18" t="s">
        <v>42</v>
      </c>
      <c r="C785" s="18"/>
      <c r="D785" s="18">
        <v>1987</v>
      </c>
    </row>
    <row r="786" spans="1:4" ht="19.95" customHeight="1" x14ac:dyDescent="0.25">
      <c r="A786" s="17" t="s">
        <v>38</v>
      </c>
      <c r="B786" s="18" t="s">
        <v>42</v>
      </c>
      <c r="C786" s="18">
        <v>3.9619027865246599</v>
      </c>
      <c r="D786" s="18">
        <v>1987</v>
      </c>
    </row>
    <row r="787" spans="1:4" ht="19.95" customHeight="1" x14ac:dyDescent="0.25">
      <c r="A787" s="17" t="s">
        <v>39</v>
      </c>
      <c r="B787" s="18" t="s">
        <v>42</v>
      </c>
      <c r="C787" s="18">
        <v>2.6756617134113299</v>
      </c>
      <c r="D787" s="18">
        <v>1987</v>
      </c>
    </row>
    <row r="788" spans="1:4" ht="19.95" customHeight="1" x14ac:dyDescent="0.25">
      <c r="A788" s="17" t="s">
        <v>40</v>
      </c>
      <c r="B788" s="18" t="s">
        <v>42</v>
      </c>
      <c r="C788" s="18">
        <v>1.1507372045407001</v>
      </c>
      <c r="D788" s="18">
        <v>1987</v>
      </c>
    </row>
    <row r="789" spans="1:4" ht="19.95" customHeight="1" x14ac:dyDescent="0.25">
      <c r="A789" s="17" t="s">
        <v>10</v>
      </c>
      <c r="B789" s="18" t="s">
        <v>42</v>
      </c>
      <c r="C789" s="18">
        <v>5.0310243682899802</v>
      </c>
      <c r="D789" s="18">
        <v>1988</v>
      </c>
    </row>
    <row r="790" spans="1:4" ht="19.95" customHeight="1" x14ac:dyDescent="0.25">
      <c r="A790" s="17" t="s">
        <v>13</v>
      </c>
      <c r="B790" s="18" t="s">
        <v>42</v>
      </c>
      <c r="C790" s="18">
        <v>-7.8236319750643899</v>
      </c>
      <c r="D790" s="18">
        <v>1988</v>
      </c>
    </row>
    <row r="791" spans="1:4" ht="19.95" customHeight="1" x14ac:dyDescent="0.25">
      <c r="A791" s="17" t="s">
        <v>16</v>
      </c>
      <c r="B791" s="18" t="s">
        <v>42</v>
      </c>
      <c r="C791" s="18">
        <v>15.482359070013301</v>
      </c>
      <c r="D791" s="18">
        <v>1988</v>
      </c>
    </row>
    <row r="792" spans="1:4" ht="19.95" customHeight="1" x14ac:dyDescent="0.25">
      <c r="A792" s="17" t="s">
        <v>15</v>
      </c>
      <c r="B792" s="18" t="s">
        <v>42</v>
      </c>
      <c r="C792" s="18">
        <v>2.6875187882754701</v>
      </c>
      <c r="D792" s="18">
        <v>1988</v>
      </c>
    </row>
    <row r="793" spans="1:4" ht="19.95" customHeight="1" x14ac:dyDescent="0.25">
      <c r="A793" s="17" t="s">
        <v>17</v>
      </c>
      <c r="B793" s="18" t="s">
        <v>42</v>
      </c>
      <c r="C793" s="18"/>
      <c r="D793" s="18">
        <v>1988</v>
      </c>
    </row>
    <row r="794" spans="1:4" ht="19.95" customHeight="1" x14ac:dyDescent="0.25">
      <c r="A794" s="17" t="s">
        <v>18</v>
      </c>
      <c r="B794" s="18" t="s">
        <v>42</v>
      </c>
      <c r="C794" s="18">
        <v>0.50367487907483599</v>
      </c>
      <c r="D794" s="18">
        <v>1988</v>
      </c>
    </row>
    <row r="795" spans="1:4" ht="19.95" customHeight="1" x14ac:dyDescent="0.25">
      <c r="A795" s="17" t="s">
        <v>19</v>
      </c>
      <c r="B795" s="18" t="s">
        <v>42</v>
      </c>
      <c r="C795" s="18">
        <v>6.3081166971337401</v>
      </c>
      <c r="D795" s="18">
        <v>1988</v>
      </c>
    </row>
    <row r="796" spans="1:4" ht="19.95" customHeight="1" x14ac:dyDescent="0.25">
      <c r="A796" s="17" t="s">
        <v>20</v>
      </c>
      <c r="B796" s="18" t="s">
        <v>42</v>
      </c>
      <c r="C796" s="18"/>
      <c r="D796" s="18">
        <v>1988</v>
      </c>
    </row>
    <row r="797" spans="1:4" ht="19.95" customHeight="1" x14ac:dyDescent="0.25">
      <c r="A797" s="17" t="s">
        <v>21</v>
      </c>
      <c r="B797" s="18" t="s">
        <v>42</v>
      </c>
      <c r="C797" s="18">
        <v>6.2031838198845897</v>
      </c>
      <c r="D797" s="18">
        <v>1988</v>
      </c>
    </row>
    <row r="798" spans="1:4" ht="19.95" customHeight="1" x14ac:dyDescent="0.25">
      <c r="A798" s="17" t="s">
        <v>22</v>
      </c>
      <c r="B798" s="18" t="s">
        <v>42</v>
      </c>
      <c r="C798" s="18"/>
      <c r="D798" s="18">
        <v>1988</v>
      </c>
    </row>
    <row r="799" spans="1:4" ht="19.95" customHeight="1" x14ac:dyDescent="0.25">
      <c r="A799" s="17" t="s">
        <v>23</v>
      </c>
      <c r="B799" s="18" t="s">
        <v>42</v>
      </c>
      <c r="C799" s="18">
        <v>-2.0418981684339599</v>
      </c>
      <c r="D799" s="18">
        <v>1988</v>
      </c>
    </row>
    <row r="800" spans="1:4" ht="19.95" customHeight="1" x14ac:dyDescent="0.25">
      <c r="A800" s="17" t="s">
        <v>24</v>
      </c>
      <c r="B800" s="18" t="s">
        <v>42</v>
      </c>
      <c r="C800" s="18">
        <v>3.4034170096194201</v>
      </c>
      <c r="D800" s="18">
        <v>1988</v>
      </c>
    </row>
    <row r="801" spans="1:4" ht="19.95" customHeight="1" x14ac:dyDescent="0.25">
      <c r="A801" s="17" t="s">
        <v>25</v>
      </c>
      <c r="B801" s="18" t="s">
        <v>42</v>
      </c>
      <c r="C801" s="18">
        <v>3.1772912783485201</v>
      </c>
      <c r="D801" s="18">
        <v>1988</v>
      </c>
    </row>
    <row r="802" spans="1:4" ht="19.95" customHeight="1" x14ac:dyDescent="0.25">
      <c r="A802" s="17" t="s">
        <v>26</v>
      </c>
      <c r="B802" s="18" t="s">
        <v>42</v>
      </c>
      <c r="C802" s="18">
        <v>7.38972104432428</v>
      </c>
      <c r="D802" s="18">
        <v>1988</v>
      </c>
    </row>
    <row r="803" spans="1:4" ht="19.95" customHeight="1" x14ac:dyDescent="0.25">
      <c r="A803" s="17" t="s">
        <v>27</v>
      </c>
      <c r="B803" s="18" t="s">
        <v>42</v>
      </c>
      <c r="C803" s="18"/>
      <c r="D803" s="18">
        <v>1988</v>
      </c>
    </row>
    <row r="804" spans="1:4" ht="19.95" customHeight="1" x14ac:dyDescent="0.25">
      <c r="A804" s="17" t="s">
        <v>28</v>
      </c>
      <c r="B804" s="18" t="s">
        <v>42</v>
      </c>
      <c r="C804" s="18">
        <v>8.1999951794804993</v>
      </c>
      <c r="D804" s="18">
        <v>1988</v>
      </c>
    </row>
    <row r="805" spans="1:4" ht="19.95" customHeight="1" x14ac:dyDescent="0.25">
      <c r="A805" s="17" t="s">
        <v>29</v>
      </c>
      <c r="B805" s="18" t="s">
        <v>42</v>
      </c>
      <c r="C805" s="18">
        <v>-11.3524394768174</v>
      </c>
      <c r="D805" s="18">
        <v>1988</v>
      </c>
    </row>
    <row r="806" spans="1:4" ht="19.95" customHeight="1" x14ac:dyDescent="0.25">
      <c r="A806" s="17" t="s">
        <v>31</v>
      </c>
      <c r="B806" s="18" t="s">
        <v>42</v>
      </c>
      <c r="C806" s="18">
        <v>7.6968087114899904</v>
      </c>
      <c r="D806" s="18">
        <v>1988</v>
      </c>
    </row>
    <row r="807" spans="1:4" ht="19.95" customHeight="1" x14ac:dyDescent="0.25">
      <c r="A807" s="17" t="s">
        <v>32</v>
      </c>
      <c r="B807" s="18" t="s">
        <v>42</v>
      </c>
      <c r="C807" s="18">
        <v>-12.4498220370713</v>
      </c>
      <c r="D807" s="18">
        <v>1988</v>
      </c>
    </row>
    <row r="808" spans="1:4" ht="19.95" customHeight="1" x14ac:dyDescent="0.25">
      <c r="A808" s="17" t="s">
        <v>33</v>
      </c>
      <c r="B808" s="18" t="s">
        <v>42</v>
      </c>
      <c r="C808" s="18">
        <v>6.8991217158370004</v>
      </c>
      <c r="D808" s="18">
        <v>1988</v>
      </c>
    </row>
    <row r="809" spans="1:4" ht="19.95" customHeight="1" x14ac:dyDescent="0.25">
      <c r="A809" s="17" t="s">
        <v>34</v>
      </c>
      <c r="B809" s="18" t="s">
        <v>42</v>
      </c>
      <c r="C809" s="18">
        <v>4.4988249932748099</v>
      </c>
      <c r="D809" s="18">
        <v>1988</v>
      </c>
    </row>
    <row r="810" spans="1:4" ht="19.95" customHeight="1" x14ac:dyDescent="0.25">
      <c r="A810" s="17" t="s">
        <v>35</v>
      </c>
      <c r="B810" s="18" t="s">
        <v>42</v>
      </c>
      <c r="C810" s="18"/>
      <c r="D810" s="18">
        <v>1988</v>
      </c>
    </row>
    <row r="811" spans="1:4" ht="19.95" customHeight="1" x14ac:dyDescent="0.25">
      <c r="A811" s="17" t="s">
        <v>2</v>
      </c>
      <c r="B811" s="18" t="s">
        <v>42</v>
      </c>
      <c r="C811" s="18">
        <v>2.4726850377301002</v>
      </c>
      <c r="D811" s="18">
        <v>1988</v>
      </c>
    </row>
    <row r="812" spans="1:4" ht="19.95" customHeight="1" x14ac:dyDescent="0.25">
      <c r="A812" s="17" t="s">
        <v>36</v>
      </c>
      <c r="B812" s="18" t="s">
        <v>42</v>
      </c>
      <c r="C812" s="18">
        <v>13.900001094354</v>
      </c>
      <c r="D812" s="18">
        <v>1988</v>
      </c>
    </row>
    <row r="813" spans="1:4" ht="19.95" customHeight="1" x14ac:dyDescent="0.25">
      <c r="A813" s="17" t="s">
        <v>37</v>
      </c>
      <c r="B813" s="18" t="s">
        <v>42</v>
      </c>
      <c r="C813" s="18"/>
      <c r="D813" s="18">
        <v>1988</v>
      </c>
    </row>
    <row r="814" spans="1:4" ht="19.95" customHeight="1" x14ac:dyDescent="0.25">
      <c r="A814" s="17" t="s">
        <v>38</v>
      </c>
      <c r="B814" s="18" t="s">
        <v>42</v>
      </c>
      <c r="C814" s="18">
        <v>8.2670735443124403</v>
      </c>
      <c r="D814" s="18">
        <v>1988</v>
      </c>
    </row>
    <row r="815" spans="1:4" ht="19.95" customHeight="1" x14ac:dyDescent="0.25">
      <c r="A815" s="17" t="s">
        <v>39</v>
      </c>
      <c r="B815" s="18" t="s">
        <v>42</v>
      </c>
      <c r="C815" s="18">
        <v>6.28074900897695</v>
      </c>
      <c r="D815" s="18">
        <v>1988</v>
      </c>
    </row>
    <row r="816" spans="1:4" ht="19.95" customHeight="1" x14ac:dyDescent="0.25">
      <c r="A816" s="17" t="s">
        <v>40</v>
      </c>
      <c r="B816" s="18" t="s">
        <v>42</v>
      </c>
      <c r="C816" s="18">
        <v>7.5523745080478601</v>
      </c>
      <c r="D816" s="18">
        <v>1988</v>
      </c>
    </row>
    <row r="817" spans="1:4" ht="19.95" customHeight="1" x14ac:dyDescent="0.25">
      <c r="A817" s="17" t="s">
        <v>10</v>
      </c>
      <c r="B817" s="18" t="s">
        <v>42</v>
      </c>
      <c r="C817" s="18">
        <v>1.3495022299200901</v>
      </c>
      <c r="D817" s="18">
        <v>1989</v>
      </c>
    </row>
    <row r="818" spans="1:4" ht="19.95" customHeight="1" x14ac:dyDescent="0.25">
      <c r="A818" s="17" t="s">
        <v>13</v>
      </c>
      <c r="B818" s="18" t="s">
        <v>42</v>
      </c>
      <c r="C818" s="18">
        <v>-1.8191205125230701</v>
      </c>
      <c r="D818" s="18">
        <v>1989</v>
      </c>
    </row>
    <row r="819" spans="1:4" ht="19.95" customHeight="1" x14ac:dyDescent="0.25">
      <c r="A819" s="17" t="s">
        <v>16</v>
      </c>
      <c r="B819" s="18" t="s">
        <v>42</v>
      </c>
      <c r="C819" s="18">
        <v>4.8847351025103798</v>
      </c>
      <c r="D819" s="18">
        <v>1989</v>
      </c>
    </row>
    <row r="820" spans="1:4" ht="19.95" customHeight="1" x14ac:dyDescent="0.25">
      <c r="A820" s="17" t="s">
        <v>15</v>
      </c>
      <c r="B820" s="18" t="s">
        <v>42</v>
      </c>
      <c r="C820" s="18">
        <v>-3.1806753672577601</v>
      </c>
      <c r="D820" s="18">
        <v>1989</v>
      </c>
    </row>
    <row r="821" spans="1:4" ht="19.95" customHeight="1" x14ac:dyDescent="0.25">
      <c r="A821" s="17" t="s">
        <v>17</v>
      </c>
      <c r="B821" s="18" t="s">
        <v>42</v>
      </c>
      <c r="C821" s="18"/>
      <c r="D821" s="18">
        <v>1989</v>
      </c>
    </row>
    <row r="822" spans="1:4" ht="19.95" customHeight="1" x14ac:dyDescent="0.25">
      <c r="A822" s="17" t="s">
        <v>18</v>
      </c>
      <c r="B822" s="18" t="s">
        <v>42</v>
      </c>
      <c r="C822" s="18">
        <v>-0.36104418038227898</v>
      </c>
      <c r="D822" s="18">
        <v>1989</v>
      </c>
    </row>
    <row r="823" spans="1:4" ht="19.95" customHeight="1" x14ac:dyDescent="0.25">
      <c r="A823" s="17" t="s">
        <v>19</v>
      </c>
      <c r="B823" s="18" t="s">
        <v>42</v>
      </c>
      <c r="C823" s="18">
        <v>4.0034760128128504</v>
      </c>
      <c r="D823" s="18">
        <v>1989</v>
      </c>
    </row>
    <row r="824" spans="1:4" ht="19.95" customHeight="1" x14ac:dyDescent="0.25">
      <c r="A824" s="17" t="s">
        <v>20</v>
      </c>
      <c r="B824" s="18" t="s">
        <v>42</v>
      </c>
      <c r="C824" s="18"/>
      <c r="D824" s="18">
        <v>1989</v>
      </c>
    </row>
    <row r="825" spans="1:4" ht="19.95" customHeight="1" x14ac:dyDescent="0.25">
      <c r="A825" s="17" t="s">
        <v>21</v>
      </c>
      <c r="B825" s="18" t="s">
        <v>42</v>
      </c>
      <c r="C825" s="18">
        <v>4.6903487681229699</v>
      </c>
      <c r="D825" s="18">
        <v>1989</v>
      </c>
    </row>
    <row r="826" spans="1:4" ht="19.95" customHeight="1" x14ac:dyDescent="0.25">
      <c r="A826" s="17" t="s">
        <v>22</v>
      </c>
      <c r="B826" s="18" t="s">
        <v>42</v>
      </c>
      <c r="C826" s="18"/>
      <c r="D826" s="18">
        <v>1989</v>
      </c>
    </row>
    <row r="827" spans="1:4" ht="19.95" customHeight="1" x14ac:dyDescent="0.25">
      <c r="A827" s="17" t="s">
        <v>23</v>
      </c>
      <c r="B827" s="18" t="s">
        <v>42</v>
      </c>
      <c r="C827" s="18">
        <v>-26.668449335162698</v>
      </c>
      <c r="D827" s="18">
        <v>1989</v>
      </c>
    </row>
    <row r="828" spans="1:4" ht="19.95" customHeight="1" x14ac:dyDescent="0.25">
      <c r="A828" s="17" t="s">
        <v>24</v>
      </c>
      <c r="B828" s="18" t="s">
        <v>42</v>
      </c>
      <c r="C828" s="18">
        <v>4.0788927770411103</v>
      </c>
      <c r="D828" s="18">
        <v>1989</v>
      </c>
    </row>
    <row r="829" spans="1:4" ht="19.95" customHeight="1" x14ac:dyDescent="0.25">
      <c r="A829" s="17" t="s">
        <v>25</v>
      </c>
      <c r="B829" s="18" t="s">
        <v>42</v>
      </c>
      <c r="C829" s="18">
        <v>1.3446897069269099</v>
      </c>
      <c r="D829" s="18">
        <v>1989</v>
      </c>
    </row>
    <row r="830" spans="1:4" ht="19.95" customHeight="1" x14ac:dyDescent="0.25">
      <c r="A830" s="17" t="s">
        <v>26</v>
      </c>
      <c r="B830" s="18" t="s">
        <v>42</v>
      </c>
      <c r="C830" s="18">
        <v>4.1773881094425303</v>
      </c>
      <c r="D830" s="18">
        <v>1989</v>
      </c>
    </row>
    <row r="831" spans="1:4" ht="19.95" customHeight="1" x14ac:dyDescent="0.25">
      <c r="A831" s="17" t="s">
        <v>27</v>
      </c>
      <c r="B831" s="18" t="s">
        <v>42</v>
      </c>
      <c r="C831" s="18"/>
      <c r="D831" s="18">
        <v>1989</v>
      </c>
    </row>
    <row r="832" spans="1:4" ht="19.95" customHeight="1" x14ac:dyDescent="0.25">
      <c r="A832" s="17" t="s">
        <v>28</v>
      </c>
      <c r="B832" s="18" t="s">
        <v>42</v>
      </c>
      <c r="C832" s="18">
        <v>6.5000045516446399</v>
      </c>
      <c r="D832" s="18">
        <v>1989</v>
      </c>
    </row>
    <row r="833" spans="1:4" ht="19.95" customHeight="1" x14ac:dyDescent="0.25">
      <c r="A833" s="17" t="s">
        <v>29</v>
      </c>
      <c r="B833" s="18" t="s">
        <v>42</v>
      </c>
      <c r="C833" s="18">
        <v>3.6952974226781499</v>
      </c>
      <c r="D833" s="18">
        <v>1989</v>
      </c>
    </row>
    <row r="834" spans="1:4" ht="19.95" customHeight="1" x14ac:dyDescent="0.25">
      <c r="A834" s="17" t="s">
        <v>31</v>
      </c>
      <c r="B834" s="18" t="s">
        <v>42</v>
      </c>
      <c r="C834" s="18">
        <v>4.3296479338953002</v>
      </c>
      <c r="D834" s="18">
        <v>1989</v>
      </c>
    </row>
    <row r="835" spans="1:4" ht="19.95" customHeight="1" x14ac:dyDescent="0.25">
      <c r="A835" s="17" t="s">
        <v>32</v>
      </c>
      <c r="B835" s="18" t="s">
        <v>42</v>
      </c>
      <c r="C835" s="18">
        <v>-1.69761272858247</v>
      </c>
      <c r="D835" s="18">
        <v>1989</v>
      </c>
    </row>
    <row r="836" spans="1:4" ht="19.95" customHeight="1" x14ac:dyDescent="0.25">
      <c r="A836" s="17" t="s">
        <v>33</v>
      </c>
      <c r="B836" s="18" t="s">
        <v>42</v>
      </c>
      <c r="C836" s="18">
        <v>0.93392913825824997</v>
      </c>
      <c r="D836" s="18">
        <v>1989</v>
      </c>
    </row>
    <row r="837" spans="1:4" ht="19.95" customHeight="1" x14ac:dyDescent="0.25">
      <c r="A837" s="17" t="s">
        <v>34</v>
      </c>
      <c r="B837" s="18" t="s">
        <v>42</v>
      </c>
      <c r="C837" s="18">
        <v>-3.6534273655092903E-2</v>
      </c>
      <c r="D837" s="18">
        <v>1989</v>
      </c>
    </row>
    <row r="838" spans="1:4" ht="19.95" customHeight="1" x14ac:dyDescent="0.25">
      <c r="A838" s="17" t="s">
        <v>35</v>
      </c>
      <c r="B838" s="18" t="s">
        <v>42</v>
      </c>
      <c r="C838" s="18"/>
      <c r="D838" s="18">
        <v>1989</v>
      </c>
    </row>
    <row r="839" spans="1:4" ht="19.95" customHeight="1" x14ac:dyDescent="0.25">
      <c r="A839" s="17" t="s">
        <v>2</v>
      </c>
      <c r="B839" s="18" t="s">
        <v>42</v>
      </c>
      <c r="C839" s="18">
        <v>2.29930141383986</v>
      </c>
      <c r="D839" s="18">
        <v>1989</v>
      </c>
    </row>
    <row r="840" spans="1:4" ht="19.95" customHeight="1" x14ac:dyDescent="0.25">
      <c r="A840" s="17" t="s">
        <v>36</v>
      </c>
      <c r="B840" s="18" t="s">
        <v>42</v>
      </c>
      <c r="C840" s="18">
        <v>-6.5000006636470298</v>
      </c>
      <c r="D840" s="18">
        <v>1989</v>
      </c>
    </row>
    <row r="841" spans="1:4" ht="19.95" customHeight="1" x14ac:dyDescent="0.25">
      <c r="A841" s="17" t="s">
        <v>37</v>
      </c>
      <c r="B841" s="18" t="s">
        <v>42</v>
      </c>
      <c r="C841" s="18">
        <v>3.7644434069955302</v>
      </c>
      <c r="D841" s="18">
        <v>1989</v>
      </c>
    </row>
    <row r="842" spans="1:4" ht="19.95" customHeight="1" x14ac:dyDescent="0.25">
      <c r="A842" s="17" t="s">
        <v>38</v>
      </c>
      <c r="B842" s="18" t="s">
        <v>42</v>
      </c>
      <c r="C842" s="18">
        <v>6.36194124692142</v>
      </c>
      <c r="D842" s="18">
        <v>1989</v>
      </c>
    </row>
    <row r="843" spans="1:4" ht="19.95" customHeight="1" x14ac:dyDescent="0.25">
      <c r="A843" s="17" t="s">
        <v>39</v>
      </c>
      <c r="B843" s="18" t="s">
        <v>42</v>
      </c>
      <c r="C843" s="18">
        <v>-1.0235017886986999</v>
      </c>
      <c r="D843" s="18">
        <v>1989</v>
      </c>
    </row>
    <row r="844" spans="1:4" ht="19.95" customHeight="1" x14ac:dyDescent="0.25">
      <c r="A844" s="17" t="s">
        <v>40</v>
      </c>
      <c r="B844" s="18" t="s">
        <v>42</v>
      </c>
      <c r="C844" s="18">
        <v>5.1997664436911704</v>
      </c>
      <c r="D844" s="18">
        <v>1989</v>
      </c>
    </row>
    <row r="845" spans="1:4" ht="19.95" customHeight="1" x14ac:dyDescent="0.25">
      <c r="A845" s="17" t="s">
        <v>10</v>
      </c>
      <c r="B845" s="18" t="s">
        <v>42</v>
      </c>
      <c r="C845" s="18">
        <v>3.4998221400369398</v>
      </c>
      <c r="D845" s="18">
        <v>1990</v>
      </c>
    </row>
    <row r="846" spans="1:4" ht="19.95" customHeight="1" x14ac:dyDescent="0.25">
      <c r="A846" s="17" t="s">
        <v>13</v>
      </c>
      <c r="B846" s="18" t="s">
        <v>42</v>
      </c>
      <c r="C846" s="18">
        <v>-6.1056976460826702</v>
      </c>
      <c r="D846" s="18">
        <v>1990</v>
      </c>
    </row>
    <row r="847" spans="1:4" ht="19.95" customHeight="1" x14ac:dyDescent="0.25">
      <c r="A847" s="17" t="s">
        <v>16</v>
      </c>
      <c r="B847" s="18" t="s">
        <v>42</v>
      </c>
      <c r="C847" s="18">
        <v>-4.1784723727767696</v>
      </c>
      <c r="D847" s="18">
        <v>1990</v>
      </c>
    </row>
    <row r="848" spans="1:4" ht="19.95" customHeight="1" x14ac:dyDescent="0.25">
      <c r="A848" s="17" t="s">
        <v>15</v>
      </c>
      <c r="B848" s="18" t="s">
        <v>42</v>
      </c>
      <c r="C848" s="18">
        <v>5.0913926847242301</v>
      </c>
      <c r="D848" s="18">
        <v>1990</v>
      </c>
    </row>
    <row r="849" spans="1:4" ht="19.95" customHeight="1" x14ac:dyDescent="0.25">
      <c r="A849" s="17" t="s">
        <v>17</v>
      </c>
      <c r="B849" s="18" t="s">
        <v>42</v>
      </c>
      <c r="C849" s="18"/>
      <c r="D849" s="18">
        <v>1990</v>
      </c>
    </row>
    <row r="850" spans="1:4" ht="19.95" customHeight="1" x14ac:dyDescent="0.25">
      <c r="A850" s="17" t="s">
        <v>18</v>
      </c>
      <c r="B850" s="18" t="s">
        <v>42</v>
      </c>
      <c r="C850" s="18">
        <v>2.72645178301019</v>
      </c>
      <c r="D850" s="18">
        <v>1990</v>
      </c>
    </row>
    <row r="851" spans="1:4" ht="19.95" customHeight="1" x14ac:dyDescent="0.25">
      <c r="A851" s="17" t="s">
        <v>19</v>
      </c>
      <c r="B851" s="18" t="s">
        <v>42</v>
      </c>
      <c r="C851" s="18">
        <v>4.3240627537182696</v>
      </c>
      <c r="D851" s="18">
        <v>1990</v>
      </c>
    </row>
    <row r="852" spans="1:4" ht="19.95" customHeight="1" x14ac:dyDescent="0.25">
      <c r="A852" s="17" t="s">
        <v>20</v>
      </c>
      <c r="B852" s="18" t="s">
        <v>42</v>
      </c>
      <c r="C852" s="18"/>
      <c r="D852" s="18">
        <v>1990</v>
      </c>
    </row>
    <row r="853" spans="1:4" ht="19.95" customHeight="1" x14ac:dyDescent="0.25">
      <c r="A853" s="17" t="s">
        <v>21</v>
      </c>
      <c r="B853" s="18" t="s">
        <v>42</v>
      </c>
      <c r="C853" s="18">
        <v>4.1920509742158503</v>
      </c>
      <c r="D853" s="18">
        <v>1990</v>
      </c>
    </row>
    <row r="854" spans="1:4" ht="19.95" customHeight="1" x14ac:dyDescent="0.25">
      <c r="A854" s="17" t="s">
        <v>22</v>
      </c>
      <c r="B854" s="18" t="s">
        <v>42</v>
      </c>
      <c r="C854" s="18"/>
      <c r="D854" s="18">
        <v>1990</v>
      </c>
    </row>
    <row r="855" spans="1:4" ht="19.95" customHeight="1" x14ac:dyDescent="0.25">
      <c r="A855" s="17" t="s">
        <v>23</v>
      </c>
      <c r="B855" s="18" t="s">
        <v>42</v>
      </c>
      <c r="C855" s="18">
        <v>-51.030864950591699</v>
      </c>
      <c r="D855" s="18">
        <v>1990</v>
      </c>
    </row>
    <row r="856" spans="1:4" ht="19.95" customHeight="1" x14ac:dyDescent="0.25">
      <c r="A856" s="17" t="s">
        <v>24</v>
      </c>
      <c r="B856" s="18" t="s">
        <v>42</v>
      </c>
      <c r="C856" s="18">
        <v>3.1300294278687302</v>
      </c>
      <c r="D856" s="18">
        <v>1990</v>
      </c>
    </row>
    <row r="857" spans="1:4" ht="19.95" customHeight="1" x14ac:dyDescent="0.25">
      <c r="A857" s="17" t="s">
        <v>25</v>
      </c>
      <c r="B857" s="18" t="s">
        <v>42</v>
      </c>
      <c r="C857" s="18">
        <v>5.6922944937575002</v>
      </c>
      <c r="D857" s="18">
        <v>1990</v>
      </c>
    </row>
    <row r="858" spans="1:4" ht="19.95" customHeight="1" x14ac:dyDescent="0.25">
      <c r="A858" s="17" t="s">
        <v>26</v>
      </c>
      <c r="B858" s="18" t="s">
        <v>42</v>
      </c>
      <c r="C858" s="18">
        <v>-2.5023951034775802</v>
      </c>
      <c r="D858" s="18">
        <v>1990</v>
      </c>
    </row>
    <row r="859" spans="1:4" ht="19.95" customHeight="1" x14ac:dyDescent="0.25">
      <c r="A859" s="17" t="s">
        <v>27</v>
      </c>
      <c r="B859" s="18" t="s">
        <v>42</v>
      </c>
      <c r="C859" s="18"/>
      <c r="D859" s="18">
        <v>1990</v>
      </c>
    </row>
    <row r="860" spans="1:4" ht="19.95" customHeight="1" x14ac:dyDescent="0.25">
      <c r="A860" s="17" t="s">
        <v>28</v>
      </c>
      <c r="B860" s="18" t="s">
        <v>42</v>
      </c>
      <c r="C860" s="18">
        <v>0.99999283313445597</v>
      </c>
      <c r="D860" s="18">
        <v>1990</v>
      </c>
    </row>
    <row r="861" spans="1:4" ht="19.95" customHeight="1" x14ac:dyDescent="0.25">
      <c r="A861" s="17" t="s">
        <v>29</v>
      </c>
      <c r="B861" s="18" t="s">
        <v>42</v>
      </c>
      <c r="C861" s="18">
        <v>2.8169332732916699</v>
      </c>
      <c r="D861" s="18">
        <v>1990</v>
      </c>
    </row>
    <row r="862" spans="1:4" ht="19.95" customHeight="1" x14ac:dyDescent="0.25">
      <c r="A862" s="17" t="s">
        <v>31</v>
      </c>
      <c r="B862" s="18" t="s">
        <v>42</v>
      </c>
      <c r="C862" s="18">
        <v>4.6350363470598204</v>
      </c>
      <c r="D862" s="18">
        <v>1990</v>
      </c>
    </row>
    <row r="863" spans="1:4" ht="19.95" customHeight="1" x14ac:dyDescent="0.25">
      <c r="A863" s="17" t="s">
        <v>32</v>
      </c>
      <c r="B863" s="18" t="s">
        <v>42</v>
      </c>
      <c r="C863" s="18">
        <v>-9.3064818467780697E-2</v>
      </c>
      <c r="D863" s="18">
        <v>1990</v>
      </c>
    </row>
    <row r="864" spans="1:4" ht="19.95" customHeight="1" x14ac:dyDescent="0.25">
      <c r="A864" s="17" t="s">
        <v>33</v>
      </c>
      <c r="B864" s="18" t="s">
        <v>42</v>
      </c>
      <c r="C864" s="18">
        <v>-1.2843553810081301</v>
      </c>
      <c r="D864" s="18">
        <v>1990</v>
      </c>
    </row>
    <row r="865" spans="1:4" ht="19.95" customHeight="1" x14ac:dyDescent="0.25">
      <c r="A865" s="17" t="s">
        <v>34</v>
      </c>
      <c r="B865" s="18" t="s">
        <v>42</v>
      </c>
      <c r="C865" s="18">
        <v>-2.3992910969102299</v>
      </c>
      <c r="D865" s="18">
        <v>1990</v>
      </c>
    </row>
    <row r="866" spans="1:4" ht="19.95" customHeight="1" x14ac:dyDescent="0.25">
      <c r="A866" s="17" t="s">
        <v>35</v>
      </c>
      <c r="B866" s="18" t="s">
        <v>42</v>
      </c>
      <c r="C866" s="18"/>
      <c r="D866" s="18">
        <v>1990</v>
      </c>
    </row>
    <row r="867" spans="1:4" ht="19.95" customHeight="1" x14ac:dyDescent="0.25">
      <c r="A867" s="17" t="s">
        <v>2</v>
      </c>
      <c r="B867" s="18" t="s">
        <v>42</v>
      </c>
      <c r="C867" s="18">
        <v>6.3999953069393003</v>
      </c>
      <c r="D867" s="18">
        <v>1990</v>
      </c>
    </row>
    <row r="868" spans="1:4" ht="19.95" customHeight="1" x14ac:dyDescent="0.25">
      <c r="A868" s="17" t="s">
        <v>36</v>
      </c>
      <c r="B868" s="18" t="s">
        <v>42</v>
      </c>
      <c r="C868" s="18">
        <v>-0.59999963133663003</v>
      </c>
      <c r="D868" s="18">
        <v>1990</v>
      </c>
    </row>
    <row r="869" spans="1:4" ht="19.95" customHeight="1" x14ac:dyDescent="0.25">
      <c r="A869" s="17" t="s">
        <v>37</v>
      </c>
      <c r="B869" s="18" t="s">
        <v>42</v>
      </c>
      <c r="C869" s="18">
        <v>7.04507164384201</v>
      </c>
      <c r="D869" s="18">
        <v>1990</v>
      </c>
    </row>
    <row r="870" spans="1:4" ht="19.95" customHeight="1" x14ac:dyDescent="0.25">
      <c r="A870" s="17" t="s">
        <v>38</v>
      </c>
      <c r="B870" s="18" t="s">
        <v>42</v>
      </c>
      <c r="C870" s="18">
        <v>6.4741401508592098</v>
      </c>
      <c r="D870" s="18">
        <v>1990</v>
      </c>
    </row>
    <row r="871" spans="1:4" ht="19.95" customHeight="1" x14ac:dyDescent="0.25">
      <c r="A871" s="17" t="s">
        <v>39</v>
      </c>
      <c r="B871" s="18" t="s">
        <v>42</v>
      </c>
      <c r="C871" s="18">
        <v>-0.48107202778166402</v>
      </c>
      <c r="D871" s="18">
        <v>1990</v>
      </c>
    </row>
    <row r="872" spans="1:4" ht="19.95" customHeight="1" x14ac:dyDescent="0.25">
      <c r="A872" s="17" t="s">
        <v>40</v>
      </c>
      <c r="B872" s="18" t="s">
        <v>42</v>
      </c>
      <c r="C872" s="18">
        <v>6.9885529331854599</v>
      </c>
      <c r="D872" s="18">
        <v>1990</v>
      </c>
    </row>
    <row r="873" spans="1:4" ht="19.95" customHeight="1" x14ac:dyDescent="0.25">
      <c r="A873" s="17" t="s">
        <v>10</v>
      </c>
      <c r="B873" s="18" t="s">
        <v>42</v>
      </c>
      <c r="C873" s="18">
        <v>4.9968364514421797</v>
      </c>
      <c r="D873" s="18">
        <v>1991</v>
      </c>
    </row>
    <row r="874" spans="1:4" ht="19.95" customHeight="1" x14ac:dyDescent="0.25">
      <c r="A874" s="17" t="s">
        <v>13</v>
      </c>
      <c r="B874" s="18" t="s">
        <v>42</v>
      </c>
      <c r="C874" s="18">
        <v>-3.8085993724514702</v>
      </c>
      <c r="D874" s="18">
        <v>1991</v>
      </c>
    </row>
    <row r="875" spans="1:4" ht="19.95" customHeight="1" x14ac:dyDescent="0.25">
      <c r="A875" s="17" t="s">
        <v>16</v>
      </c>
      <c r="B875" s="18" t="s">
        <v>42</v>
      </c>
      <c r="C875" s="18">
        <v>8.5351371664717401</v>
      </c>
      <c r="D875" s="18">
        <v>1991</v>
      </c>
    </row>
    <row r="876" spans="1:4" ht="19.95" customHeight="1" x14ac:dyDescent="0.25">
      <c r="A876" s="17" t="s">
        <v>15</v>
      </c>
      <c r="B876" s="18" t="s">
        <v>42</v>
      </c>
      <c r="C876" s="18">
        <v>-5.3955989070717196</v>
      </c>
      <c r="D876" s="18">
        <v>1991</v>
      </c>
    </row>
    <row r="877" spans="1:4" ht="19.95" customHeight="1" x14ac:dyDescent="0.25">
      <c r="A877" s="17" t="s">
        <v>17</v>
      </c>
      <c r="B877" s="18" t="s">
        <v>42</v>
      </c>
      <c r="C877" s="18"/>
      <c r="D877" s="18">
        <v>1991</v>
      </c>
    </row>
    <row r="878" spans="1:4" ht="19.95" customHeight="1" x14ac:dyDescent="0.25">
      <c r="A878" s="17" t="s">
        <v>18</v>
      </c>
      <c r="B878" s="18" t="s">
        <v>42</v>
      </c>
      <c r="C878" s="18">
        <v>-7.13747970825791</v>
      </c>
      <c r="D878" s="18">
        <v>1991</v>
      </c>
    </row>
    <row r="879" spans="1:4" ht="19.95" customHeight="1" x14ac:dyDescent="0.25">
      <c r="A879" s="17" t="s">
        <v>19</v>
      </c>
      <c r="B879" s="18" t="s">
        <v>42</v>
      </c>
      <c r="C879" s="18">
        <v>2.61342300463021</v>
      </c>
      <c r="D879" s="18">
        <v>1991</v>
      </c>
    </row>
    <row r="880" spans="1:4" ht="19.95" customHeight="1" x14ac:dyDescent="0.25">
      <c r="A880" s="17" t="s">
        <v>20</v>
      </c>
      <c r="B880" s="18" t="s">
        <v>42</v>
      </c>
      <c r="C880" s="18"/>
      <c r="D880" s="18">
        <v>1991</v>
      </c>
    </row>
    <row r="881" spans="1:4" ht="19.95" customHeight="1" x14ac:dyDescent="0.25">
      <c r="A881" s="17" t="s">
        <v>21</v>
      </c>
      <c r="B881" s="18" t="s">
        <v>42</v>
      </c>
      <c r="C881" s="18">
        <v>1.43834679108514</v>
      </c>
      <c r="D881" s="18">
        <v>1991</v>
      </c>
    </row>
    <row r="882" spans="1:4" ht="19.95" customHeight="1" x14ac:dyDescent="0.25">
      <c r="A882" s="17" t="s">
        <v>22</v>
      </c>
      <c r="B882" s="18" t="s">
        <v>42</v>
      </c>
      <c r="C882" s="18"/>
      <c r="D882" s="18">
        <v>1991</v>
      </c>
    </row>
    <row r="883" spans="1:4" ht="19.95" customHeight="1" x14ac:dyDescent="0.25">
      <c r="A883" s="17" t="s">
        <v>23</v>
      </c>
      <c r="B883" s="18" t="s">
        <v>42</v>
      </c>
      <c r="C883" s="18">
        <v>-14.2252117588441</v>
      </c>
      <c r="D883" s="18">
        <v>1991</v>
      </c>
    </row>
    <row r="884" spans="1:4" ht="19.95" customHeight="1" x14ac:dyDescent="0.25">
      <c r="A884" s="17" t="s">
        <v>24</v>
      </c>
      <c r="B884" s="18" t="s">
        <v>42</v>
      </c>
      <c r="C884" s="18">
        <v>-6.3095343931008498</v>
      </c>
      <c r="D884" s="18">
        <v>1991</v>
      </c>
    </row>
    <row r="885" spans="1:4" ht="19.95" customHeight="1" x14ac:dyDescent="0.25">
      <c r="A885" s="17" t="s">
        <v>25</v>
      </c>
      <c r="B885" s="18" t="s">
        <v>42</v>
      </c>
      <c r="C885" s="18">
        <v>8.7302318286141407</v>
      </c>
      <c r="D885" s="18">
        <v>1991</v>
      </c>
    </row>
    <row r="886" spans="1:4" ht="19.95" customHeight="1" x14ac:dyDescent="0.25">
      <c r="A886" s="17" t="s">
        <v>26</v>
      </c>
      <c r="B886" s="18" t="s">
        <v>42</v>
      </c>
      <c r="C886" s="18">
        <v>11.7452037933746</v>
      </c>
      <c r="D886" s="18">
        <v>1991</v>
      </c>
    </row>
    <row r="887" spans="1:4" ht="19.95" customHeight="1" x14ac:dyDescent="0.25">
      <c r="A887" s="17" t="s">
        <v>27</v>
      </c>
      <c r="B887" s="18" t="s">
        <v>42</v>
      </c>
      <c r="C887" s="18"/>
      <c r="D887" s="18">
        <v>1991</v>
      </c>
    </row>
    <row r="888" spans="1:4" ht="19.95" customHeight="1" x14ac:dyDescent="0.25">
      <c r="A888" s="17" t="s">
        <v>28</v>
      </c>
      <c r="B888" s="18" t="s">
        <v>42</v>
      </c>
      <c r="C888" s="18">
        <v>4.8999991388879103</v>
      </c>
      <c r="D888" s="18">
        <v>1991</v>
      </c>
    </row>
    <row r="889" spans="1:4" ht="19.95" customHeight="1" x14ac:dyDescent="0.25">
      <c r="A889" s="17" t="s">
        <v>29</v>
      </c>
      <c r="B889" s="18" t="s">
        <v>42</v>
      </c>
      <c r="C889" s="18">
        <v>-0.65061690812294204</v>
      </c>
      <c r="D889" s="18">
        <v>1991</v>
      </c>
    </row>
    <row r="890" spans="1:4" ht="19.95" customHeight="1" x14ac:dyDescent="0.25">
      <c r="A890" s="17" t="s">
        <v>31</v>
      </c>
      <c r="B890" s="18" t="s">
        <v>42</v>
      </c>
      <c r="C890" s="18">
        <v>6.3681504032866902</v>
      </c>
      <c r="D890" s="18">
        <v>1991</v>
      </c>
    </row>
    <row r="891" spans="1:4" ht="19.95" customHeight="1" x14ac:dyDescent="0.25">
      <c r="A891" s="17" t="s">
        <v>32</v>
      </c>
      <c r="B891" s="18" t="s">
        <v>42</v>
      </c>
      <c r="C891" s="18">
        <v>-0.19071240340269899</v>
      </c>
      <c r="D891" s="18">
        <v>1991</v>
      </c>
    </row>
    <row r="892" spans="1:4" ht="19.95" customHeight="1" x14ac:dyDescent="0.25">
      <c r="A892" s="17" t="s">
        <v>33</v>
      </c>
      <c r="B892" s="18" t="s">
        <v>42</v>
      </c>
      <c r="C892" s="18">
        <v>2.50420327438201</v>
      </c>
      <c r="D892" s="18">
        <v>1991</v>
      </c>
    </row>
    <row r="893" spans="1:4" ht="19.95" customHeight="1" x14ac:dyDescent="0.25">
      <c r="A893" s="17" t="s">
        <v>34</v>
      </c>
      <c r="B893" s="18" t="s">
        <v>42</v>
      </c>
      <c r="C893" s="18">
        <v>-2.5143796535735401</v>
      </c>
      <c r="D893" s="18">
        <v>1991</v>
      </c>
    </row>
    <row r="894" spans="1:4" ht="19.95" customHeight="1" x14ac:dyDescent="0.25">
      <c r="A894" s="17" t="s">
        <v>35</v>
      </c>
      <c r="B894" s="18" t="s">
        <v>42</v>
      </c>
      <c r="C894" s="18"/>
      <c r="D894" s="18">
        <v>1991</v>
      </c>
    </row>
    <row r="895" spans="1:4" ht="19.95" customHeight="1" x14ac:dyDescent="0.25">
      <c r="A895" s="17" t="s">
        <v>2</v>
      </c>
      <c r="B895" s="18" t="s">
        <v>42</v>
      </c>
      <c r="C895" s="18">
        <v>4.5999872445227803</v>
      </c>
      <c r="D895" s="18">
        <v>1991</v>
      </c>
    </row>
    <row r="896" spans="1:4" ht="19.95" customHeight="1" x14ac:dyDescent="0.25">
      <c r="A896" s="17" t="s">
        <v>36</v>
      </c>
      <c r="B896" s="18" t="s">
        <v>42</v>
      </c>
      <c r="C896" s="18">
        <v>-7.0999990962252504</v>
      </c>
      <c r="D896" s="18">
        <v>1991</v>
      </c>
    </row>
    <row r="897" spans="1:4" ht="19.95" customHeight="1" x14ac:dyDescent="0.25">
      <c r="A897" s="17" t="s">
        <v>37</v>
      </c>
      <c r="B897" s="18" t="s">
        <v>42</v>
      </c>
      <c r="C897" s="18">
        <v>2.0719882113419201</v>
      </c>
      <c r="D897" s="18">
        <v>1991</v>
      </c>
    </row>
    <row r="898" spans="1:4" ht="19.95" customHeight="1" x14ac:dyDescent="0.25">
      <c r="A898" s="17" t="s">
        <v>38</v>
      </c>
      <c r="B898" s="18" t="s">
        <v>42</v>
      </c>
      <c r="C898" s="18">
        <v>5.5540954959264202</v>
      </c>
      <c r="D898" s="18">
        <v>1991</v>
      </c>
    </row>
    <row r="899" spans="1:4" ht="19.95" customHeight="1" x14ac:dyDescent="0.25">
      <c r="A899" s="17" t="s">
        <v>39</v>
      </c>
      <c r="B899" s="18" t="s">
        <v>42</v>
      </c>
      <c r="C899" s="18">
        <v>-3.6133383882315698E-2</v>
      </c>
      <c r="D899" s="18">
        <v>1991</v>
      </c>
    </row>
    <row r="900" spans="1:4" ht="19.95" customHeight="1" x14ac:dyDescent="0.25">
      <c r="A900" s="17" t="s">
        <v>40</v>
      </c>
      <c r="B900" s="18" t="s">
        <v>42</v>
      </c>
      <c r="C900" s="18">
        <v>5.5317820723121303</v>
      </c>
      <c r="D900" s="18">
        <v>1991</v>
      </c>
    </row>
    <row r="901" spans="1:4" ht="19.95" customHeight="1" x14ac:dyDescent="0.25">
      <c r="A901" s="17" t="s">
        <v>10</v>
      </c>
      <c r="B901" s="18" t="s">
        <v>42</v>
      </c>
      <c r="C901" s="18">
        <v>1.0099983658612599</v>
      </c>
      <c r="D901" s="18">
        <v>1992</v>
      </c>
    </row>
    <row r="902" spans="1:4" ht="19.95" customHeight="1" x14ac:dyDescent="0.25">
      <c r="A902" s="17" t="s">
        <v>13</v>
      </c>
      <c r="B902" s="18" t="s">
        <v>42</v>
      </c>
      <c r="C902" s="18">
        <v>-3.1000032107907201</v>
      </c>
      <c r="D902" s="18">
        <v>1992</v>
      </c>
    </row>
    <row r="903" spans="1:4" ht="19.95" customHeight="1" x14ac:dyDescent="0.25">
      <c r="A903" s="17" t="s">
        <v>16</v>
      </c>
      <c r="B903" s="18" t="s">
        <v>42</v>
      </c>
      <c r="C903" s="18">
        <v>8.0014433463192596</v>
      </c>
      <c r="D903" s="18">
        <v>1992</v>
      </c>
    </row>
    <row r="904" spans="1:4" ht="19.95" customHeight="1" x14ac:dyDescent="0.25">
      <c r="A904" s="17" t="s">
        <v>15</v>
      </c>
      <c r="B904" s="18" t="s">
        <v>42</v>
      </c>
      <c r="C904" s="18">
        <v>8.5309234328659507</v>
      </c>
      <c r="D904" s="18">
        <v>1992</v>
      </c>
    </row>
    <row r="905" spans="1:4" ht="19.95" customHeight="1" x14ac:dyDescent="0.25">
      <c r="A905" s="17" t="s">
        <v>17</v>
      </c>
      <c r="B905" s="18" t="s">
        <v>42</v>
      </c>
      <c r="C905" s="18"/>
      <c r="D905" s="18">
        <v>1992</v>
      </c>
    </row>
    <row r="906" spans="1:4" ht="19.95" customHeight="1" x14ac:dyDescent="0.25">
      <c r="A906" s="17" t="s">
        <v>18</v>
      </c>
      <c r="B906" s="18" t="s">
        <v>42</v>
      </c>
      <c r="C906" s="18">
        <v>-8.6724801281975292</v>
      </c>
      <c r="D906" s="18">
        <v>1992</v>
      </c>
    </row>
    <row r="907" spans="1:4" ht="19.95" customHeight="1" x14ac:dyDescent="0.25">
      <c r="A907" s="17" t="s">
        <v>19</v>
      </c>
      <c r="B907" s="18" t="s">
        <v>42</v>
      </c>
      <c r="C907" s="18">
        <v>3.2709473005163501</v>
      </c>
      <c r="D907" s="18">
        <v>1992</v>
      </c>
    </row>
    <row r="908" spans="1:4" ht="19.95" customHeight="1" x14ac:dyDescent="0.25">
      <c r="A908" s="17" t="s">
        <v>20</v>
      </c>
      <c r="B908" s="18" t="s">
        <v>42</v>
      </c>
      <c r="C908" s="18"/>
      <c r="D908" s="18">
        <v>1992</v>
      </c>
    </row>
    <row r="909" spans="1:4" ht="19.95" customHeight="1" x14ac:dyDescent="0.25">
      <c r="A909" s="17" t="s">
        <v>21</v>
      </c>
      <c r="B909" s="18" t="s">
        <v>42</v>
      </c>
      <c r="C909" s="18">
        <v>-0.79949395992763095</v>
      </c>
      <c r="D909" s="18">
        <v>1992</v>
      </c>
    </row>
    <row r="910" spans="1:4" ht="19.95" customHeight="1" x14ac:dyDescent="0.25">
      <c r="A910" s="17" t="s">
        <v>22</v>
      </c>
      <c r="B910" s="18" t="s">
        <v>42</v>
      </c>
      <c r="C910" s="18"/>
      <c r="D910" s="18">
        <v>1992</v>
      </c>
    </row>
    <row r="911" spans="1:4" ht="19.95" customHeight="1" x14ac:dyDescent="0.25">
      <c r="A911" s="17" t="s">
        <v>23</v>
      </c>
      <c r="B911" s="18" t="s">
        <v>42</v>
      </c>
      <c r="C911" s="18">
        <v>-35.085681092070899</v>
      </c>
      <c r="D911" s="18">
        <v>1992</v>
      </c>
    </row>
    <row r="912" spans="1:4" ht="19.95" customHeight="1" x14ac:dyDescent="0.25">
      <c r="A912" s="17" t="s">
        <v>24</v>
      </c>
      <c r="B912" s="18" t="s">
        <v>42</v>
      </c>
      <c r="C912" s="18">
        <v>1.18615228657475</v>
      </c>
      <c r="D912" s="18">
        <v>1992</v>
      </c>
    </row>
    <row r="913" spans="1:4" ht="19.95" customHeight="1" x14ac:dyDescent="0.25">
      <c r="A913" s="17" t="s">
        <v>25</v>
      </c>
      <c r="B913" s="18" t="s">
        <v>42</v>
      </c>
      <c r="C913" s="18">
        <v>-7.3329781353231898</v>
      </c>
      <c r="D913" s="18">
        <v>1992</v>
      </c>
    </row>
    <row r="914" spans="1:4" ht="19.95" customHeight="1" x14ac:dyDescent="0.25">
      <c r="A914" s="17" t="s">
        <v>26</v>
      </c>
      <c r="B914" s="18" t="s">
        <v>42</v>
      </c>
      <c r="C914" s="18">
        <v>-3.2186624903075201</v>
      </c>
      <c r="D914" s="18">
        <v>1992</v>
      </c>
    </row>
    <row r="915" spans="1:4" ht="19.95" customHeight="1" x14ac:dyDescent="0.25">
      <c r="A915" s="17" t="s">
        <v>27</v>
      </c>
      <c r="B915" s="18" t="s">
        <v>42</v>
      </c>
      <c r="C915" s="18"/>
      <c r="D915" s="18">
        <v>1992</v>
      </c>
    </row>
    <row r="916" spans="1:4" ht="19.95" customHeight="1" x14ac:dyDescent="0.25">
      <c r="A916" s="17" t="s">
        <v>28</v>
      </c>
      <c r="B916" s="18" t="s">
        <v>42</v>
      </c>
      <c r="C916" s="18">
        <v>-5.23133058993331</v>
      </c>
      <c r="D916" s="18">
        <v>1992</v>
      </c>
    </row>
    <row r="917" spans="1:4" ht="19.95" customHeight="1" x14ac:dyDescent="0.25">
      <c r="A917" s="17" t="s">
        <v>29</v>
      </c>
      <c r="B917" s="18" t="s">
        <v>42</v>
      </c>
      <c r="C917" s="18">
        <v>9.6609424527245995</v>
      </c>
      <c r="D917" s="18">
        <v>1992</v>
      </c>
    </row>
    <row r="918" spans="1:4" ht="19.95" customHeight="1" x14ac:dyDescent="0.25">
      <c r="A918" s="17" t="s">
        <v>31</v>
      </c>
      <c r="B918" s="18" t="s">
        <v>42</v>
      </c>
      <c r="C918" s="18">
        <v>4.10640661228756</v>
      </c>
      <c r="D918" s="18">
        <v>1992</v>
      </c>
    </row>
    <row r="919" spans="1:4" ht="19.95" customHeight="1" x14ac:dyDescent="0.25">
      <c r="A919" s="17" t="s">
        <v>32</v>
      </c>
      <c r="B919" s="18" t="s">
        <v>42</v>
      </c>
      <c r="C919" s="18">
        <v>0.38546712072602002</v>
      </c>
      <c r="D919" s="18">
        <v>1992</v>
      </c>
    </row>
    <row r="920" spans="1:4" ht="19.95" customHeight="1" x14ac:dyDescent="0.25">
      <c r="A920" s="17" t="s">
        <v>33</v>
      </c>
      <c r="B920" s="18" t="s">
        <v>42</v>
      </c>
      <c r="C920" s="18">
        <v>-6.5164446013597201</v>
      </c>
      <c r="D920" s="18">
        <v>1992</v>
      </c>
    </row>
    <row r="921" spans="1:4" ht="19.95" customHeight="1" x14ac:dyDescent="0.25">
      <c r="A921" s="17" t="s">
        <v>34</v>
      </c>
      <c r="B921" s="18" t="s">
        <v>42</v>
      </c>
      <c r="C921" s="18">
        <v>5.87272523445922</v>
      </c>
      <c r="D921" s="18">
        <v>1992</v>
      </c>
    </row>
    <row r="922" spans="1:4" ht="19.95" customHeight="1" x14ac:dyDescent="0.25">
      <c r="A922" s="17" t="s">
        <v>35</v>
      </c>
      <c r="B922" s="18" t="s">
        <v>42</v>
      </c>
      <c r="C922" s="18"/>
      <c r="D922" s="18">
        <v>1992</v>
      </c>
    </row>
    <row r="923" spans="1:4" ht="19.95" customHeight="1" x14ac:dyDescent="0.25">
      <c r="A923" s="17" t="s">
        <v>2</v>
      </c>
      <c r="B923" s="18" t="s">
        <v>42</v>
      </c>
      <c r="C923" s="18">
        <v>4.3999912518561501</v>
      </c>
      <c r="D923" s="18">
        <v>1992</v>
      </c>
    </row>
    <row r="924" spans="1:4" ht="19.95" customHeight="1" x14ac:dyDescent="0.25">
      <c r="A924" s="17" t="s">
        <v>36</v>
      </c>
      <c r="B924" s="18" t="s">
        <v>42</v>
      </c>
      <c r="C924" s="18">
        <v>-29.0000010554471</v>
      </c>
      <c r="D924" s="18">
        <v>1992</v>
      </c>
    </row>
    <row r="925" spans="1:4" ht="19.95" customHeight="1" x14ac:dyDescent="0.25">
      <c r="A925" s="17" t="s">
        <v>37</v>
      </c>
      <c r="B925" s="18" t="s">
        <v>42</v>
      </c>
      <c r="C925" s="18">
        <v>0.58432213380650899</v>
      </c>
      <c r="D925" s="18">
        <v>1992</v>
      </c>
    </row>
    <row r="926" spans="1:4" ht="19.95" customHeight="1" x14ac:dyDescent="0.25">
      <c r="A926" s="17" t="s">
        <v>38</v>
      </c>
      <c r="B926" s="18" t="s">
        <v>42</v>
      </c>
      <c r="C926" s="18">
        <v>3.4183568915253599</v>
      </c>
      <c r="D926" s="18">
        <v>1992</v>
      </c>
    </row>
    <row r="927" spans="1:4" ht="19.95" customHeight="1" x14ac:dyDescent="0.25">
      <c r="A927" s="17" t="s">
        <v>39</v>
      </c>
      <c r="B927" s="18" t="s">
        <v>42</v>
      </c>
      <c r="C927" s="18">
        <v>-1.7309221735256599</v>
      </c>
      <c r="D927" s="18">
        <v>1992</v>
      </c>
    </row>
    <row r="928" spans="1:4" ht="19.95" customHeight="1" x14ac:dyDescent="0.25">
      <c r="A928" s="17" t="s">
        <v>40</v>
      </c>
      <c r="B928" s="18" t="s">
        <v>42</v>
      </c>
      <c r="C928" s="18">
        <v>-9.0155698205530008</v>
      </c>
      <c r="D928" s="18">
        <v>1992</v>
      </c>
    </row>
    <row r="929" spans="1:4" ht="19.95" customHeight="1" x14ac:dyDescent="0.25">
      <c r="A929" s="17" t="s">
        <v>10</v>
      </c>
      <c r="B929" s="18" t="s">
        <v>42</v>
      </c>
      <c r="C929" s="18">
        <v>-6.2399999992022996</v>
      </c>
      <c r="D929" s="18">
        <v>1993</v>
      </c>
    </row>
    <row r="930" spans="1:4" ht="19.95" customHeight="1" x14ac:dyDescent="0.25">
      <c r="A930" s="17" t="s">
        <v>13</v>
      </c>
      <c r="B930" s="18" t="s">
        <v>42</v>
      </c>
      <c r="C930" s="18">
        <v>-7.9320665745657397</v>
      </c>
      <c r="D930" s="18">
        <v>1993</v>
      </c>
    </row>
    <row r="931" spans="1:4" ht="19.95" customHeight="1" x14ac:dyDescent="0.25">
      <c r="A931" s="17" t="s">
        <v>16</v>
      </c>
      <c r="B931" s="18" t="s">
        <v>42</v>
      </c>
      <c r="C931" s="18">
        <v>-15.709837045207699</v>
      </c>
      <c r="D931" s="18">
        <v>1993</v>
      </c>
    </row>
    <row r="932" spans="1:4" ht="19.95" customHeight="1" x14ac:dyDescent="0.25">
      <c r="A932" s="17" t="s">
        <v>15</v>
      </c>
      <c r="B932" s="18" t="s">
        <v>42</v>
      </c>
      <c r="C932" s="18">
        <v>3.0059374776450301</v>
      </c>
      <c r="D932" s="18">
        <v>1993</v>
      </c>
    </row>
    <row r="933" spans="1:4" ht="19.95" customHeight="1" x14ac:dyDescent="0.25">
      <c r="A933" s="17" t="s">
        <v>17</v>
      </c>
      <c r="B933" s="18" t="s">
        <v>42</v>
      </c>
      <c r="C933" s="18"/>
      <c r="D933" s="18">
        <v>1993</v>
      </c>
    </row>
    <row r="934" spans="1:4" ht="19.95" customHeight="1" x14ac:dyDescent="0.25">
      <c r="A934" s="17" t="s">
        <v>18</v>
      </c>
      <c r="B934" s="18" t="s">
        <v>42</v>
      </c>
      <c r="C934" s="18">
        <v>13.1428339596483</v>
      </c>
      <c r="D934" s="18">
        <v>1993</v>
      </c>
    </row>
    <row r="935" spans="1:4" ht="19.95" customHeight="1" x14ac:dyDescent="0.25">
      <c r="A935" s="17" t="s">
        <v>19</v>
      </c>
      <c r="B935" s="18" t="s">
        <v>42</v>
      </c>
      <c r="C935" s="18">
        <v>5.0441445420409003</v>
      </c>
      <c r="D935" s="18">
        <v>1993</v>
      </c>
    </row>
    <row r="936" spans="1:4" ht="19.95" customHeight="1" x14ac:dyDescent="0.25">
      <c r="A936" s="17" t="s">
        <v>20</v>
      </c>
      <c r="B936" s="18" t="s">
        <v>42</v>
      </c>
      <c r="C936" s="18"/>
      <c r="D936" s="18">
        <v>1993</v>
      </c>
    </row>
    <row r="937" spans="1:4" ht="19.95" customHeight="1" x14ac:dyDescent="0.25">
      <c r="A937" s="17" t="s">
        <v>21</v>
      </c>
      <c r="B937" s="18" t="s">
        <v>42</v>
      </c>
      <c r="C937" s="18">
        <v>0.353197256372624</v>
      </c>
      <c r="D937" s="18">
        <v>1993</v>
      </c>
    </row>
    <row r="938" spans="1:4" ht="19.95" customHeight="1" x14ac:dyDescent="0.25">
      <c r="A938" s="17" t="s">
        <v>22</v>
      </c>
      <c r="B938" s="18" t="s">
        <v>42</v>
      </c>
      <c r="C938" s="18"/>
      <c r="D938" s="18">
        <v>1993</v>
      </c>
    </row>
    <row r="939" spans="1:4" ht="19.95" customHeight="1" x14ac:dyDescent="0.25">
      <c r="A939" s="17" t="s">
        <v>23</v>
      </c>
      <c r="B939" s="18" t="s">
        <v>42</v>
      </c>
      <c r="C939" s="18">
        <v>-32.9753914988814</v>
      </c>
      <c r="D939" s="18">
        <v>1993</v>
      </c>
    </row>
    <row r="940" spans="1:4" ht="19.95" customHeight="1" x14ac:dyDescent="0.25">
      <c r="A940" s="17" t="s">
        <v>24</v>
      </c>
      <c r="B940" s="18" t="s">
        <v>42</v>
      </c>
      <c r="C940" s="18">
        <v>2.0965598192496802</v>
      </c>
      <c r="D940" s="18">
        <v>1993</v>
      </c>
    </row>
    <row r="941" spans="1:4" ht="19.95" customHeight="1" x14ac:dyDescent="0.25">
      <c r="A941" s="17" t="s">
        <v>25</v>
      </c>
      <c r="B941" s="18" t="s">
        <v>42</v>
      </c>
      <c r="C941" s="18">
        <v>9.6918402678066293</v>
      </c>
      <c r="D941" s="18">
        <v>1993</v>
      </c>
    </row>
    <row r="942" spans="1:4" ht="19.95" customHeight="1" x14ac:dyDescent="0.25">
      <c r="A942" s="17" t="s">
        <v>26</v>
      </c>
      <c r="B942" s="18" t="s">
        <v>42</v>
      </c>
      <c r="C942" s="18">
        <v>3.1721681773032202</v>
      </c>
      <c r="D942" s="18">
        <v>1993</v>
      </c>
    </row>
    <row r="943" spans="1:4" ht="19.95" customHeight="1" x14ac:dyDescent="0.25">
      <c r="A943" s="17" t="s">
        <v>27</v>
      </c>
      <c r="B943" s="18" t="s">
        <v>42</v>
      </c>
      <c r="C943" s="18"/>
      <c r="D943" s="18">
        <v>1993</v>
      </c>
    </row>
    <row r="944" spans="1:4" ht="19.95" customHeight="1" x14ac:dyDescent="0.25">
      <c r="A944" s="17" t="s">
        <v>28</v>
      </c>
      <c r="B944" s="18" t="s">
        <v>42</v>
      </c>
      <c r="C944" s="18">
        <v>8.7671418244606905</v>
      </c>
      <c r="D944" s="18">
        <v>1993</v>
      </c>
    </row>
    <row r="945" spans="1:4" ht="19.95" customHeight="1" x14ac:dyDescent="0.25">
      <c r="A945" s="17" t="s">
        <v>29</v>
      </c>
      <c r="B945" s="18" t="s">
        <v>42</v>
      </c>
      <c r="C945" s="18">
        <v>6.0394102268840602</v>
      </c>
      <c r="D945" s="18">
        <v>1993</v>
      </c>
    </row>
    <row r="946" spans="1:4" ht="19.95" customHeight="1" x14ac:dyDescent="0.25">
      <c r="A946" s="17" t="s">
        <v>31</v>
      </c>
      <c r="B946" s="18" t="s">
        <v>42</v>
      </c>
      <c r="C946" s="18">
        <v>3.8498500216171299</v>
      </c>
      <c r="D946" s="18">
        <v>1993</v>
      </c>
    </row>
    <row r="947" spans="1:4" ht="19.95" customHeight="1" x14ac:dyDescent="0.25">
      <c r="A947" s="17" t="s">
        <v>32</v>
      </c>
      <c r="B947" s="18" t="s">
        <v>42</v>
      </c>
      <c r="C947" s="18">
        <v>-0.39113849306281201</v>
      </c>
      <c r="D947" s="18">
        <v>1993</v>
      </c>
    </row>
    <row r="948" spans="1:4" ht="19.95" customHeight="1" x14ac:dyDescent="0.25">
      <c r="A948" s="17" t="s">
        <v>33</v>
      </c>
      <c r="B948" s="18" t="s">
        <v>42</v>
      </c>
      <c r="C948" s="18">
        <v>1.44943787573517</v>
      </c>
      <c r="D948" s="18">
        <v>1993</v>
      </c>
    </row>
    <row r="949" spans="1:4" ht="19.95" customHeight="1" x14ac:dyDescent="0.25">
      <c r="A949" s="17" t="s">
        <v>34</v>
      </c>
      <c r="B949" s="18" t="s">
        <v>42</v>
      </c>
      <c r="C949" s="18">
        <v>-8.1086918735224707</v>
      </c>
      <c r="D949" s="18">
        <v>1993</v>
      </c>
    </row>
    <row r="950" spans="1:4" ht="19.95" customHeight="1" x14ac:dyDescent="0.25">
      <c r="A950" s="17" t="s">
        <v>35</v>
      </c>
      <c r="B950" s="18" t="s">
        <v>42</v>
      </c>
      <c r="C950" s="18"/>
      <c r="D950" s="18">
        <v>1993</v>
      </c>
    </row>
    <row r="951" spans="1:4" ht="19.95" customHeight="1" x14ac:dyDescent="0.25">
      <c r="A951" s="17" t="s">
        <v>2</v>
      </c>
      <c r="B951" s="18" t="s">
        <v>42</v>
      </c>
      <c r="C951" s="18">
        <v>6.9000632519723304</v>
      </c>
      <c r="D951" s="18">
        <v>1993</v>
      </c>
    </row>
    <row r="952" spans="1:4" ht="19.95" customHeight="1" x14ac:dyDescent="0.25">
      <c r="A952" s="17" t="s">
        <v>36</v>
      </c>
      <c r="B952" s="18" t="s">
        <v>42</v>
      </c>
      <c r="C952" s="18">
        <v>-16.399999844882199</v>
      </c>
      <c r="D952" s="18">
        <v>1993</v>
      </c>
    </row>
    <row r="953" spans="1:4" ht="19.95" customHeight="1" x14ac:dyDescent="0.25">
      <c r="A953" s="17" t="s">
        <v>37</v>
      </c>
      <c r="B953" s="18" t="s">
        <v>42</v>
      </c>
      <c r="C953" s="18">
        <v>1.2058008087037999</v>
      </c>
      <c r="D953" s="18">
        <v>1993</v>
      </c>
    </row>
    <row r="954" spans="1:4" ht="19.95" customHeight="1" x14ac:dyDescent="0.25">
      <c r="A954" s="17" t="s">
        <v>38</v>
      </c>
      <c r="B954" s="18" t="s">
        <v>42</v>
      </c>
      <c r="C954" s="18">
        <v>8.3262925204952403</v>
      </c>
      <c r="D954" s="18">
        <v>1993</v>
      </c>
    </row>
    <row r="955" spans="1:4" ht="19.95" customHeight="1" x14ac:dyDescent="0.25">
      <c r="A955" s="17" t="s">
        <v>39</v>
      </c>
      <c r="B955" s="18" t="s">
        <v>42</v>
      </c>
      <c r="C955" s="18">
        <v>6.7972740490711798</v>
      </c>
      <c r="D955" s="18">
        <v>1993</v>
      </c>
    </row>
    <row r="956" spans="1:4" ht="19.95" customHeight="1" x14ac:dyDescent="0.25">
      <c r="A956" s="17" t="s">
        <v>40</v>
      </c>
      <c r="B956" s="18" t="s">
        <v>42</v>
      </c>
      <c r="C956" s="18">
        <v>1.05145850909602</v>
      </c>
      <c r="D956" s="18">
        <v>1993</v>
      </c>
    </row>
    <row r="957" spans="1:4" ht="19.95" customHeight="1" x14ac:dyDescent="0.25">
      <c r="A957" s="17" t="s">
        <v>10</v>
      </c>
      <c r="B957" s="18" t="s">
        <v>42</v>
      </c>
      <c r="C957" s="18">
        <v>-3.8299999966925502</v>
      </c>
      <c r="D957" s="18">
        <v>1994</v>
      </c>
    </row>
    <row r="958" spans="1:4" ht="19.95" customHeight="1" x14ac:dyDescent="0.25">
      <c r="A958" s="17" t="s">
        <v>13</v>
      </c>
      <c r="B958" s="18" t="s">
        <v>42</v>
      </c>
      <c r="C958" s="18">
        <v>2.1239354436073699</v>
      </c>
      <c r="D958" s="18">
        <v>1994</v>
      </c>
    </row>
    <row r="959" spans="1:4" ht="19.95" customHeight="1" x14ac:dyDescent="0.25">
      <c r="A959" s="17" t="s">
        <v>16</v>
      </c>
      <c r="B959" s="18" t="s">
        <v>42</v>
      </c>
      <c r="C959" s="18">
        <v>10.1368876335147</v>
      </c>
      <c r="D959" s="18">
        <v>1994</v>
      </c>
    </row>
    <row r="960" spans="1:4" ht="19.95" customHeight="1" x14ac:dyDescent="0.25">
      <c r="A960" s="17" t="s">
        <v>15</v>
      </c>
      <c r="B960" s="18" t="s">
        <v>42</v>
      </c>
      <c r="C960" s="18">
        <v>-5.27668203789099</v>
      </c>
      <c r="D960" s="18">
        <v>1994</v>
      </c>
    </row>
    <row r="961" spans="1:4" ht="19.95" customHeight="1" x14ac:dyDescent="0.25">
      <c r="A961" s="17" t="s">
        <v>17</v>
      </c>
      <c r="B961" s="18" t="s">
        <v>42</v>
      </c>
      <c r="C961" s="18"/>
      <c r="D961" s="18">
        <v>1994</v>
      </c>
    </row>
    <row r="962" spans="1:4" ht="19.95" customHeight="1" x14ac:dyDescent="0.25">
      <c r="A962" s="17" t="s">
        <v>18</v>
      </c>
      <c r="B962" s="18" t="s">
        <v>42</v>
      </c>
      <c r="C962" s="18">
        <v>3.1899645701300998</v>
      </c>
      <c r="D962" s="18">
        <v>1994</v>
      </c>
    </row>
    <row r="963" spans="1:4" ht="19.95" customHeight="1" x14ac:dyDescent="0.25">
      <c r="A963" s="17" t="s">
        <v>19</v>
      </c>
      <c r="B963" s="18" t="s">
        <v>42</v>
      </c>
      <c r="C963" s="18">
        <v>3.9700991059506201</v>
      </c>
      <c r="D963" s="18">
        <v>1994</v>
      </c>
    </row>
    <row r="964" spans="1:4" ht="19.95" customHeight="1" x14ac:dyDescent="0.25">
      <c r="A964" s="17" t="s">
        <v>20</v>
      </c>
      <c r="B964" s="18" t="s">
        <v>42</v>
      </c>
      <c r="C964" s="18"/>
      <c r="D964" s="18">
        <v>1994</v>
      </c>
    </row>
    <row r="965" spans="1:4" ht="19.95" customHeight="1" x14ac:dyDescent="0.25">
      <c r="A965" s="17" t="s">
        <v>21</v>
      </c>
      <c r="B965" s="18" t="s">
        <v>42</v>
      </c>
      <c r="C965" s="18">
        <v>2.6327845185903298</v>
      </c>
      <c r="D965" s="18">
        <v>1994</v>
      </c>
    </row>
    <row r="966" spans="1:4" ht="19.95" customHeight="1" x14ac:dyDescent="0.25">
      <c r="A966" s="17" t="s">
        <v>22</v>
      </c>
      <c r="B966" s="18" t="s">
        <v>42</v>
      </c>
      <c r="C966" s="18"/>
      <c r="D966" s="18">
        <v>1994</v>
      </c>
    </row>
    <row r="967" spans="1:4" ht="19.95" customHeight="1" x14ac:dyDescent="0.25">
      <c r="A967" s="17" t="s">
        <v>23</v>
      </c>
      <c r="B967" s="18" t="s">
        <v>42</v>
      </c>
      <c r="C967" s="18">
        <v>-21.762349799732998</v>
      </c>
      <c r="D967" s="18">
        <v>1994</v>
      </c>
    </row>
    <row r="968" spans="1:4" ht="19.95" customHeight="1" x14ac:dyDescent="0.25">
      <c r="A968" s="17" t="s">
        <v>24</v>
      </c>
      <c r="B968" s="18" t="s">
        <v>42</v>
      </c>
      <c r="C968" s="18">
        <v>-7.1608256492027095E-2</v>
      </c>
      <c r="D968" s="18">
        <v>1994</v>
      </c>
    </row>
    <row r="969" spans="1:4" ht="19.95" customHeight="1" x14ac:dyDescent="0.25">
      <c r="A969" s="17" t="s">
        <v>25</v>
      </c>
      <c r="B969" s="18" t="s">
        <v>42</v>
      </c>
      <c r="C969" s="18">
        <v>-10.2401817338935</v>
      </c>
      <c r="D969" s="18">
        <v>1994</v>
      </c>
    </row>
    <row r="970" spans="1:4" ht="19.95" customHeight="1" x14ac:dyDescent="0.25">
      <c r="A970" s="17" t="s">
        <v>26</v>
      </c>
      <c r="B970" s="18" t="s">
        <v>42</v>
      </c>
      <c r="C970" s="18">
        <v>3.7799340510106698</v>
      </c>
      <c r="D970" s="18">
        <v>1994</v>
      </c>
    </row>
    <row r="971" spans="1:4" ht="19.95" customHeight="1" x14ac:dyDescent="0.25">
      <c r="A971" s="17" t="s">
        <v>27</v>
      </c>
      <c r="B971" s="18" t="s">
        <v>42</v>
      </c>
      <c r="C971" s="18"/>
      <c r="D971" s="18">
        <v>1994</v>
      </c>
    </row>
    <row r="972" spans="1:4" ht="19.95" customHeight="1" x14ac:dyDescent="0.25">
      <c r="A972" s="17" t="s">
        <v>28</v>
      </c>
      <c r="B972" s="18" t="s">
        <v>42</v>
      </c>
      <c r="C972" s="18">
        <v>6.1588624806474597</v>
      </c>
      <c r="D972" s="18">
        <v>1994</v>
      </c>
    </row>
    <row r="973" spans="1:4" ht="19.95" customHeight="1" x14ac:dyDescent="0.25">
      <c r="A973" s="17" t="s">
        <v>29</v>
      </c>
      <c r="B973" s="18" t="s">
        <v>42</v>
      </c>
      <c r="C973" s="18">
        <v>7.4779583583742504</v>
      </c>
      <c r="D973" s="18">
        <v>1994</v>
      </c>
    </row>
    <row r="974" spans="1:4" ht="19.95" customHeight="1" x14ac:dyDescent="0.25">
      <c r="A974" s="17" t="s">
        <v>31</v>
      </c>
      <c r="B974" s="18" t="s">
        <v>42</v>
      </c>
      <c r="C974" s="18">
        <v>8.2160027093266699</v>
      </c>
      <c r="D974" s="18">
        <v>1994</v>
      </c>
    </row>
    <row r="975" spans="1:4" ht="19.95" customHeight="1" x14ac:dyDescent="0.25">
      <c r="A975" s="17" t="s">
        <v>32</v>
      </c>
      <c r="B975" s="18" t="s">
        <v>42</v>
      </c>
      <c r="C975" s="18">
        <v>3.33761186435513</v>
      </c>
      <c r="D975" s="18">
        <v>1994</v>
      </c>
    </row>
    <row r="976" spans="1:4" ht="19.95" customHeight="1" x14ac:dyDescent="0.25">
      <c r="A976" s="17" t="s">
        <v>33</v>
      </c>
      <c r="B976" s="18" t="s">
        <v>42</v>
      </c>
      <c r="C976" s="18">
        <v>4.00456170421623</v>
      </c>
      <c r="D976" s="18">
        <v>1994</v>
      </c>
    </row>
    <row r="977" spans="1:4" ht="19.95" customHeight="1" x14ac:dyDescent="0.25">
      <c r="A977" s="17" t="s">
        <v>34</v>
      </c>
      <c r="B977" s="18" t="s">
        <v>42</v>
      </c>
      <c r="C977" s="18">
        <v>-50.248067104998597</v>
      </c>
      <c r="D977" s="18">
        <v>1994</v>
      </c>
    </row>
    <row r="978" spans="1:4" ht="19.95" customHeight="1" x14ac:dyDescent="0.25">
      <c r="A978" s="17" t="s">
        <v>35</v>
      </c>
      <c r="B978" s="18" t="s">
        <v>42</v>
      </c>
      <c r="C978" s="18"/>
      <c r="D978" s="18">
        <v>1994</v>
      </c>
    </row>
    <row r="979" spans="1:4" ht="19.95" customHeight="1" x14ac:dyDescent="0.25">
      <c r="A979" s="17" t="s">
        <v>2</v>
      </c>
      <c r="B979" s="18" t="s">
        <v>42</v>
      </c>
      <c r="C979" s="18">
        <v>5.5999187272134598</v>
      </c>
      <c r="D979" s="18">
        <v>1994</v>
      </c>
    </row>
    <row r="980" spans="1:4" ht="19.95" customHeight="1" x14ac:dyDescent="0.25">
      <c r="A980" s="17" t="s">
        <v>36</v>
      </c>
      <c r="B980" s="18" t="s">
        <v>42</v>
      </c>
      <c r="C980" s="18">
        <v>-21.2999980130949</v>
      </c>
      <c r="D980" s="18">
        <v>1994</v>
      </c>
    </row>
    <row r="981" spans="1:4" ht="19.95" customHeight="1" x14ac:dyDescent="0.25">
      <c r="A981" s="17" t="s">
        <v>37</v>
      </c>
      <c r="B981" s="18" t="s">
        <v>42</v>
      </c>
      <c r="C981" s="18">
        <v>1.56766176561416</v>
      </c>
      <c r="D981" s="18">
        <v>1994</v>
      </c>
    </row>
    <row r="982" spans="1:4" ht="19.95" customHeight="1" x14ac:dyDescent="0.25">
      <c r="A982" s="17" t="s">
        <v>38</v>
      </c>
      <c r="B982" s="18" t="s">
        <v>42</v>
      </c>
      <c r="C982" s="18">
        <v>6.4036357432406303</v>
      </c>
      <c r="D982" s="18">
        <v>1994</v>
      </c>
    </row>
    <row r="983" spans="1:4" ht="19.95" customHeight="1" x14ac:dyDescent="0.25">
      <c r="A983" s="17" t="s">
        <v>39</v>
      </c>
      <c r="B983" s="18" t="s">
        <v>42</v>
      </c>
      <c r="C983" s="18">
        <v>-8.6254419523127996</v>
      </c>
      <c r="D983" s="18">
        <v>1994</v>
      </c>
    </row>
    <row r="984" spans="1:4" ht="19.95" customHeight="1" x14ac:dyDescent="0.25">
      <c r="A984" s="17" t="s">
        <v>40</v>
      </c>
      <c r="B984" s="18" t="s">
        <v>42</v>
      </c>
      <c r="C984" s="18">
        <v>9.2351987418700894</v>
      </c>
      <c r="D984" s="18">
        <v>1994</v>
      </c>
    </row>
    <row r="985" spans="1:4" ht="19.95" customHeight="1" x14ac:dyDescent="0.25">
      <c r="A985" s="17" t="s">
        <v>10</v>
      </c>
      <c r="B985" s="18" t="s">
        <v>42</v>
      </c>
      <c r="C985" s="18">
        <v>-7.9200000006571996</v>
      </c>
      <c r="D985" s="18">
        <v>1995</v>
      </c>
    </row>
    <row r="986" spans="1:4" ht="19.95" customHeight="1" x14ac:dyDescent="0.25">
      <c r="A986" s="17" t="s">
        <v>13</v>
      </c>
      <c r="B986" s="18" t="s">
        <v>42</v>
      </c>
      <c r="C986" s="18">
        <v>3.4697921483269001</v>
      </c>
      <c r="D986" s="18">
        <v>1995</v>
      </c>
    </row>
    <row r="987" spans="1:4" ht="19.95" customHeight="1" x14ac:dyDescent="0.25">
      <c r="A987" s="17" t="s">
        <v>16</v>
      </c>
      <c r="B987" s="18" t="s">
        <v>42</v>
      </c>
      <c r="C987" s="18">
        <v>1.23654931686494</v>
      </c>
      <c r="D987" s="18">
        <v>1995</v>
      </c>
    </row>
    <row r="988" spans="1:4" ht="19.95" customHeight="1" x14ac:dyDescent="0.25">
      <c r="A988" s="17" t="s">
        <v>15</v>
      </c>
      <c r="B988" s="18" t="s">
        <v>42</v>
      </c>
      <c r="C988" s="18">
        <v>3.61012947783628</v>
      </c>
      <c r="D988" s="18">
        <v>1995</v>
      </c>
    </row>
    <row r="989" spans="1:4" ht="19.95" customHeight="1" x14ac:dyDescent="0.25">
      <c r="A989" s="17" t="s">
        <v>17</v>
      </c>
      <c r="B989" s="18" t="s">
        <v>42</v>
      </c>
      <c r="C989" s="18"/>
      <c r="D989" s="18">
        <v>1995</v>
      </c>
    </row>
    <row r="990" spans="1:4" ht="19.95" customHeight="1" x14ac:dyDescent="0.25">
      <c r="A990" s="17" t="s">
        <v>18</v>
      </c>
      <c r="B990" s="18" t="s">
        <v>42</v>
      </c>
      <c r="C990" s="18">
        <v>6.1275114123847496</v>
      </c>
      <c r="D990" s="18">
        <v>1995</v>
      </c>
    </row>
    <row r="991" spans="1:4" ht="19.95" customHeight="1" x14ac:dyDescent="0.25">
      <c r="A991" s="17" t="s">
        <v>19</v>
      </c>
      <c r="B991" s="18" t="s">
        <v>42</v>
      </c>
      <c r="C991" s="18">
        <v>4.6076732020219699</v>
      </c>
      <c r="D991" s="18">
        <v>1995</v>
      </c>
    </row>
    <row r="992" spans="1:4" ht="19.95" customHeight="1" x14ac:dyDescent="0.25">
      <c r="A992" s="17" t="s">
        <v>20</v>
      </c>
      <c r="B992" s="18" t="s">
        <v>42</v>
      </c>
      <c r="C992" s="18"/>
      <c r="D992" s="18">
        <v>1995</v>
      </c>
    </row>
    <row r="993" spans="1:4" ht="19.95" customHeight="1" x14ac:dyDescent="0.25">
      <c r="A993" s="17" t="s">
        <v>21</v>
      </c>
      <c r="B993" s="18" t="s">
        <v>42</v>
      </c>
      <c r="C993" s="18">
        <v>4.4062165258050801</v>
      </c>
      <c r="D993" s="18">
        <v>1995</v>
      </c>
    </row>
    <row r="994" spans="1:4" ht="19.95" customHeight="1" x14ac:dyDescent="0.25">
      <c r="A994" s="17" t="s">
        <v>22</v>
      </c>
      <c r="B994" s="18" t="s">
        <v>42</v>
      </c>
      <c r="C994" s="18"/>
      <c r="D994" s="18">
        <v>1995</v>
      </c>
    </row>
    <row r="995" spans="1:4" ht="19.95" customHeight="1" x14ac:dyDescent="0.25">
      <c r="A995" s="17" t="s">
        <v>23</v>
      </c>
      <c r="B995" s="18" t="s">
        <v>42</v>
      </c>
      <c r="C995" s="18">
        <v>-4.2662116040955604</v>
      </c>
      <c r="D995" s="18">
        <v>1995</v>
      </c>
    </row>
    <row r="996" spans="1:4" ht="19.95" customHeight="1" x14ac:dyDescent="0.25">
      <c r="A996" s="17" t="s">
        <v>24</v>
      </c>
      <c r="B996" s="18" t="s">
        <v>42</v>
      </c>
      <c r="C996" s="18">
        <v>1.7122131758249599</v>
      </c>
      <c r="D996" s="18">
        <v>1995</v>
      </c>
    </row>
    <row r="997" spans="1:4" ht="19.95" customHeight="1" x14ac:dyDescent="0.25">
      <c r="A997" s="17" t="s">
        <v>25</v>
      </c>
      <c r="B997" s="18" t="s">
        <v>42</v>
      </c>
      <c r="C997" s="18">
        <v>16.728817592001501</v>
      </c>
      <c r="D997" s="18">
        <v>1995</v>
      </c>
    </row>
    <row r="998" spans="1:4" ht="19.95" customHeight="1" x14ac:dyDescent="0.25">
      <c r="A998" s="17" t="s">
        <v>26</v>
      </c>
      <c r="B998" s="18" t="s">
        <v>42</v>
      </c>
      <c r="C998" s="18">
        <v>0.92102239769160099</v>
      </c>
      <c r="D998" s="18">
        <v>1995</v>
      </c>
    </row>
    <row r="999" spans="1:4" ht="19.95" customHeight="1" x14ac:dyDescent="0.25">
      <c r="A999" s="17" t="s">
        <v>27</v>
      </c>
      <c r="B999" s="18" t="s">
        <v>42</v>
      </c>
      <c r="C999" s="18"/>
      <c r="D999" s="18">
        <v>1995</v>
      </c>
    </row>
    <row r="1000" spans="1:4" ht="19.95" customHeight="1" x14ac:dyDescent="0.25">
      <c r="A1000" s="17" t="s">
        <v>28</v>
      </c>
      <c r="B1000" s="18" t="s">
        <v>42</v>
      </c>
      <c r="C1000" s="18">
        <v>2.2373100453749499</v>
      </c>
      <c r="D1000" s="18">
        <v>1995</v>
      </c>
    </row>
    <row r="1001" spans="1:4" ht="19.95" customHeight="1" x14ac:dyDescent="0.25">
      <c r="A1001" s="17" t="s">
        <v>29</v>
      </c>
      <c r="B1001" s="18" t="s">
        <v>42</v>
      </c>
      <c r="C1001" s="18">
        <v>6.9480514367987496</v>
      </c>
      <c r="D1001" s="18">
        <v>1995</v>
      </c>
    </row>
    <row r="1002" spans="1:4" ht="19.95" customHeight="1" x14ac:dyDescent="0.25">
      <c r="A1002" s="17" t="s">
        <v>31</v>
      </c>
      <c r="B1002" s="18" t="s">
        <v>42</v>
      </c>
      <c r="C1002" s="18">
        <v>3.46845188342333</v>
      </c>
      <c r="D1002" s="18">
        <v>1995</v>
      </c>
    </row>
    <row r="1003" spans="1:4" ht="19.95" customHeight="1" x14ac:dyDescent="0.25">
      <c r="A1003" s="17" t="s">
        <v>32</v>
      </c>
      <c r="B1003" s="18" t="s">
        <v>42</v>
      </c>
      <c r="C1003" s="18">
        <v>5.9119077946102996</v>
      </c>
      <c r="D1003" s="18">
        <v>1995</v>
      </c>
    </row>
    <row r="1004" spans="1:4" ht="19.95" customHeight="1" x14ac:dyDescent="0.25">
      <c r="A1004" s="17" t="s">
        <v>33</v>
      </c>
      <c r="B1004" s="18" t="s">
        <v>42</v>
      </c>
      <c r="C1004" s="18">
        <v>2.6057558543661399</v>
      </c>
      <c r="D1004" s="18">
        <v>1995</v>
      </c>
    </row>
    <row r="1005" spans="1:4" ht="19.95" customHeight="1" x14ac:dyDescent="0.25">
      <c r="A1005" s="17" t="s">
        <v>34</v>
      </c>
      <c r="B1005" s="18" t="s">
        <v>42</v>
      </c>
      <c r="C1005" s="18">
        <v>35.224078307843698</v>
      </c>
      <c r="D1005" s="18">
        <v>1995</v>
      </c>
    </row>
    <row r="1006" spans="1:4" ht="19.95" customHeight="1" x14ac:dyDescent="0.25">
      <c r="A1006" s="17" t="s">
        <v>35</v>
      </c>
      <c r="B1006" s="18" t="s">
        <v>42</v>
      </c>
      <c r="C1006" s="18"/>
      <c r="D1006" s="18">
        <v>1995</v>
      </c>
    </row>
    <row r="1007" spans="1:4" ht="19.95" customHeight="1" x14ac:dyDescent="0.25">
      <c r="A1007" s="17" t="s">
        <v>2</v>
      </c>
      <c r="B1007" s="18" t="s">
        <v>42</v>
      </c>
      <c r="C1007" s="18">
        <v>5.5000852320522702</v>
      </c>
      <c r="D1007" s="18">
        <v>1995</v>
      </c>
    </row>
    <row r="1008" spans="1:4" ht="19.95" customHeight="1" x14ac:dyDescent="0.25">
      <c r="A1008" s="17" t="s">
        <v>36</v>
      </c>
      <c r="B1008" s="18" t="s">
        <v>42</v>
      </c>
      <c r="C1008" s="18">
        <v>-12.400000373295599</v>
      </c>
      <c r="D1008" s="18">
        <v>1995</v>
      </c>
    </row>
    <row r="1009" spans="1:4" ht="19.95" customHeight="1" x14ac:dyDescent="0.25">
      <c r="A1009" s="17" t="s">
        <v>37</v>
      </c>
      <c r="B1009" s="18" t="s">
        <v>42</v>
      </c>
      <c r="C1009" s="18">
        <v>3.5699118682941098</v>
      </c>
      <c r="D1009" s="18">
        <v>1995</v>
      </c>
    </row>
    <row r="1010" spans="1:4" ht="19.95" customHeight="1" x14ac:dyDescent="0.25">
      <c r="A1010" s="17" t="s">
        <v>38</v>
      </c>
      <c r="B1010" s="18" t="s">
        <v>42</v>
      </c>
      <c r="C1010" s="18">
        <v>11.523243808244199</v>
      </c>
      <c r="D1010" s="18">
        <v>1995</v>
      </c>
    </row>
    <row r="1011" spans="1:4" ht="19.95" customHeight="1" x14ac:dyDescent="0.25">
      <c r="A1011" s="17" t="s">
        <v>39</v>
      </c>
      <c r="B1011" s="18" t="s">
        <v>42</v>
      </c>
      <c r="C1011" s="18">
        <v>2.8976688934169799</v>
      </c>
      <c r="D1011" s="18">
        <v>1995</v>
      </c>
    </row>
    <row r="1012" spans="1:4" ht="19.95" customHeight="1" x14ac:dyDescent="0.25">
      <c r="A1012" s="17" t="s">
        <v>40</v>
      </c>
      <c r="B1012" s="18" t="s">
        <v>42</v>
      </c>
      <c r="C1012" s="18">
        <v>0.15802575242264499</v>
      </c>
      <c r="D1012" s="18">
        <v>1995</v>
      </c>
    </row>
    <row r="1013" spans="1:4" ht="19.95" customHeight="1" x14ac:dyDescent="0.25">
      <c r="A1013" s="17" t="s">
        <v>10</v>
      </c>
      <c r="B1013" s="18" t="s">
        <v>42</v>
      </c>
      <c r="C1013" s="18">
        <v>-8.0000000013725305</v>
      </c>
      <c r="D1013" s="18">
        <v>1996</v>
      </c>
    </row>
    <row r="1014" spans="1:4" ht="19.95" customHeight="1" x14ac:dyDescent="0.25">
      <c r="A1014" s="17" t="s">
        <v>13</v>
      </c>
      <c r="B1014" s="18" t="s">
        <v>42</v>
      </c>
      <c r="C1014" s="18">
        <v>4.36108651788504</v>
      </c>
      <c r="D1014" s="18">
        <v>1996</v>
      </c>
    </row>
    <row r="1015" spans="1:4" ht="19.95" customHeight="1" x14ac:dyDescent="0.25">
      <c r="A1015" s="17" t="s">
        <v>16</v>
      </c>
      <c r="B1015" s="18" t="s">
        <v>42</v>
      </c>
      <c r="C1015" s="18">
        <v>2.2144730346744099</v>
      </c>
      <c r="D1015" s="18">
        <v>1996</v>
      </c>
    </row>
    <row r="1016" spans="1:4" ht="19.95" customHeight="1" x14ac:dyDescent="0.25">
      <c r="A1016" s="17" t="s">
        <v>15</v>
      </c>
      <c r="B1016" s="18" t="s">
        <v>42</v>
      </c>
      <c r="C1016" s="18">
        <v>-1.29166843572652</v>
      </c>
      <c r="D1016" s="18">
        <v>1996</v>
      </c>
    </row>
    <row r="1017" spans="1:4" ht="19.95" customHeight="1" x14ac:dyDescent="0.25">
      <c r="A1017" s="17" t="s">
        <v>17</v>
      </c>
      <c r="B1017" s="18" t="s">
        <v>42</v>
      </c>
      <c r="C1017" s="18"/>
      <c r="D1017" s="18">
        <v>1996</v>
      </c>
    </row>
    <row r="1018" spans="1:4" ht="19.95" customHeight="1" x14ac:dyDescent="0.25">
      <c r="A1018" s="17" t="s">
        <v>18</v>
      </c>
      <c r="B1018" s="18" t="s">
        <v>42</v>
      </c>
      <c r="C1018" s="18">
        <v>12.4261737798184</v>
      </c>
      <c r="D1018" s="18">
        <v>1996</v>
      </c>
    </row>
    <row r="1019" spans="1:4" ht="19.95" customHeight="1" x14ac:dyDescent="0.25">
      <c r="A1019" s="17" t="s">
        <v>19</v>
      </c>
      <c r="B1019" s="18" t="s">
        <v>42</v>
      </c>
      <c r="C1019" s="18">
        <v>4.4615750849505096</v>
      </c>
      <c r="D1019" s="18">
        <v>1996</v>
      </c>
    </row>
    <row r="1020" spans="1:4" ht="19.95" customHeight="1" x14ac:dyDescent="0.25">
      <c r="A1020" s="17" t="s">
        <v>20</v>
      </c>
      <c r="B1020" s="18" t="s">
        <v>42</v>
      </c>
      <c r="C1020" s="18"/>
      <c r="D1020" s="18">
        <v>1996</v>
      </c>
    </row>
    <row r="1021" spans="1:4" ht="19.95" customHeight="1" x14ac:dyDescent="0.25">
      <c r="A1021" s="17" t="s">
        <v>21</v>
      </c>
      <c r="B1021" s="18" t="s">
        <v>42</v>
      </c>
      <c r="C1021" s="18">
        <v>4.1468392671670999</v>
      </c>
      <c r="D1021" s="18">
        <v>1996</v>
      </c>
    </row>
    <row r="1022" spans="1:4" ht="19.95" customHeight="1" x14ac:dyDescent="0.25">
      <c r="A1022" s="17" t="s">
        <v>22</v>
      </c>
      <c r="B1022" s="18" t="s">
        <v>42</v>
      </c>
      <c r="C1022" s="18"/>
      <c r="D1022" s="18">
        <v>1996</v>
      </c>
    </row>
    <row r="1023" spans="1:4" ht="19.95" customHeight="1" x14ac:dyDescent="0.25">
      <c r="A1023" s="17" t="s">
        <v>23</v>
      </c>
      <c r="B1023" s="18" t="s">
        <v>42</v>
      </c>
      <c r="C1023" s="18">
        <v>12.1212121212121</v>
      </c>
      <c r="D1023" s="18">
        <v>1996</v>
      </c>
    </row>
    <row r="1024" spans="1:4" ht="19.95" customHeight="1" x14ac:dyDescent="0.25">
      <c r="A1024" s="17" t="s">
        <v>24</v>
      </c>
      <c r="B1024" s="18" t="s">
        <v>42</v>
      </c>
      <c r="C1024" s="18">
        <v>2.1489150482302102</v>
      </c>
      <c r="D1024" s="18">
        <v>1996</v>
      </c>
    </row>
    <row r="1025" spans="1:4" ht="19.95" customHeight="1" x14ac:dyDescent="0.25">
      <c r="A1025" s="17" t="s">
        <v>25</v>
      </c>
      <c r="B1025" s="18" t="s">
        <v>42</v>
      </c>
      <c r="C1025" s="18">
        <v>7.3166815111922396</v>
      </c>
      <c r="D1025" s="18">
        <v>1996</v>
      </c>
    </row>
    <row r="1026" spans="1:4" ht="19.95" customHeight="1" x14ac:dyDescent="0.25">
      <c r="A1026" s="17" t="s">
        <v>26</v>
      </c>
      <c r="B1026" s="18" t="s">
        <v>42</v>
      </c>
      <c r="C1026" s="18">
        <v>7.05578540412266</v>
      </c>
      <c r="D1026" s="18">
        <v>1996</v>
      </c>
    </row>
    <row r="1027" spans="1:4" ht="19.95" customHeight="1" x14ac:dyDescent="0.25">
      <c r="A1027" s="17" t="s">
        <v>27</v>
      </c>
      <c r="B1027" s="18" t="s">
        <v>42</v>
      </c>
      <c r="C1027" s="18">
        <v>-5.8770601613995304</v>
      </c>
      <c r="D1027" s="18">
        <v>1996</v>
      </c>
    </row>
    <row r="1028" spans="1:4" ht="19.95" customHeight="1" x14ac:dyDescent="0.25">
      <c r="A1028" s="17" t="s">
        <v>28</v>
      </c>
      <c r="B1028" s="18" t="s">
        <v>42</v>
      </c>
      <c r="C1028" s="18">
        <v>26.845321911800799</v>
      </c>
      <c r="D1028" s="18">
        <v>1996</v>
      </c>
    </row>
    <row r="1029" spans="1:4" ht="19.95" customHeight="1" x14ac:dyDescent="0.25">
      <c r="A1029" s="17" t="s">
        <v>29</v>
      </c>
      <c r="B1029" s="18" t="s">
        <v>42</v>
      </c>
      <c r="C1029" s="18">
        <v>6.4427153474501599</v>
      </c>
      <c r="D1029" s="18">
        <v>1996</v>
      </c>
    </row>
    <row r="1030" spans="1:4" ht="19.95" customHeight="1" x14ac:dyDescent="0.25">
      <c r="A1030" s="17" t="s">
        <v>31</v>
      </c>
      <c r="B1030" s="18" t="s">
        <v>42</v>
      </c>
      <c r="C1030" s="18">
        <v>5.3282841745095597</v>
      </c>
      <c r="D1030" s="18">
        <v>1996</v>
      </c>
    </row>
    <row r="1031" spans="1:4" ht="19.95" customHeight="1" x14ac:dyDescent="0.25">
      <c r="A1031" s="17" t="s">
        <v>32</v>
      </c>
      <c r="B1031" s="18" t="s">
        <v>42</v>
      </c>
      <c r="C1031" s="18">
        <v>6.3442683043654302</v>
      </c>
      <c r="D1031" s="18">
        <v>1996</v>
      </c>
    </row>
    <row r="1032" spans="1:4" ht="19.95" customHeight="1" x14ac:dyDescent="0.25">
      <c r="A1032" s="17" t="s">
        <v>33</v>
      </c>
      <c r="B1032" s="18" t="s">
        <v>42</v>
      </c>
      <c r="C1032" s="18">
        <v>3.4190930985409098</v>
      </c>
      <c r="D1032" s="18">
        <v>1996</v>
      </c>
    </row>
    <row r="1033" spans="1:4" ht="19.95" customHeight="1" x14ac:dyDescent="0.25">
      <c r="A1033" s="17" t="s">
        <v>34</v>
      </c>
      <c r="B1033" s="18" t="s">
        <v>42</v>
      </c>
      <c r="C1033" s="18">
        <v>12.745695757101201</v>
      </c>
      <c r="D1033" s="18">
        <v>1996</v>
      </c>
    </row>
    <row r="1034" spans="1:4" ht="19.95" customHeight="1" x14ac:dyDescent="0.25">
      <c r="A1034" s="17" t="s">
        <v>35</v>
      </c>
      <c r="B1034" s="18" t="s">
        <v>42</v>
      </c>
      <c r="C1034" s="18"/>
      <c r="D1034" s="18">
        <v>1996</v>
      </c>
    </row>
    <row r="1035" spans="1:4" ht="19.95" customHeight="1" x14ac:dyDescent="0.25">
      <c r="A1035" s="17" t="s">
        <v>2</v>
      </c>
      <c r="B1035" s="18" t="s">
        <v>42</v>
      </c>
      <c r="C1035" s="18">
        <v>3.79996720523084</v>
      </c>
      <c r="D1035" s="18">
        <v>1996</v>
      </c>
    </row>
    <row r="1036" spans="1:4" ht="19.95" customHeight="1" x14ac:dyDescent="0.25">
      <c r="A1036" s="17" t="s">
        <v>36</v>
      </c>
      <c r="B1036" s="18" t="s">
        <v>42</v>
      </c>
      <c r="C1036" s="18">
        <v>-16.6999987664469</v>
      </c>
      <c r="D1036" s="18">
        <v>1996</v>
      </c>
    </row>
    <row r="1037" spans="1:4" ht="19.95" customHeight="1" x14ac:dyDescent="0.25">
      <c r="A1037" s="17" t="s">
        <v>37</v>
      </c>
      <c r="B1037" s="18" t="s">
        <v>42</v>
      </c>
      <c r="C1037" s="18">
        <v>4.5443668018247196</v>
      </c>
      <c r="D1037" s="18">
        <v>1996</v>
      </c>
    </row>
    <row r="1038" spans="1:4" ht="19.95" customHeight="1" x14ac:dyDescent="0.25">
      <c r="A1038" s="17" t="s">
        <v>38</v>
      </c>
      <c r="B1038" s="18" t="s">
        <v>42</v>
      </c>
      <c r="C1038" s="18">
        <v>9.0721145819309204</v>
      </c>
      <c r="D1038" s="18">
        <v>1996</v>
      </c>
    </row>
    <row r="1039" spans="1:4" ht="19.95" customHeight="1" x14ac:dyDescent="0.25">
      <c r="A1039" s="17" t="s">
        <v>39</v>
      </c>
      <c r="B1039" s="18" t="s">
        <v>42</v>
      </c>
      <c r="C1039" s="18">
        <v>6.2185464889429296</v>
      </c>
      <c r="D1039" s="18">
        <v>1996</v>
      </c>
    </row>
    <row r="1040" spans="1:4" ht="19.95" customHeight="1" x14ac:dyDescent="0.25">
      <c r="A1040" s="17" t="s">
        <v>40</v>
      </c>
      <c r="B1040" s="18" t="s">
        <v>42</v>
      </c>
      <c r="C1040" s="18">
        <v>10.360696743294801</v>
      </c>
      <c r="D1040" s="18">
        <v>1996</v>
      </c>
    </row>
    <row r="1041" spans="1:4" ht="19.95" customHeight="1" x14ac:dyDescent="0.25">
      <c r="A1041" s="17" t="s">
        <v>10</v>
      </c>
      <c r="B1041" s="18" t="s">
        <v>42</v>
      </c>
      <c r="C1041" s="18">
        <v>-1.5899999971999299</v>
      </c>
      <c r="D1041" s="18">
        <v>1997</v>
      </c>
    </row>
    <row r="1042" spans="1:4" ht="19.95" customHeight="1" x14ac:dyDescent="0.25">
      <c r="A1042" s="17" t="s">
        <v>13</v>
      </c>
      <c r="B1042" s="18" t="s">
        <v>42</v>
      </c>
      <c r="C1042" s="18">
        <v>5.2313207086864804</v>
      </c>
      <c r="D1042" s="18">
        <v>1997</v>
      </c>
    </row>
    <row r="1043" spans="1:4" ht="19.95" customHeight="1" x14ac:dyDescent="0.25">
      <c r="A1043" s="17" t="s">
        <v>16</v>
      </c>
      <c r="B1043" s="18" t="s">
        <v>42</v>
      </c>
      <c r="C1043" s="18">
        <v>5.6533923278835498</v>
      </c>
      <c r="D1043" s="18">
        <v>1997</v>
      </c>
    </row>
    <row r="1044" spans="1:4" ht="19.95" customHeight="1" x14ac:dyDescent="0.25">
      <c r="A1044" s="17" t="s">
        <v>15</v>
      </c>
      <c r="B1044" s="18" t="s">
        <v>42</v>
      </c>
      <c r="C1044" s="18">
        <v>4.0303406688696999</v>
      </c>
      <c r="D1044" s="18">
        <v>1997</v>
      </c>
    </row>
    <row r="1045" spans="1:4" ht="19.95" customHeight="1" x14ac:dyDescent="0.25">
      <c r="A1045" s="17" t="s">
        <v>17</v>
      </c>
      <c r="B1045" s="18" t="s">
        <v>42</v>
      </c>
      <c r="C1045" s="18"/>
      <c r="D1045" s="18">
        <v>1997</v>
      </c>
    </row>
    <row r="1046" spans="1:4" ht="19.95" customHeight="1" x14ac:dyDescent="0.25">
      <c r="A1046" s="17" t="s">
        <v>18</v>
      </c>
      <c r="B1046" s="18" t="s">
        <v>42</v>
      </c>
      <c r="C1046" s="18">
        <v>3.1339068670042098</v>
      </c>
      <c r="D1046" s="18">
        <v>1997</v>
      </c>
    </row>
    <row r="1047" spans="1:4" ht="19.95" customHeight="1" x14ac:dyDescent="0.25">
      <c r="A1047" s="17" t="s">
        <v>19</v>
      </c>
      <c r="B1047" s="18" t="s">
        <v>42</v>
      </c>
      <c r="C1047" s="18">
        <v>5.18160345884999</v>
      </c>
      <c r="D1047" s="18">
        <v>1997</v>
      </c>
    </row>
    <row r="1048" spans="1:4" ht="19.95" customHeight="1" x14ac:dyDescent="0.25">
      <c r="A1048" s="17" t="s">
        <v>20</v>
      </c>
      <c r="B1048" s="18" t="s">
        <v>42</v>
      </c>
      <c r="C1048" s="18">
        <v>2.70471342634906</v>
      </c>
      <c r="D1048" s="18">
        <v>1997</v>
      </c>
    </row>
    <row r="1049" spans="1:4" ht="19.95" customHeight="1" x14ac:dyDescent="0.25">
      <c r="A1049" s="17" t="s">
        <v>21</v>
      </c>
      <c r="B1049" s="18" t="s">
        <v>42</v>
      </c>
      <c r="C1049" s="18">
        <v>0.47490192048410101</v>
      </c>
      <c r="D1049" s="18">
        <v>1997</v>
      </c>
    </row>
    <row r="1050" spans="1:4" ht="19.95" customHeight="1" x14ac:dyDescent="0.25">
      <c r="A1050" s="17" t="s">
        <v>22</v>
      </c>
      <c r="B1050" s="18" t="s">
        <v>42</v>
      </c>
      <c r="C1050" s="18"/>
      <c r="D1050" s="18">
        <v>1997</v>
      </c>
    </row>
    <row r="1051" spans="1:4" ht="19.95" customHeight="1" x14ac:dyDescent="0.25">
      <c r="A1051" s="17" t="s">
        <v>23</v>
      </c>
      <c r="B1051" s="18" t="s">
        <v>42</v>
      </c>
      <c r="C1051" s="18">
        <v>106.279809220986</v>
      </c>
      <c r="D1051" s="18">
        <v>1997</v>
      </c>
    </row>
    <row r="1052" spans="1:4" ht="19.95" customHeight="1" x14ac:dyDescent="0.25">
      <c r="A1052" s="17" t="s">
        <v>24</v>
      </c>
      <c r="B1052" s="18" t="s">
        <v>42</v>
      </c>
      <c r="C1052" s="18">
        <v>3.6934926062314002</v>
      </c>
      <c r="D1052" s="18">
        <v>1997</v>
      </c>
    </row>
    <row r="1053" spans="1:4" ht="19.95" customHeight="1" x14ac:dyDescent="0.25">
      <c r="A1053" s="17" t="s">
        <v>25</v>
      </c>
      <c r="B1053" s="18" t="s">
        <v>42</v>
      </c>
      <c r="C1053" s="18">
        <v>3.79241909896268</v>
      </c>
      <c r="D1053" s="18">
        <v>1997</v>
      </c>
    </row>
    <row r="1054" spans="1:4" ht="19.95" customHeight="1" x14ac:dyDescent="0.25">
      <c r="A1054" s="17" t="s">
        <v>26</v>
      </c>
      <c r="B1054" s="18" t="s">
        <v>42</v>
      </c>
      <c r="C1054" s="18">
        <v>4.8290243393480701</v>
      </c>
      <c r="D1054" s="18">
        <v>1997</v>
      </c>
    </row>
    <row r="1055" spans="1:4" ht="19.95" customHeight="1" x14ac:dyDescent="0.25">
      <c r="A1055" s="17" t="s">
        <v>27</v>
      </c>
      <c r="B1055" s="18" t="s">
        <v>42</v>
      </c>
      <c r="C1055" s="18">
        <v>1.64706446813105</v>
      </c>
      <c r="D1055" s="18">
        <v>1997</v>
      </c>
    </row>
    <row r="1056" spans="1:4" ht="19.95" customHeight="1" x14ac:dyDescent="0.25">
      <c r="A1056" s="17" t="s">
        <v>28</v>
      </c>
      <c r="B1056" s="18" t="s">
        <v>42</v>
      </c>
      <c r="C1056" s="18">
        <v>10.842031640483899</v>
      </c>
      <c r="D1056" s="18">
        <v>1997</v>
      </c>
    </row>
    <row r="1057" spans="1:4" ht="19.95" customHeight="1" x14ac:dyDescent="0.25">
      <c r="A1057" s="17" t="s">
        <v>29</v>
      </c>
      <c r="B1057" s="18" t="s">
        <v>42</v>
      </c>
      <c r="C1057" s="18">
        <v>5.65158296317676</v>
      </c>
      <c r="D1057" s="18">
        <v>1997</v>
      </c>
    </row>
    <row r="1058" spans="1:4" ht="19.95" customHeight="1" x14ac:dyDescent="0.25">
      <c r="A1058" s="17" t="s">
        <v>31</v>
      </c>
      <c r="B1058" s="18" t="s">
        <v>42</v>
      </c>
      <c r="C1058" s="18">
        <v>5.0486125359023601</v>
      </c>
      <c r="D1058" s="18">
        <v>1997</v>
      </c>
    </row>
    <row r="1059" spans="1:4" ht="19.95" customHeight="1" x14ac:dyDescent="0.25">
      <c r="A1059" s="17" t="s">
        <v>32</v>
      </c>
      <c r="B1059" s="18" t="s">
        <v>42</v>
      </c>
      <c r="C1059" s="18">
        <v>3.96665097334412</v>
      </c>
      <c r="D1059" s="18">
        <v>1997</v>
      </c>
    </row>
    <row r="1060" spans="1:4" ht="19.95" customHeight="1" x14ac:dyDescent="0.25">
      <c r="A1060" s="17" t="s">
        <v>33</v>
      </c>
      <c r="B1060" s="18" t="s">
        <v>42</v>
      </c>
      <c r="C1060" s="18">
        <v>2.75396562350956</v>
      </c>
      <c r="D1060" s="18">
        <v>1997</v>
      </c>
    </row>
    <row r="1061" spans="1:4" ht="19.95" customHeight="1" x14ac:dyDescent="0.25">
      <c r="A1061" s="17" t="s">
        <v>34</v>
      </c>
      <c r="B1061" s="18" t="s">
        <v>42</v>
      </c>
      <c r="C1061" s="18">
        <v>13.8497524860346</v>
      </c>
      <c r="D1061" s="18">
        <v>1997</v>
      </c>
    </row>
    <row r="1062" spans="1:4" ht="19.95" customHeight="1" x14ac:dyDescent="0.25">
      <c r="A1062" s="17" t="s">
        <v>35</v>
      </c>
      <c r="B1062" s="18" t="s">
        <v>42</v>
      </c>
      <c r="C1062" s="18"/>
      <c r="D1062" s="18">
        <v>1997</v>
      </c>
    </row>
    <row r="1063" spans="1:4" ht="19.95" customHeight="1" x14ac:dyDescent="0.25">
      <c r="A1063" s="17" t="s">
        <v>2</v>
      </c>
      <c r="B1063" s="18" t="s">
        <v>42</v>
      </c>
      <c r="C1063" s="18">
        <v>6.4053996977280896</v>
      </c>
      <c r="D1063" s="18">
        <v>1997</v>
      </c>
    </row>
    <row r="1064" spans="1:4" ht="19.95" customHeight="1" x14ac:dyDescent="0.25">
      <c r="A1064" s="17" t="s">
        <v>36</v>
      </c>
      <c r="B1064" s="18" t="s">
        <v>42</v>
      </c>
      <c r="C1064" s="18">
        <v>1.69999579975382</v>
      </c>
      <c r="D1064" s="18">
        <v>1997</v>
      </c>
    </row>
    <row r="1065" spans="1:4" ht="19.95" customHeight="1" x14ac:dyDescent="0.25">
      <c r="A1065" s="17" t="s">
        <v>37</v>
      </c>
      <c r="B1065" s="18" t="s">
        <v>42</v>
      </c>
      <c r="C1065" s="18">
        <v>3.52527819146272</v>
      </c>
      <c r="D1065" s="18">
        <v>1997</v>
      </c>
    </row>
    <row r="1066" spans="1:4" ht="19.95" customHeight="1" x14ac:dyDescent="0.25">
      <c r="A1066" s="17" t="s">
        <v>38</v>
      </c>
      <c r="B1066" s="18" t="s">
        <v>42</v>
      </c>
      <c r="C1066" s="18">
        <v>5.1000018636117499</v>
      </c>
      <c r="D1066" s="18">
        <v>1997</v>
      </c>
    </row>
    <row r="1067" spans="1:4" ht="19.95" customHeight="1" x14ac:dyDescent="0.25">
      <c r="A1067" s="17" t="s">
        <v>39</v>
      </c>
      <c r="B1067" s="18" t="s">
        <v>42</v>
      </c>
      <c r="C1067" s="18">
        <v>3.81400749718355</v>
      </c>
      <c r="D1067" s="18">
        <v>1997</v>
      </c>
    </row>
    <row r="1068" spans="1:4" ht="19.95" customHeight="1" x14ac:dyDescent="0.25">
      <c r="A1068" s="17" t="s">
        <v>40</v>
      </c>
      <c r="B1068" s="18" t="s">
        <v>42</v>
      </c>
      <c r="C1068" s="18">
        <v>2.6805941737693102</v>
      </c>
      <c r="D1068" s="18">
        <v>1997</v>
      </c>
    </row>
    <row r="1069" spans="1:4" ht="19.95" customHeight="1" x14ac:dyDescent="0.25">
      <c r="A1069" s="17" t="s">
        <v>10</v>
      </c>
      <c r="B1069" s="18" t="s">
        <v>42</v>
      </c>
      <c r="C1069" s="18">
        <v>4.7499999920647999</v>
      </c>
      <c r="D1069" s="18">
        <v>1998</v>
      </c>
    </row>
    <row r="1070" spans="1:4" ht="19.95" customHeight="1" x14ac:dyDescent="0.25">
      <c r="A1070" s="17" t="s">
        <v>13</v>
      </c>
      <c r="B1070" s="18" t="s">
        <v>42</v>
      </c>
      <c r="C1070" s="18">
        <v>4.5022912410183604</v>
      </c>
      <c r="D1070" s="18">
        <v>1998</v>
      </c>
    </row>
    <row r="1071" spans="1:4" ht="19.95" customHeight="1" x14ac:dyDescent="0.25">
      <c r="A1071" s="17" t="s">
        <v>16</v>
      </c>
      <c r="B1071" s="18" t="s">
        <v>42</v>
      </c>
      <c r="C1071" s="18">
        <v>6.95157991354007</v>
      </c>
      <c r="D1071" s="18">
        <v>1998</v>
      </c>
    </row>
    <row r="1072" spans="1:4" ht="19.95" customHeight="1" x14ac:dyDescent="0.25">
      <c r="A1072" s="17" t="s">
        <v>15</v>
      </c>
      <c r="B1072" s="18" t="s">
        <v>42</v>
      </c>
      <c r="C1072" s="18">
        <v>1.2826624751014299</v>
      </c>
      <c r="D1072" s="18">
        <v>1998</v>
      </c>
    </row>
    <row r="1073" spans="1:4" ht="19.95" customHeight="1" x14ac:dyDescent="0.25">
      <c r="A1073" s="17" t="s">
        <v>17</v>
      </c>
      <c r="B1073" s="18" t="s">
        <v>42</v>
      </c>
      <c r="C1073" s="18"/>
      <c r="D1073" s="18">
        <v>1998</v>
      </c>
    </row>
    <row r="1074" spans="1:4" ht="19.95" customHeight="1" x14ac:dyDescent="0.25">
      <c r="A1074" s="17" t="s">
        <v>18</v>
      </c>
      <c r="B1074" s="18" t="s">
        <v>42</v>
      </c>
      <c r="C1074" s="18">
        <v>-3.4581391483898001</v>
      </c>
      <c r="D1074" s="18">
        <v>1998</v>
      </c>
    </row>
    <row r="1075" spans="1:4" ht="19.95" customHeight="1" x14ac:dyDescent="0.25">
      <c r="A1075" s="17" t="s">
        <v>19</v>
      </c>
      <c r="B1075" s="18" t="s">
        <v>42</v>
      </c>
      <c r="C1075" s="18">
        <v>3.6441212424800802</v>
      </c>
      <c r="D1075" s="18">
        <v>1998</v>
      </c>
    </row>
    <row r="1076" spans="1:4" ht="19.95" customHeight="1" x14ac:dyDescent="0.25">
      <c r="A1076" s="17" t="s">
        <v>20</v>
      </c>
      <c r="B1076" s="18" t="s">
        <v>42</v>
      </c>
      <c r="C1076" s="18">
        <v>2.1818409576637401</v>
      </c>
      <c r="D1076" s="18">
        <v>1998</v>
      </c>
    </row>
    <row r="1077" spans="1:4" ht="19.95" customHeight="1" x14ac:dyDescent="0.25">
      <c r="A1077" s="17" t="s">
        <v>21</v>
      </c>
      <c r="B1077" s="18" t="s">
        <v>42</v>
      </c>
      <c r="C1077" s="18">
        <v>3.2902137230934598</v>
      </c>
      <c r="D1077" s="18">
        <v>1998</v>
      </c>
    </row>
    <row r="1078" spans="1:4" ht="19.95" customHeight="1" x14ac:dyDescent="0.25">
      <c r="A1078" s="17" t="s">
        <v>22</v>
      </c>
      <c r="B1078" s="18" t="s">
        <v>42</v>
      </c>
      <c r="C1078" s="18"/>
      <c r="D1078" s="18">
        <v>1998</v>
      </c>
    </row>
    <row r="1079" spans="1:4" ht="19.95" customHeight="1" x14ac:dyDescent="0.25">
      <c r="A1079" s="17" t="s">
        <v>23</v>
      </c>
      <c r="B1079" s="18" t="s">
        <v>42</v>
      </c>
      <c r="C1079" s="18">
        <v>30.2081310211946</v>
      </c>
      <c r="D1079" s="18">
        <v>1998</v>
      </c>
    </row>
    <row r="1080" spans="1:4" ht="19.95" customHeight="1" x14ac:dyDescent="0.25">
      <c r="A1080" s="17" t="s">
        <v>24</v>
      </c>
      <c r="B1080" s="18" t="s">
        <v>42</v>
      </c>
      <c r="C1080" s="18">
        <v>3.9323364428415002</v>
      </c>
      <c r="D1080" s="18">
        <v>1998</v>
      </c>
    </row>
    <row r="1081" spans="1:4" ht="19.95" customHeight="1" x14ac:dyDescent="0.25">
      <c r="A1081" s="17" t="s">
        <v>25</v>
      </c>
      <c r="B1081" s="18" t="s">
        <v>42</v>
      </c>
      <c r="C1081" s="18">
        <v>3.8952536296371298</v>
      </c>
      <c r="D1081" s="18">
        <v>1998</v>
      </c>
    </row>
    <row r="1082" spans="1:4" ht="19.95" customHeight="1" x14ac:dyDescent="0.25">
      <c r="A1082" s="17" t="s">
        <v>26</v>
      </c>
      <c r="B1082" s="18" t="s">
        <v>42</v>
      </c>
      <c r="C1082" s="18">
        <v>7.57166763990283</v>
      </c>
      <c r="D1082" s="18">
        <v>1998</v>
      </c>
    </row>
    <row r="1083" spans="1:4" ht="19.95" customHeight="1" x14ac:dyDescent="0.25">
      <c r="A1083" s="17" t="s">
        <v>27</v>
      </c>
      <c r="B1083" s="18" t="s">
        <v>42</v>
      </c>
      <c r="C1083" s="18">
        <v>-6.5421920203155999</v>
      </c>
      <c r="D1083" s="18">
        <v>1998</v>
      </c>
    </row>
    <row r="1084" spans="1:4" ht="19.95" customHeight="1" x14ac:dyDescent="0.25">
      <c r="A1084" s="17" t="s">
        <v>28</v>
      </c>
      <c r="B1084" s="18" t="s">
        <v>42</v>
      </c>
      <c r="C1084" s="18">
        <v>11.859393980897099</v>
      </c>
      <c r="D1084" s="18">
        <v>1998</v>
      </c>
    </row>
    <row r="1085" spans="1:4" ht="19.95" customHeight="1" x14ac:dyDescent="0.25">
      <c r="A1085" s="17" t="s">
        <v>29</v>
      </c>
      <c r="B1085" s="18" t="s">
        <v>42</v>
      </c>
      <c r="C1085" s="18">
        <v>5.8662131529920503</v>
      </c>
      <c r="D1085" s="18">
        <v>1998</v>
      </c>
    </row>
    <row r="1086" spans="1:4" ht="19.95" customHeight="1" x14ac:dyDescent="0.25">
      <c r="A1086" s="17" t="s">
        <v>31</v>
      </c>
      <c r="B1086" s="18" t="s">
        <v>42</v>
      </c>
      <c r="C1086" s="18">
        <v>3.0163894816854899</v>
      </c>
      <c r="D1086" s="18">
        <v>1998</v>
      </c>
    </row>
    <row r="1087" spans="1:4" ht="19.95" customHeight="1" x14ac:dyDescent="0.25">
      <c r="A1087" s="17" t="s">
        <v>32</v>
      </c>
      <c r="B1087" s="18" t="s">
        <v>42</v>
      </c>
      <c r="C1087" s="18">
        <v>3.7116814475378601</v>
      </c>
      <c r="D1087" s="18">
        <v>1998</v>
      </c>
    </row>
    <row r="1088" spans="1:4" ht="19.95" customHeight="1" x14ac:dyDescent="0.25">
      <c r="A1088" s="17" t="s">
        <v>33</v>
      </c>
      <c r="B1088" s="18" t="s">
        <v>42</v>
      </c>
      <c r="C1088" s="18">
        <v>10.4222625215939</v>
      </c>
      <c r="D1088" s="18">
        <v>1998</v>
      </c>
    </row>
    <row r="1089" spans="1:4" ht="19.95" customHeight="1" x14ac:dyDescent="0.25">
      <c r="A1089" s="17" t="s">
        <v>34</v>
      </c>
      <c r="B1089" s="18" t="s">
        <v>42</v>
      </c>
      <c r="C1089" s="18">
        <v>8.8586694956528298</v>
      </c>
      <c r="D1089" s="18">
        <v>1998</v>
      </c>
    </row>
    <row r="1090" spans="1:4" ht="19.95" customHeight="1" x14ac:dyDescent="0.25">
      <c r="A1090" s="17" t="s">
        <v>35</v>
      </c>
      <c r="B1090" s="18" t="s">
        <v>42</v>
      </c>
      <c r="C1090" s="18"/>
      <c r="D1090" s="18">
        <v>1998</v>
      </c>
    </row>
    <row r="1091" spans="1:4" ht="19.95" customHeight="1" x14ac:dyDescent="0.25">
      <c r="A1091" s="17" t="s">
        <v>2</v>
      </c>
      <c r="B1091" s="18" t="s">
        <v>42</v>
      </c>
      <c r="C1091" s="18">
        <v>4.6984230462325796</v>
      </c>
      <c r="D1091" s="18">
        <v>1998</v>
      </c>
    </row>
    <row r="1092" spans="1:4" ht="19.95" customHeight="1" x14ac:dyDescent="0.25">
      <c r="A1092" s="17" t="s">
        <v>36</v>
      </c>
      <c r="B1092" s="18" t="s">
        <v>42</v>
      </c>
      <c r="C1092" s="18">
        <v>5.3000007677630503</v>
      </c>
      <c r="D1092" s="18">
        <v>1998</v>
      </c>
    </row>
    <row r="1093" spans="1:4" ht="19.95" customHeight="1" x14ac:dyDescent="0.25">
      <c r="A1093" s="17" t="s">
        <v>37</v>
      </c>
      <c r="B1093" s="18" t="s">
        <v>42</v>
      </c>
      <c r="C1093" s="18">
        <v>3.7085115959470998</v>
      </c>
      <c r="D1093" s="18">
        <v>1998</v>
      </c>
    </row>
    <row r="1094" spans="1:4" ht="19.95" customHeight="1" x14ac:dyDescent="0.25">
      <c r="A1094" s="17" t="s">
        <v>38</v>
      </c>
      <c r="B1094" s="18" t="s">
        <v>42</v>
      </c>
      <c r="C1094" s="18">
        <v>4.9052654839079297</v>
      </c>
      <c r="D1094" s="18">
        <v>1998</v>
      </c>
    </row>
    <row r="1095" spans="1:4" ht="19.95" customHeight="1" x14ac:dyDescent="0.25">
      <c r="A1095" s="17" t="s">
        <v>39</v>
      </c>
      <c r="B1095" s="18" t="s">
        <v>42</v>
      </c>
      <c r="C1095" s="18">
        <v>-0.38574614579034999</v>
      </c>
      <c r="D1095" s="18">
        <v>1998</v>
      </c>
    </row>
    <row r="1096" spans="1:4" ht="19.95" customHeight="1" x14ac:dyDescent="0.25">
      <c r="A1096" s="17" t="s">
        <v>40</v>
      </c>
      <c r="B1096" s="18" t="s">
        <v>42</v>
      </c>
      <c r="C1096" s="18">
        <v>2.88521191729652</v>
      </c>
      <c r="D1096" s="18">
        <v>1998</v>
      </c>
    </row>
    <row r="1097" spans="1:4" ht="19.95" customHeight="1" x14ac:dyDescent="0.25">
      <c r="A1097" s="17" t="s">
        <v>10</v>
      </c>
      <c r="B1097" s="18" t="s">
        <v>42</v>
      </c>
      <c r="C1097" s="18">
        <v>-1.0099999961991999</v>
      </c>
      <c r="D1097" s="18">
        <v>1999</v>
      </c>
    </row>
    <row r="1098" spans="1:4" ht="19.95" customHeight="1" x14ac:dyDescent="0.25">
      <c r="A1098" s="17" t="s">
        <v>13</v>
      </c>
      <c r="B1098" s="18" t="s">
        <v>42</v>
      </c>
      <c r="C1098" s="18">
        <v>4.2920169452500501</v>
      </c>
      <c r="D1098" s="18">
        <v>1999</v>
      </c>
    </row>
    <row r="1099" spans="1:4" ht="19.95" customHeight="1" x14ac:dyDescent="0.25">
      <c r="A1099" s="17" t="s">
        <v>16</v>
      </c>
      <c r="B1099" s="18" t="s">
        <v>42</v>
      </c>
      <c r="C1099" s="18">
        <v>-0.68285021729774098</v>
      </c>
      <c r="D1099" s="18">
        <v>1999</v>
      </c>
    </row>
    <row r="1100" spans="1:4" ht="19.95" customHeight="1" x14ac:dyDescent="0.25">
      <c r="A1100" s="17" t="s">
        <v>15</v>
      </c>
      <c r="B1100" s="18" t="s">
        <v>42</v>
      </c>
      <c r="C1100" s="18">
        <v>1.9241236664489401</v>
      </c>
      <c r="D1100" s="18">
        <v>1999</v>
      </c>
    </row>
    <row r="1101" spans="1:4" ht="19.95" customHeight="1" x14ac:dyDescent="0.25">
      <c r="A1101" s="17" t="s">
        <v>17</v>
      </c>
      <c r="B1101" s="18" t="s">
        <v>42</v>
      </c>
      <c r="C1101" s="18"/>
      <c r="D1101" s="18">
        <v>1999</v>
      </c>
    </row>
    <row r="1102" spans="1:4" ht="19.95" customHeight="1" x14ac:dyDescent="0.25">
      <c r="A1102" s="17" t="s">
        <v>18</v>
      </c>
      <c r="B1102" s="18" t="s">
        <v>42</v>
      </c>
      <c r="C1102" s="18">
        <v>5.1621458242367302</v>
      </c>
      <c r="D1102" s="18">
        <v>1999</v>
      </c>
    </row>
    <row r="1103" spans="1:4" ht="19.95" customHeight="1" x14ac:dyDescent="0.25">
      <c r="A1103" s="17" t="s">
        <v>19</v>
      </c>
      <c r="B1103" s="18" t="s">
        <v>42</v>
      </c>
      <c r="C1103" s="18">
        <v>3.8120040345377801</v>
      </c>
      <c r="D1103" s="18">
        <v>1999</v>
      </c>
    </row>
    <row r="1104" spans="1:4" ht="19.95" customHeight="1" x14ac:dyDescent="0.25">
      <c r="A1104" s="17" t="s">
        <v>20</v>
      </c>
      <c r="B1104" s="18" t="s">
        <v>42</v>
      </c>
      <c r="C1104" s="18">
        <v>2.71024735082645</v>
      </c>
      <c r="D1104" s="18">
        <v>1999</v>
      </c>
    </row>
    <row r="1105" spans="1:4" ht="19.95" customHeight="1" x14ac:dyDescent="0.25">
      <c r="A1105" s="17" t="s">
        <v>21</v>
      </c>
      <c r="B1105" s="18" t="s">
        <v>42</v>
      </c>
      <c r="C1105" s="18">
        <v>2.3053885959187301</v>
      </c>
      <c r="D1105" s="18">
        <v>1999</v>
      </c>
    </row>
    <row r="1106" spans="1:4" ht="19.95" customHeight="1" x14ac:dyDescent="0.25">
      <c r="A1106" s="17" t="s">
        <v>22</v>
      </c>
      <c r="B1106" s="18" t="s">
        <v>42</v>
      </c>
      <c r="C1106" s="18"/>
      <c r="D1106" s="18">
        <v>1999</v>
      </c>
    </row>
    <row r="1107" spans="1:4" ht="19.95" customHeight="1" x14ac:dyDescent="0.25">
      <c r="A1107" s="17" t="s">
        <v>23</v>
      </c>
      <c r="B1107" s="18" t="s">
        <v>42</v>
      </c>
      <c r="C1107" s="18">
        <v>21.741447884978001</v>
      </c>
      <c r="D1107" s="18">
        <v>1999</v>
      </c>
    </row>
    <row r="1108" spans="1:4" ht="19.95" customHeight="1" x14ac:dyDescent="0.25">
      <c r="A1108" s="17" t="s">
        <v>24</v>
      </c>
      <c r="B1108" s="18" t="s">
        <v>42</v>
      </c>
      <c r="C1108" s="18">
        <v>4.6591157004199504</v>
      </c>
      <c r="D1108" s="18">
        <v>1999</v>
      </c>
    </row>
    <row r="1109" spans="1:4" ht="19.95" customHeight="1" x14ac:dyDescent="0.25">
      <c r="A1109" s="17" t="s">
        <v>25</v>
      </c>
      <c r="B1109" s="18" t="s">
        <v>42</v>
      </c>
      <c r="C1109" s="18">
        <v>3.0422780913400098</v>
      </c>
      <c r="D1109" s="18">
        <v>1999</v>
      </c>
    </row>
    <row r="1110" spans="1:4" ht="19.95" customHeight="1" x14ac:dyDescent="0.25">
      <c r="A1110" s="17" t="s">
        <v>26</v>
      </c>
      <c r="B1110" s="18" t="s">
        <v>42</v>
      </c>
      <c r="C1110" s="18">
        <v>5.7009436541914198</v>
      </c>
      <c r="D1110" s="18">
        <v>1999</v>
      </c>
    </row>
    <row r="1111" spans="1:4" ht="19.95" customHeight="1" x14ac:dyDescent="0.25">
      <c r="A1111" s="17" t="s">
        <v>27</v>
      </c>
      <c r="B1111" s="18" t="s">
        <v>42</v>
      </c>
      <c r="C1111" s="18">
        <v>-3.3682544416364402</v>
      </c>
      <c r="D1111" s="18">
        <v>1999</v>
      </c>
    </row>
    <row r="1112" spans="1:4" ht="19.95" customHeight="1" x14ac:dyDescent="0.25">
      <c r="A1112" s="17" t="s">
        <v>28</v>
      </c>
      <c r="B1112" s="18" t="s">
        <v>42</v>
      </c>
      <c r="C1112" s="18">
        <v>7.8229740270040899</v>
      </c>
      <c r="D1112" s="18">
        <v>1999</v>
      </c>
    </row>
    <row r="1113" spans="1:4" ht="19.95" customHeight="1" x14ac:dyDescent="0.25">
      <c r="A1113" s="17" t="s">
        <v>29</v>
      </c>
      <c r="B1113" s="18" t="s">
        <v>42</v>
      </c>
      <c r="C1113" s="18">
        <v>10.945129982025801</v>
      </c>
      <c r="D1113" s="18">
        <v>1999</v>
      </c>
    </row>
    <row r="1114" spans="1:4" ht="19.95" customHeight="1" x14ac:dyDescent="0.25">
      <c r="A1114" s="17" t="s">
        <v>31</v>
      </c>
      <c r="B1114" s="18" t="s">
        <v>42</v>
      </c>
      <c r="C1114" s="18">
        <v>4.4125732709716896</v>
      </c>
      <c r="D1114" s="18">
        <v>1999</v>
      </c>
    </row>
    <row r="1115" spans="1:4" ht="19.95" customHeight="1" x14ac:dyDescent="0.25">
      <c r="A1115" s="17" t="s">
        <v>32</v>
      </c>
      <c r="B1115" s="18" t="s">
        <v>42</v>
      </c>
      <c r="C1115" s="18">
        <v>7.0359704803362897</v>
      </c>
      <c r="D1115" s="18">
        <v>1999</v>
      </c>
    </row>
    <row r="1116" spans="1:4" ht="19.95" customHeight="1" x14ac:dyDescent="0.25">
      <c r="A1116" s="17" t="s">
        <v>33</v>
      </c>
      <c r="B1116" s="18" t="s">
        <v>42</v>
      </c>
      <c r="C1116" s="18">
        <v>-0.56875833186579405</v>
      </c>
      <c r="D1116" s="18">
        <v>1999</v>
      </c>
    </row>
    <row r="1117" spans="1:4" ht="19.95" customHeight="1" x14ac:dyDescent="0.25">
      <c r="A1117" s="17" t="s">
        <v>34</v>
      </c>
      <c r="B1117" s="18" t="s">
        <v>42</v>
      </c>
      <c r="C1117" s="18">
        <v>4.3223781577431204</v>
      </c>
      <c r="D1117" s="18">
        <v>1999</v>
      </c>
    </row>
    <row r="1118" spans="1:4" ht="19.95" customHeight="1" x14ac:dyDescent="0.25">
      <c r="A1118" s="17" t="s">
        <v>35</v>
      </c>
      <c r="B1118" s="18" t="s">
        <v>42</v>
      </c>
      <c r="C1118" s="18"/>
      <c r="D1118" s="18">
        <v>1999</v>
      </c>
    </row>
    <row r="1119" spans="1:4" ht="19.95" customHeight="1" x14ac:dyDescent="0.25">
      <c r="A1119" s="17" t="s">
        <v>2</v>
      </c>
      <c r="B1119" s="18" t="s">
        <v>42</v>
      </c>
      <c r="C1119" s="18">
        <v>4.3005404979237598</v>
      </c>
      <c r="D1119" s="18">
        <v>1999</v>
      </c>
    </row>
    <row r="1120" spans="1:4" ht="19.95" customHeight="1" x14ac:dyDescent="0.25">
      <c r="A1120" s="17" t="s">
        <v>36</v>
      </c>
      <c r="B1120" s="18" t="s">
        <v>42</v>
      </c>
      <c r="C1120" s="18">
        <v>3.6999996731532399</v>
      </c>
      <c r="D1120" s="18">
        <v>1999</v>
      </c>
    </row>
    <row r="1121" spans="1:4" ht="19.95" customHeight="1" x14ac:dyDescent="0.25">
      <c r="A1121" s="17" t="s">
        <v>37</v>
      </c>
      <c r="B1121" s="18" t="s">
        <v>42</v>
      </c>
      <c r="C1121" s="18">
        <v>4.8403823252684504</v>
      </c>
      <c r="D1121" s="18">
        <v>1999</v>
      </c>
    </row>
    <row r="1122" spans="1:4" ht="19.95" customHeight="1" x14ac:dyDescent="0.25">
      <c r="A1122" s="17" t="s">
        <v>38</v>
      </c>
      <c r="B1122" s="18" t="s">
        <v>42</v>
      </c>
      <c r="C1122" s="18">
        <v>8.0539483765949509</v>
      </c>
      <c r="D1122" s="18">
        <v>1999</v>
      </c>
    </row>
    <row r="1123" spans="1:4" ht="19.95" customHeight="1" x14ac:dyDescent="0.25">
      <c r="A1123" s="17" t="s">
        <v>39</v>
      </c>
      <c r="B1123" s="18" t="s">
        <v>42</v>
      </c>
      <c r="C1123" s="18">
        <v>4.6501897463741004</v>
      </c>
      <c r="D1123" s="18">
        <v>1999</v>
      </c>
    </row>
    <row r="1124" spans="1:4" ht="19.95" customHeight="1" x14ac:dyDescent="0.25">
      <c r="A1124" s="17" t="s">
        <v>40</v>
      </c>
      <c r="B1124" s="18" t="s">
        <v>42</v>
      </c>
      <c r="C1124" s="18">
        <v>-0.817820898748295</v>
      </c>
      <c r="D1124" s="18">
        <v>1999</v>
      </c>
    </row>
    <row r="1125" spans="1:4" ht="19.95" customHeight="1" x14ac:dyDescent="0.25">
      <c r="A1125" s="17" t="s">
        <v>10</v>
      </c>
      <c r="B1125" s="18" t="s">
        <v>42</v>
      </c>
      <c r="C1125" s="18">
        <v>-0.85686405922355402</v>
      </c>
      <c r="D1125" s="18">
        <v>2000</v>
      </c>
    </row>
    <row r="1126" spans="1:4" ht="19.95" customHeight="1" x14ac:dyDescent="0.25">
      <c r="A1126" s="17" t="s">
        <v>13</v>
      </c>
      <c r="B1126" s="18" t="s">
        <v>42</v>
      </c>
      <c r="C1126" s="18">
        <v>3.5533743641612698</v>
      </c>
      <c r="D1126" s="18">
        <v>2000</v>
      </c>
    </row>
    <row r="1127" spans="1:4" ht="19.95" customHeight="1" x14ac:dyDescent="0.25">
      <c r="A1127" s="17" t="s">
        <v>16</v>
      </c>
      <c r="B1127" s="18" t="s">
        <v>42</v>
      </c>
      <c r="C1127" s="18">
        <v>-0.87968102544483895</v>
      </c>
      <c r="D1127" s="18">
        <v>2000</v>
      </c>
    </row>
    <row r="1128" spans="1:4" ht="19.95" customHeight="1" x14ac:dyDescent="0.25">
      <c r="A1128" s="17" t="s">
        <v>15</v>
      </c>
      <c r="B1128" s="18" t="s">
        <v>42</v>
      </c>
      <c r="C1128" s="18">
        <v>10.8480749512697</v>
      </c>
      <c r="D1128" s="18">
        <v>2000</v>
      </c>
    </row>
    <row r="1129" spans="1:4" ht="19.95" customHeight="1" x14ac:dyDescent="0.25">
      <c r="A1129" s="17" t="s">
        <v>17</v>
      </c>
      <c r="B1129" s="18" t="s">
        <v>42</v>
      </c>
      <c r="C1129" s="18"/>
      <c r="D1129" s="18">
        <v>2000</v>
      </c>
    </row>
    <row r="1130" spans="1:4" ht="19.95" customHeight="1" x14ac:dyDescent="0.25">
      <c r="A1130" s="17" t="s">
        <v>18</v>
      </c>
      <c r="B1130" s="18" t="s">
        <v>42</v>
      </c>
      <c r="C1130" s="18">
        <v>6.0732174923104596</v>
      </c>
      <c r="D1130" s="18">
        <v>2000</v>
      </c>
    </row>
    <row r="1131" spans="1:4" ht="19.95" customHeight="1" x14ac:dyDescent="0.25">
      <c r="A1131" s="17" t="s">
        <v>19</v>
      </c>
      <c r="B1131" s="18" t="s">
        <v>42</v>
      </c>
      <c r="C1131" s="18">
        <v>2.5030605614563499</v>
      </c>
      <c r="D1131" s="18">
        <v>2000</v>
      </c>
    </row>
    <row r="1132" spans="1:4" ht="19.95" customHeight="1" x14ac:dyDescent="0.25">
      <c r="A1132" s="17" t="s">
        <v>20</v>
      </c>
      <c r="B1132" s="18" t="s">
        <v>42</v>
      </c>
      <c r="C1132" s="18">
        <v>0.87005979468143801</v>
      </c>
      <c r="D1132" s="18">
        <v>2000</v>
      </c>
    </row>
    <row r="1133" spans="1:4" ht="19.95" customHeight="1" x14ac:dyDescent="0.25">
      <c r="A1133" s="17" t="s">
        <v>21</v>
      </c>
      <c r="B1133" s="18" t="s">
        <v>42</v>
      </c>
      <c r="C1133" s="18">
        <v>0.59969539161363605</v>
      </c>
      <c r="D1133" s="18">
        <v>2000</v>
      </c>
    </row>
    <row r="1134" spans="1:4" ht="19.95" customHeight="1" x14ac:dyDescent="0.25">
      <c r="A1134" s="17" t="s">
        <v>22</v>
      </c>
      <c r="B1134" s="18" t="s">
        <v>42</v>
      </c>
      <c r="C1134" s="18"/>
      <c r="D1134" s="18">
        <v>2000</v>
      </c>
    </row>
    <row r="1135" spans="1:4" ht="19.95" customHeight="1" x14ac:dyDescent="0.25">
      <c r="A1135" s="17" t="s">
        <v>23</v>
      </c>
      <c r="B1135" s="18" t="s">
        <v>42</v>
      </c>
      <c r="C1135" s="18">
        <v>28.615933349588701</v>
      </c>
      <c r="D1135" s="18">
        <v>2000</v>
      </c>
    </row>
    <row r="1136" spans="1:4" ht="19.95" customHeight="1" x14ac:dyDescent="0.25">
      <c r="A1136" s="17" t="s">
        <v>24</v>
      </c>
      <c r="B1136" s="18" t="s">
        <v>42</v>
      </c>
      <c r="C1136" s="18">
        <v>4.7600650989119799</v>
      </c>
      <c r="D1136" s="18">
        <v>2000</v>
      </c>
    </row>
    <row r="1137" spans="1:4" ht="19.95" customHeight="1" x14ac:dyDescent="0.25">
      <c r="A1137" s="17" t="s">
        <v>25</v>
      </c>
      <c r="B1137" s="18" t="s">
        <v>42</v>
      </c>
      <c r="C1137" s="18">
        <v>1.57607783734666</v>
      </c>
      <c r="D1137" s="18">
        <v>2000</v>
      </c>
    </row>
    <row r="1138" spans="1:4" ht="19.95" customHeight="1" x14ac:dyDescent="0.25">
      <c r="A1138" s="17" t="s">
        <v>26</v>
      </c>
      <c r="B1138" s="18" t="s">
        <v>42</v>
      </c>
      <c r="C1138" s="18">
        <v>-6.0834971813136497E-2</v>
      </c>
      <c r="D1138" s="18">
        <v>2000</v>
      </c>
    </row>
    <row r="1139" spans="1:4" ht="19.95" customHeight="1" x14ac:dyDescent="0.25">
      <c r="A1139" s="17" t="s">
        <v>27</v>
      </c>
      <c r="B1139" s="18" t="s">
        <v>42</v>
      </c>
      <c r="C1139" s="18">
        <v>2.10771605209754</v>
      </c>
      <c r="D1139" s="18">
        <v>2000</v>
      </c>
    </row>
    <row r="1140" spans="1:4" ht="19.95" customHeight="1" x14ac:dyDescent="0.25">
      <c r="A1140" s="17" t="s">
        <v>28</v>
      </c>
      <c r="B1140" s="18" t="s">
        <v>42</v>
      </c>
      <c r="C1140" s="18">
        <v>1.6785029847974999</v>
      </c>
      <c r="D1140" s="18">
        <v>2000</v>
      </c>
    </row>
    <row r="1141" spans="1:4" ht="19.95" customHeight="1" x14ac:dyDescent="0.25">
      <c r="A1141" s="17" t="s">
        <v>29</v>
      </c>
      <c r="B1141" s="18" t="s">
        <v>42</v>
      </c>
      <c r="C1141" s="18">
        <v>13.745930555989901</v>
      </c>
      <c r="D1141" s="18">
        <v>2000</v>
      </c>
    </row>
    <row r="1142" spans="1:4" ht="19.95" customHeight="1" x14ac:dyDescent="0.25">
      <c r="A1142" s="17" t="s">
        <v>31</v>
      </c>
      <c r="B1142" s="18" t="s">
        <v>42</v>
      </c>
      <c r="C1142" s="18">
        <v>6.1999999875977103</v>
      </c>
      <c r="D1142" s="18">
        <v>2000</v>
      </c>
    </row>
    <row r="1143" spans="1:4" ht="19.95" customHeight="1" x14ac:dyDescent="0.25">
      <c r="A1143" s="17" t="s">
        <v>32</v>
      </c>
      <c r="B1143" s="18" t="s">
        <v>42</v>
      </c>
      <c r="C1143" s="18">
        <v>4.1015901530124399</v>
      </c>
      <c r="D1143" s="18">
        <v>2000</v>
      </c>
    </row>
    <row r="1144" spans="1:4" ht="19.95" customHeight="1" x14ac:dyDescent="0.25">
      <c r="A1144" s="17" t="s">
        <v>33</v>
      </c>
      <c r="B1144" s="18" t="s">
        <v>42</v>
      </c>
      <c r="C1144" s="18">
        <v>-1.40950935004449</v>
      </c>
      <c r="D1144" s="18">
        <v>2000</v>
      </c>
    </row>
    <row r="1145" spans="1:4" ht="19.95" customHeight="1" x14ac:dyDescent="0.25">
      <c r="A1145" s="17" t="s">
        <v>34</v>
      </c>
      <c r="B1145" s="18" t="s">
        <v>42</v>
      </c>
      <c r="C1145" s="18">
        <v>8.3709081733702195</v>
      </c>
      <c r="D1145" s="18">
        <v>2000</v>
      </c>
    </row>
    <row r="1146" spans="1:4" ht="19.95" customHeight="1" x14ac:dyDescent="0.25">
      <c r="A1146" s="17" t="s">
        <v>35</v>
      </c>
      <c r="B1146" s="18" t="s">
        <v>42</v>
      </c>
      <c r="C1146" s="18"/>
      <c r="D1146" s="18">
        <v>2000</v>
      </c>
    </row>
    <row r="1147" spans="1:4" ht="19.95" customHeight="1" x14ac:dyDescent="0.25">
      <c r="A1147" s="17" t="s">
        <v>2</v>
      </c>
      <c r="B1147" s="18" t="s">
        <v>42</v>
      </c>
      <c r="C1147" s="18">
        <v>6.0000331601439898</v>
      </c>
      <c r="D1147" s="18">
        <v>2000</v>
      </c>
    </row>
    <row r="1148" spans="1:4" ht="19.95" customHeight="1" x14ac:dyDescent="0.25">
      <c r="A1148" s="17" t="s">
        <v>36</v>
      </c>
      <c r="B1148" s="18" t="s">
        <v>42</v>
      </c>
      <c r="C1148" s="18">
        <v>8.3000010122285204</v>
      </c>
      <c r="D1148" s="18">
        <v>2000</v>
      </c>
    </row>
    <row r="1149" spans="1:4" ht="19.95" customHeight="1" x14ac:dyDescent="0.25">
      <c r="A1149" s="17" t="s">
        <v>37</v>
      </c>
      <c r="B1149" s="18" t="s">
        <v>42</v>
      </c>
      <c r="C1149" s="18">
        <v>4.9338466271145798</v>
      </c>
      <c r="D1149" s="18">
        <v>2000</v>
      </c>
    </row>
    <row r="1150" spans="1:4" ht="19.95" customHeight="1" x14ac:dyDescent="0.25">
      <c r="A1150" s="17" t="s">
        <v>38</v>
      </c>
      <c r="B1150" s="18" t="s">
        <v>42</v>
      </c>
      <c r="C1150" s="18">
        <v>3.1419073382037199</v>
      </c>
      <c r="D1150" s="18">
        <v>2000</v>
      </c>
    </row>
    <row r="1151" spans="1:4" ht="19.95" customHeight="1" x14ac:dyDescent="0.25">
      <c r="A1151" s="17" t="s">
        <v>39</v>
      </c>
      <c r="B1151" s="18" t="s">
        <v>42</v>
      </c>
      <c r="C1151" s="18">
        <v>3.8973229434189598</v>
      </c>
      <c r="D1151" s="18">
        <v>2000</v>
      </c>
    </row>
    <row r="1152" spans="1:4" ht="19.95" customHeight="1" x14ac:dyDescent="0.25">
      <c r="A1152" s="17" t="s">
        <v>40</v>
      </c>
      <c r="B1152" s="18" t="s">
        <v>42</v>
      </c>
      <c r="C1152" s="18">
        <v>-3.0591896255346902</v>
      </c>
      <c r="D1152" s="18">
        <v>2000</v>
      </c>
    </row>
    <row r="1153" spans="1:4" ht="19.95" customHeight="1" x14ac:dyDescent="0.25">
      <c r="A1153" s="17" t="s">
        <v>10</v>
      </c>
      <c r="B1153" s="18" t="s">
        <v>42</v>
      </c>
      <c r="C1153" s="18">
        <v>2.0558071093132599</v>
      </c>
      <c r="D1153" s="18">
        <v>2001</v>
      </c>
    </row>
    <row r="1154" spans="1:4" ht="19.95" customHeight="1" x14ac:dyDescent="0.25">
      <c r="A1154" s="17" t="s">
        <v>13</v>
      </c>
      <c r="B1154" s="18" t="s">
        <v>42</v>
      </c>
      <c r="C1154" s="18">
        <v>4.3680842421700099</v>
      </c>
      <c r="D1154" s="18">
        <v>2001</v>
      </c>
    </row>
    <row r="1155" spans="1:4" ht="19.95" customHeight="1" x14ac:dyDescent="0.25">
      <c r="A1155" s="17" t="s">
        <v>16</v>
      </c>
      <c r="B1155" s="18" t="s">
        <v>42</v>
      </c>
      <c r="C1155" s="18">
        <v>11.658134654294001</v>
      </c>
      <c r="D1155" s="18">
        <v>2001</v>
      </c>
    </row>
    <row r="1156" spans="1:4" ht="19.95" customHeight="1" x14ac:dyDescent="0.25">
      <c r="A1156" s="17" t="s">
        <v>15</v>
      </c>
      <c r="B1156" s="18" t="s">
        <v>42</v>
      </c>
      <c r="C1156" s="18">
        <v>2.3329364937754802</v>
      </c>
      <c r="D1156" s="18">
        <v>2001</v>
      </c>
    </row>
    <row r="1157" spans="1:4" ht="19.95" customHeight="1" x14ac:dyDescent="0.25">
      <c r="A1157" s="17" t="s">
        <v>17</v>
      </c>
      <c r="B1157" s="18" t="s">
        <v>42</v>
      </c>
      <c r="C1157" s="18"/>
      <c r="D1157" s="18">
        <v>2001</v>
      </c>
    </row>
    <row r="1158" spans="1:4" ht="19.95" customHeight="1" x14ac:dyDescent="0.25">
      <c r="A1158" s="17" t="s">
        <v>18</v>
      </c>
      <c r="B1158" s="18" t="s">
        <v>42</v>
      </c>
      <c r="C1158" s="18">
        <v>8.3013063215748399</v>
      </c>
      <c r="D1158" s="18">
        <v>2001</v>
      </c>
    </row>
    <row r="1159" spans="1:4" ht="19.95" customHeight="1" x14ac:dyDescent="0.25">
      <c r="A1159" s="17" t="s">
        <v>19</v>
      </c>
      <c r="B1159" s="18" t="s">
        <v>42</v>
      </c>
      <c r="C1159" s="18">
        <v>3.65834647077443</v>
      </c>
      <c r="D1159" s="18">
        <v>2001</v>
      </c>
    </row>
    <row r="1160" spans="1:4" ht="19.95" customHeight="1" x14ac:dyDescent="0.25">
      <c r="A1160" s="17" t="s">
        <v>20</v>
      </c>
      <c r="B1160" s="18" t="s">
        <v>42</v>
      </c>
      <c r="C1160" s="18">
        <v>-1.0443748924879399</v>
      </c>
      <c r="D1160" s="18">
        <v>2001</v>
      </c>
    </row>
    <row r="1161" spans="1:4" ht="19.95" customHeight="1" x14ac:dyDescent="0.25">
      <c r="A1161" s="17" t="s">
        <v>21</v>
      </c>
      <c r="B1161" s="18" t="s">
        <v>42</v>
      </c>
      <c r="C1161" s="18">
        <v>3.7799064962898701</v>
      </c>
      <c r="D1161" s="18">
        <v>2001</v>
      </c>
    </row>
    <row r="1162" spans="1:4" ht="19.95" customHeight="1" x14ac:dyDescent="0.25">
      <c r="A1162" s="17" t="s">
        <v>22</v>
      </c>
      <c r="B1162" s="18" t="s">
        <v>42</v>
      </c>
      <c r="C1162" s="18">
        <v>26.973917835915302</v>
      </c>
      <c r="D1162" s="18">
        <v>2001</v>
      </c>
    </row>
    <row r="1163" spans="1:4" ht="19.95" customHeight="1" x14ac:dyDescent="0.25">
      <c r="A1163" s="17" t="s">
        <v>23</v>
      </c>
      <c r="B1163" s="18" t="s">
        <v>42</v>
      </c>
      <c r="C1163" s="18">
        <v>2.9187172984168699</v>
      </c>
      <c r="D1163" s="18">
        <v>2001</v>
      </c>
    </row>
    <row r="1164" spans="1:4" ht="19.95" customHeight="1" x14ac:dyDescent="0.25">
      <c r="A1164" s="17" t="s">
        <v>24</v>
      </c>
      <c r="B1164" s="18" t="s">
        <v>42</v>
      </c>
      <c r="C1164" s="18">
        <v>6.0178244030905601</v>
      </c>
      <c r="D1164" s="18">
        <v>2001</v>
      </c>
    </row>
    <row r="1165" spans="1:4" ht="19.95" customHeight="1" x14ac:dyDescent="0.25">
      <c r="A1165" s="17" t="s">
        <v>25</v>
      </c>
      <c r="B1165" s="18" t="s">
        <v>42</v>
      </c>
      <c r="C1165" s="18">
        <v>-4.9749638464943997</v>
      </c>
      <c r="D1165" s="18">
        <v>2001</v>
      </c>
    </row>
    <row r="1166" spans="1:4" ht="19.95" customHeight="1" x14ac:dyDescent="0.25">
      <c r="A1166" s="17" t="s">
        <v>26</v>
      </c>
      <c r="B1166" s="18" t="s">
        <v>42</v>
      </c>
      <c r="C1166" s="18">
        <v>15.3762394579174</v>
      </c>
      <c r="D1166" s="18">
        <v>2001</v>
      </c>
    </row>
    <row r="1167" spans="1:4" ht="19.95" customHeight="1" x14ac:dyDescent="0.25">
      <c r="A1167" s="17" t="s">
        <v>27</v>
      </c>
      <c r="B1167" s="18" t="s">
        <v>42</v>
      </c>
      <c r="C1167" s="18">
        <v>6.10000028090667</v>
      </c>
      <c r="D1167" s="18">
        <v>2001</v>
      </c>
    </row>
    <row r="1168" spans="1:4" ht="19.95" customHeight="1" x14ac:dyDescent="0.25">
      <c r="A1168" s="17" t="s">
        <v>28</v>
      </c>
      <c r="B1168" s="18" t="s">
        <v>42</v>
      </c>
      <c r="C1168" s="18">
        <v>12.7209658181604</v>
      </c>
      <c r="D1168" s="18">
        <v>2001</v>
      </c>
    </row>
    <row r="1169" spans="1:4" ht="19.95" customHeight="1" x14ac:dyDescent="0.25">
      <c r="A1169" s="17" t="s">
        <v>29</v>
      </c>
      <c r="B1169" s="18" t="s">
        <v>42</v>
      </c>
      <c r="C1169" s="18">
        <v>11.3439970698499</v>
      </c>
      <c r="D1169" s="18">
        <v>2001</v>
      </c>
    </row>
    <row r="1170" spans="1:4" ht="19.95" customHeight="1" x14ac:dyDescent="0.25">
      <c r="A1170" s="17" t="s">
        <v>31</v>
      </c>
      <c r="B1170" s="18" t="s">
        <v>42</v>
      </c>
      <c r="C1170" s="18">
        <v>4.7997626438878598</v>
      </c>
      <c r="D1170" s="18">
        <v>2001</v>
      </c>
    </row>
    <row r="1171" spans="1:4" ht="19.95" customHeight="1" x14ac:dyDescent="0.25">
      <c r="A1171" s="17" t="s">
        <v>32</v>
      </c>
      <c r="B1171" s="18" t="s">
        <v>42</v>
      </c>
      <c r="C1171" s="18">
        <v>2.9608435289963499</v>
      </c>
      <c r="D1171" s="18">
        <v>2001</v>
      </c>
    </row>
    <row r="1172" spans="1:4" ht="19.95" customHeight="1" x14ac:dyDescent="0.25">
      <c r="A1172" s="17" t="s">
        <v>33</v>
      </c>
      <c r="B1172" s="18" t="s">
        <v>42</v>
      </c>
      <c r="C1172" s="18">
        <v>7.1043406120674897</v>
      </c>
      <c r="D1172" s="18">
        <v>2001</v>
      </c>
    </row>
    <row r="1173" spans="1:4" ht="19.95" customHeight="1" x14ac:dyDescent="0.25">
      <c r="A1173" s="17" t="s">
        <v>34</v>
      </c>
      <c r="B1173" s="18" t="s">
        <v>42</v>
      </c>
      <c r="C1173" s="18">
        <v>8.4845817272909407</v>
      </c>
      <c r="D1173" s="18">
        <v>2001</v>
      </c>
    </row>
    <row r="1174" spans="1:4" ht="19.95" customHeight="1" x14ac:dyDescent="0.25">
      <c r="A1174" s="17" t="s">
        <v>35</v>
      </c>
      <c r="B1174" s="18" t="s">
        <v>42</v>
      </c>
      <c r="C1174" s="18"/>
      <c r="D1174" s="18">
        <v>2001</v>
      </c>
    </row>
    <row r="1175" spans="1:4" ht="19.95" customHeight="1" x14ac:dyDescent="0.25">
      <c r="A1175" s="17" t="s">
        <v>2</v>
      </c>
      <c r="B1175" s="18" t="s">
        <v>42</v>
      </c>
      <c r="C1175" s="18">
        <v>-1.54540813414314</v>
      </c>
      <c r="D1175" s="18">
        <v>2001</v>
      </c>
    </row>
    <row r="1176" spans="1:4" ht="19.95" customHeight="1" x14ac:dyDescent="0.25">
      <c r="A1176" s="17" t="s">
        <v>36</v>
      </c>
      <c r="B1176" s="18" t="s">
        <v>42</v>
      </c>
      <c r="C1176" s="18">
        <v>10.200001052183501</v>
      </c>
      <c r="D1176" s="18">
        <v>2001</v>
      </c>
    </row>
    <row r="1177" spans="1:4" ht="19.95" customHeight="1" x14ac:dyDescent="0.25">
      <c r="A1177" s="17" t="s">
        <v>37</v>
      </c>
      <c r="B1177" s="18" t="s">
        <v>42</v>
      </c>
      <c r="C1177" s="18">
        <v>5.9978288575808696</v>
      </c>
      <c r="D1177" s="18">
        <v>2001</v>
      </c>
    </row>
    <row r="1178" spans="1:4" ht="19.95" customHeight="1" x14ac:dyDescent="0.25">
      <c r="A1178" s="17" t="s">
        <v>38</v>
      </c>
      <c r="B1178" s="18" t="s">
        <v>42</v>
      </c>
      <c r="C1178" s="18">
        <v>5.1836611262893699</v>
      </c>
      <c r="D1178" s="18">
        <v>2001</v>
      </c>
    </row>
    <row r="1179" spans="1:4" ht="19.95" customHeight="1" x14ac:dyDescent="0.25">
      <c r="A1179" s="17" t="s">
        <v>39</v>
      </c>
      <c r="B1179" s="18" t="s">
        <v>42</v>
      </c>
      <c r="C1179" s="18">
        <v>5.3168682741841904</v>
      </c>
      <c r="D1179" s="18">
        <v>2001</v>
      </c>
    </row>
    <row r="1180" spans="1:4" ht="19.95" customHeight="1" x14ac:dyDescent="0.25">
      <c r="A1180" s="17" t="s">
        <v>40</v>
      </c>
      <c r="B1180" s="18" t="s">
        <v>42</v>
      </c>
      <c r="C1180" s="18">
        <v>1.4396150744607299</v>
      </c>
      <c r="D1180" s="18">
        <v>2001</v>
      </c>
    </row>
    <row r="1181" spans="1:4" ht="19.95" customHeight="1" x14ac:dyDescent="0.25">
      <c r="A1181" s="17" t="s">
        <v>10</v>
      </c>
      <c r="B1181" s="18" t="s">
        <v>42</v>
      </c>
      <c r="C1181" s="18">
        <v>4.4465194189146304</v>
      </c>
      <c r="D1181" s="18">
        <v>2002</v>
      </c>
    </row>
    <row r="1182" spans="1:4" ht="19.95" customHeight="1" x14ac:dyDescent="0.25">
      <c r="A1182" s="17" t="s">
        <v>13</v>
      </c>
      <c r="B1182" s="18" t="s">
        <v>42</v>
      </c>
      <c r="C1182" s="18">
        <v>4.2372036771851196</v>
      </c>
      <c r="D1182" s="18">
        <v>2002</v>
      </c>
    </row>
    <row r="1183" spans="1:4" ht="19.95" customHeight="1" x14ac:dyDescent="0.25">
      <c r="A1183" s="17" t="s">
        <v>16</v>
      </c>
      <c r="B1183" s="18" t="s">
        <v>42</v>
      </c>
      <c r="C1183" s="18">
        <v>8.4912098189805594</v>
      </c>
      <c r="D1183" s="18">
        <v>2002</v>
      </c>
    </row>
    <row r="1184" spans="1:4" ht="19.95" customHeight="1" x14ac:dyDescent="0.25">
      <c r="A1184" s="17" t="s">
        <v>15</v>
      </c>
      <c r="B1184" s="18" t="s">
        <v>42</v>
      </c>
      <c r="C1184" s="18">
        <v>2.3247792591424701</v>
      </c>
      <c r="D1184" s="18">
        <v>2002</v>
      </c>
    </row>
    <row r="1185" spans="1:4" ht="19.95" customHeight="1" x14ac:dyDescent="0.25">
      <c r="A1185" s="17" t="s">
        <v>17</v>
      </c>
      <c r="B1185" s="18" t="s">
        <v>42</v>
      </c>
      <c r="C1185" s="18"/>
      <c r="D1185" s="18">
        <v>2002</v>
      </c>
    </row>
    <row r="1186" spans="1:4" ht="19.95" customHeight="1" x14ac:dyDescent="0.25">
      <c r="A1186" s="17" t="s">
        <v>18</v>
      </c>
      <c r="B1186" s="18" t="s">
        <v>42</v>
      </c>
      <c r="C1186" s="18">
        <v>1.5147256932108499</v>
      </c>
      <c r="D1186" s="18">
        <v>2002</v>
      </c>
    </row>
    <row r="1187" spans="1:4" ht="19.95" customHeight="1" x14ac:dyDescent="0.25">
      <c r="A1187" s="17" t="s">
        <v>19</v>
      </c>
      <c r="B1187" s="18" t="s">
        <v>42</v>
      </c>
      <c r="C1187" s="18">
        <v>5.1646094657592601</v>
      </c>
      <c r="D1187" s="18">
        <v>2002</v>
      </c>
    </row>
    <row r="1188" spans="1:4" ht="19.95" customHeight="1" x14ac:dyDescent="0.25">
      <c r="A1188" s="17" t="s">
        <v>20</v>
      </c>
      <c r="B1188" s="18" t="s">
        <v>42</v>
      </c>
      <c r="C1188" s="18">
        <v>-0.25146433893770798</v>
      </c>
      <c r="D1188" s="18">
        <v>2002</v>
      </c>
    </row>
    <row r="1189" spans="1:4" ht="19.95" customHeight="1" x14ac:dyDescent="0.25">
      <c r="A1189" s="17" t="s">
        <v>21</v>
      </c>
      <c r="B1189" s="18" t="s">
        <v>42</v>
      </c>
      <c r="C1189" s="18">
        <v>0.54685952999452103</v>
      </c>
      <c r="D1189" s="18">
        <v>2002</v>
      </c>
    </row>
    <row r="1190" spans="1:4" ht="19.95" customHeight="1" x14ac:dyDescent="0.25">
      <c r="A1190" s="17" t="s">
        <v>22</v>
      </c>
      <c r="B1190" s="18" t="s">
        <v>42</v>
      </c>
      <c r="C1190" s="18">
        <v>-0.70094828890135796</v>
      </c>
      <c r="D1190" s="18">
        <v>2002</v>
      </c>
    </row>
    <row r="1191" spans="1:4" ht="19.95" customHeight="1" x14ac:dyDescent="0.25">
      <c r="A1191" s="17" t="s">
        <v>23</v>
      </c>
      <c r="B1191" s="18" t="s">
        <v>42</v>
      </c>
      <c r="C1191" s="18">
        <v>3.7627649991322398</v>
      </c>
      <c r="D1191" s="18">
        <v>2002</v>
      </c>
    </row>
    <row r="1192" spans="1:4" ht="19.95" customHeight="1" x14ac:dyDescent="0.25">
      <c r="A1192" s="17" t="s">
        <v>24</v>
      </c>
      <c r="B1192" s="18" t="s">
        <v>42</v>
      </c>
      <c r="C1192" s="18">
        <v>-12.673788136279001</v>
      </c>
      <c r="D1192" s="18">
        <v>2002</v>
      </c>
    </row>
    <row r="1193" spans="1:4" ht="19.95" customHeight="1" x14ac:dyDescent="0.25">
      <c r="A1193" s="17" t="s">
        <v>25</v>
      </c>
      <c r="B1193" s="18" t="s">
        <v>42</v>
      </c>
      <c r="C1193" s="18">
        <v>1.70000001363076</v>
      </c>
      <c r="D1193" s="18">
        <v>2002</v>
      </c>
    </row>
    <row r="1194" spans="1:4" ht="19.95" customHeight="1" x14ac:dyDescent="0.25">
      <c r="A1194" s="17" t="s">
        <v>26</v>
      </c>
      <c r="B1194" s="18" t="s">
        <v>42</v>
      </c>
      <c r="C1194" s="18">
        <v>3.1063082520568601</v>
      </c>
      <c r="D1194" s="18">
        <v>2002</v>
      </c>
    </row>
    <row r="1195" spans="1:4" ht="19.95" customHeight="1" x14ac:dyDescent="0.25">
      <c r="A1195" s="17" t="s">
        <v>27</v>
      </c>
      <c r="B1195" s="18" t="s">
        <v>42</v>
      </c>
      <c r="C1195" s="18">
        <v>7.7999997870180797</v>
      </c>
      <c r="D1195" s="18">
        <v>2002</v>
      </c>
    </row>
    <row r="1196" spans="1:4" ht="19.95" customHeight="1" x14ac:dyDescent="0.25">
      <c r="A1196" s="17" t="s">
        <v>28</v>
      </c>
      <c r="B1196" s="18" t="s">
        <v>42</v>
      </c>
      <c r="C1196" s="18">
        <v>8.7940575812753394</v>
      </c>
      <c r="D1196" s="18">
        <v>2002</v>
      </c>
    </row>
    <row r="1197" spans="1:4" ht="19.95" customHeight="1" x14ac:dyDescent="0.25">
      <c r="A1197" s="17" t="s">
        <v>29</v>
      </c>
      <c r="B1197" s="18" t="s">
        <v>42</v>
      </c>
      <c r="C1197" s="18">
        <v>12.025513433977199</v>
      </c>
      <c r="D1197" s="18">
        <v>2002</v>
      </c>
    </row>
    <row r="1198" spans="1:4" ht="19.95" customHeight="1" x14ac:dyDescent="0.25">
      <c r="A1198" s="17" t="s">
        <v>31</v>
      </c>
      <c r="B1198" s="18" t="s">
        <v>42</v>
      </c>
      <c r="C1198" s="18">
        <v>0.120266897385847</v>
      </c>
      <c r="D1198" s="18">
        <v>2002</v>
      </c>
    </row>
    <row r="1199" spans="1:4" ht="19.95" customHeight="1" x14ac:dyDescent="0.25">
      <c r="A1199" s="17" t="s">
        <v>32</v>
      </c>
      <c r="B1199" s="18" t="s">
        <v>42</v>
      </c>
      <c r="C1199" s="18">
        <v>0.75393894095596203</v>
      </c>
      <c r="D1199" s="18">
        <v>2002</v>
      </c>
    </row>
    <row r="1200" spans="1:4" ht="19.95" customHeight="1" x14ac:dyDescent="0.25">
      <c r="A1200" s="17" t="s">
        <v>33</v>
      </c>
      <c r="B1200" s="18" t="s">
        <v>42</v>
      </c>
      <c r="C1200" s="18">
        <v>2.99912203563383</v>
      </c>
      <c r="D1200" s="18">
        <v>2002</v>
      </c>
    </row>
    <row r="1201" spans="1:4" ht="19.95" customHeight="1" x14ac:dyDescent="0.25">
      <c r="A1201" s="17" t="s">
        <v>34</v>
      </c>
      <c r="B1201" s="18" t="s">
        <v>42</v>
      </c>
      <c r="C1201" s="18">
        <v>13.192067570011</v>
      </c>
      <c r="D1201" s="18">
        <v>2002</v>
      </c>
    </row>
    <row r="1202" spans="1:4" ht="19.95" customHeight="1" x14ac:dyDescent="0.25">
      <c r="A1202" s="17" t="s">
        <v>35</v>
      </c>
      <c r="B1202" s="18" t="s">
        <v>42</v>
      </c>
      <c r="C1202" s="18">
        <v>2.3768774742280798</v>
      </c>
      <c r="D1202" s="18">
        <v>2002</v>
      </c>
    </row>
    <row r="1203" spans="1:4" ht="19.95" customHeight="1" x14ac:dyDescent="0.25">
      <c r="A1203" s="17" t="s">
        <v>2</v>
      </c>
      <c r="B1203" s="18" t="s">
        <v>42</v>
      </c>
      <c r="C1203" s="18">
        <v>3.9646756856609202</v>
      </c>
      <c r="D1203" s="18">
        <v>2002</v>
      </c>
    </row>
    <row r="1204" spans="1:4" ht="19.95" customHeight="1" x14ac:dyDescent="0.25">
      <c r="A1204" s="17" t="s">
        <v>36</v>
      </c>
      <c r="B1204" s="18" t="s">
        <v>42</v>
      </c>
      <c r="C1204" s="18">
        <v>10.7999999187409</v>
      </c>
      <c r="D1204" s="18">
        <v>2002</v>
      </c>
    </row>
    <row r="1205" spans="1:4" ht="19.95" customHeight="1" x14ac:dyDescent="0.25">
      <c r="A1205" s="17" t="s">
        <v>37</v>
      </c>
      <c r="B1205" s="18" t="s">
        <v>42</v>
      </c>
      <c r="C1205" s="18">
        <v>7.1635535364827501</v>
      </c>
      <c r="D1205" s="18">
        <v>2002</v>
      </c>
    </row>
    <row r="1206" spans="1:4" ht="19.95" customHeight="1" x14ac:dyDescent="0.25">
      <c r="A1206" s="17" t="s">
        <v>38</v>
      </c>
      <c r="B1206" s="18" t="s">
        <v>42</v>
      </c>
      <c r="C1206" s="18">
        <v>8.7326857640152902</v>
      </c>
      <c r="D1206" s="18">
        <v>2002</v>
      </c>
    </row>
    <row r="1207" spans="1:4" ht="19.95" customHeight="1" x14ac:dyDescent="0.25">
      <c r="A1207" s="17" t="s">
        <v>39</v>
      </c>
      <c r="B1207" s="18" t="s">
        <v>42</v>
      </c>
      <c r="C1207" s="18">
        <v>4.5060142803260099</v>
      </c>
      <c r="D1207" s="18">
        <v>2002</v>
      </c>
    </row>
    <row r="1208" spans="1:4" ht="19.95" customHeight="1" x14ac:dyDescent="0.25">
      <c r="A1208" s="17" t="s">
        <v>40</v>
      </c>
      <c r="B1208" s="18" t="s">
        <v>42</v>
      </c>
      <c r="C1208" s="18">
        <v>-8.8940234172610406</v>
      </c>
      <c r="D1208" s="18">
        <v>2002</v>
      </c>
    </row>
    <row r="1209" spans="1:4" ht="19.95" customHeight="1" x14ac:dyDescent="0.25">
      <c r="A1209" s="17" t="s">
        <v>10</v>
      </c>
      <c r="B1209" s="18" t="s">
        <v>42</v>
      </c>
      <c r="C1209" s="18">
        <v>-1.2237279592396499</v>
      </c>
      <c r="D1209" s="18">
        <v>2003</v>
      </c>
    </row>
    <row r="1210" spans="1:4" ht="19.95" customHeight="1" x14ac:dyDescent="0.25">
      <c r="A1210" s="17" t="s">
        <v>13</v>
      </c>
      <c r="B1210" s="18" t="s">
        <v>42</v>
      </c>
      <c r="C1210" s="18">
        <v>4.5671952563738802</v>
      </c>
      <c r="D1210" s="18">
        <v>2003</v>
      </c>
    </row>
    <row r="1211" spans="1:4" ht="19.95" customHeight="1" x14ac:dyDescent="0.25">
      <c r="A1211" s="17" t="s">
        <v>16</v>
      </c>
      <c r="B1211" s="18" t="s">
        <v>42</v>
      </c>
      <c r="C1211" s="18">
        <v>14.7216670121033</v>
      </c>
      <c r="D1211" s="18">
        <v>2003</v>
      </c>
    </row>
    <row r="1212" spans="1:4" ht="19.95" customHeight="1" x14ac:dyDescent="0.25">
      <c r="A1212" s="17" t="s">
        <v>15</v>
      </c>
      <c r="B1212" s="18" t="s">
        <v>42</v>
      </c>
      <c r="C1212" s="18">
        <v>2.1041019529446601</v>
      </c>
      <c r="D1212" s="18">
        <v>2003</v>
      </c>
    </row>
    <row r="1213" spans="1:4" ht="19.95" customHeight="1" x14ac:dyDescent="0.25">
      <c r="A1213" s="17" t="s">
        <v>17</v>
      </c>
      <c r="B1213" s="18" t="s">
        <v>42</v>
      </c>
      <c r="C1213" s="18"/>
      <c r="D1213" s="18">
        <v>2003</v>
      </c>
    </row>
    <row r="1214" spans="1:4" ht="19.95" customHeight="1" x14ac:dyDescent="0.25">
      <c r="A1214" s="17" t="s">
        <v>18</v>
      </c>
      <c r="B1214" s="18" t="s">
        <v>42</v>
      </c>
      <c r="C1214" s="18">
        <v>-2.1613597214194198</v>
      </c>
      <c r="D1214" s="18">
        <v>2003</v>
      </c>
    </row>
    <row r="1215" spans="1:4" ht="19.95" customHeight="1" x14ac:dyDescent="0.25">
      <c r="A1215" s="17" t="s">
        <v>19</v>
      </c>
      <c r="B1215" s="18" t="s">
        <v>42</v>
      </c>
      <c r="C1215" s="18">
        <v>1.2486012600021901</v>
      </c>
      <c r="D1215" s="18">
        <v>2003</v>
      </c>
    </row>
    <row r="1216" spans="1:4" ht="19.95" customHeight="1" x14ac:dyDescent="0.25">
      <c r="A1216" s="17" t="s">
        <v>20</v>
      </c>
      <c r="B1216" s="18" t="s">
        <v>42</v>
      </c>
      <c r="C1216" s="18">
        <v>0.36380034852912502</v>
      </c>
      <c r="D1216" s="18">
        <v>2003</v>
      </c>
    </row>
    <row r="1217" spans="1:4" ht="19.95" customHeight="1" x14ac:dyDescent="0.25">
      <c r="A1217" s="17" t="s">
        <v>21</v>
      </c>
      <c r="B1217" s="18" t="s">
        <v>42</v>
      </c>
      <c r="C1217" s="18">
        <v>2.9324755461927299</v>
      </c>
      <c r="D1217" s="18">
        <v>2003</v>
      </c>
    </row>
    <row r="1218" spans="1:4" ht="19.95" customHeight="1" x14ac:dyDescent="0.25">
      <c r="A1218" s="17" t="s">
        <v>22</v>
      </c>
      <c r="B1218" s="18" t="s">
        <v>42</v>
      </c>
      <c r="C1218" s="18">
        <v>5.9801455955031297</v>
      </c>
      <c r="D1218" s="18">
        <v>2003</v>
      </c>
    </row>
    <row r="1219" spans="1:4" ht="19.95" customHeight="1" x14ac:dyDescent="0.25">
      <c r="A1219" s="17" t="s">
        <v>23</v>
      </c>
      <c r="B1219" s="18" t="s">
        <v>42</v>
      </c>
      <c r="C1219" s="18">
        <v>-30.1452225240931</v>
      </c>
      <c r="D1219" s="18">
        <v>2003</v>
      </c>
    </row>
    <row r="1220" spans="1:4" ht="19.95" customHeight="1" x14ac:dyDescent="0.25">
      <c r="A1220" s="17" t="s">
        <v>24</v>
      </c>
      <c r="B1220" s="18" t="s">
        <v>42</v>
      </c>
      <c r="C1220" s="18">
        <v>9.7848921313328994</v>
      </c>
      <c r="D1220" s="18">
        <v>2003</v>
      </c>
    </row>
    <row r="1221" spans="1:4" ht="19.95" customHeight="1" x14ac:dyDescent="0.25">
      <c r="A1221" s="17" t="s">
        <v>25</v>
      </c>
      <c r="B1221" s="18" t="s">
        <v>42</v>
      </c>
      <c r="C1221" s="18">
        <v>5.7056394374716</v>
      </c>
      <c r="D1221" s="18">
        <v>2003</v>
      </c>
    </row>
    <row r="1222" spans="1:4" ht="19.95" customHeight="1" x14ac:dyDescent="0.25">
      <c r="A1222" s="17" t="s">
        <v>26</v>
      </c>
      <c r="B1222" s="18" t="s">
        <v>42</v>
      </c>
      <c r="C1222" s="18">
        <v>9.1190419953242703</v>
      </c>
      <c r="D1222" s="18">
        <v>2003</v>
      </c>
    </row>
    <row r="1223" spans="1:4" ht="19.95" customHeight="1" x14ac:dyDescent="0.25">
      <c r="A1223" s="17" t="s">
        <v>27</v>
      </c>
      <c r="B1223" s="18" t="s">
        <v>42</v>
      </c>
      <c r="C1223" s="18">
        <v>6.5999999061263104</v>
      </c>
      <c r="D1223" s="18">
        <v>2003</v>
      </c>
    </row>
    <row r="1224" spans="1:4" ht="19.95" customHeight="1" x14ac:dyDescent="0.25">
      <c r="A1224" s="17" t="s">
        <v>28</v>
      </c>
      <c r="B1224" s="18" t="s">
        <v>42</v>
      </c>
      <c r="C1224" s="18">
        <v>6.5006066677159904</v>
      </c>
      <c r="D1224" s="18">
        <v>2003</v>
      </c>
    </row>
    <row r="1225" spans="1:4" ht="19.95" customHeight="1" x14ac:dyDescent="0.25">
      <c r="A1225" s="17" t="s">
        <v>29</v>
      </c>
      <c r="B1225" s="18" t="s">
        <v>42</v>
      </c>
      <c r="C1225" s="18">
        <v>13.843996890138101</v>
      </c>
      <c r="D1225" s="18">
        <v>2003</v>
      </c>
    </row>
    <row r="1226" spans="1:4" ht="19.95" customHeight="1" x14ac:dyDescent="0.25">
      <c r="A1226" s="17" t="s">
        <v>31</v>
      </c>
      <c r="B1226" s="18" t="s">
        <v>42</v>
      </c>
      <c r="C1226" s="18">
        <v>3.9450377673063302</v>
      </c>
      <c r="D1226" s="18">
        <v>2003</v>
      </c>
    </row>
    <row r="1227" spans="1:4" ht="19.95" customHeight="1" x14ac:dyDescent="0.25">
      <c r="A1227" s="17" t="s">
        <v>32</v>
      </c>
      <c r="B1227" s="18" t="s">
        <v>42</v>
      </c>
      <c r="C1227" s="18">
        <v>2.5207329360950399</v>
      </c>
      <c r="D1227" s="18">
        <v>2003</v>
      </c>
    </row>
    <row r="1228" spans="1:4" ht="19.95" customHeight="1" x14ac:dyDescent="0.25">
      <c r="A1228" s="17" t="s">
        <v>33</v>
      </c>
      <c r="B1228" s="18" t="s">
        <v>42</v>
      </c>
      <c r="C1228" s="18">
        <v>5.2999999983132096</v>
      </c>
      <c r="D1228" s="18">
        <v>2003</v>
      </c>
    </row>
    <row r="1229" spans="1:4" ht="19.95" customHeight="1" x14ac:dyDescent="0.25">
      <c r="A1229" s="17" t="s">
        <v>34</v>
      </c>
      <c r="B1229" s="18" t="s">
        <v>42</v>
      </c>
      <c r="C1229" s="18">
        <v>2.2023723717093699</v>
      </c>
      <c r="D1229" s="18">
        <v>2003</v>
      </c>
    </row>
    <row r="1230" spans="1:4" ht="19.95" customHeight="1" x14ac:dyDescent="0.25">
      <c r="A1230" s="17" t="s">
        <v>35</v>
      </c>
      <c r="B1230" s="18" t="s">
        <v>42</v>
      </c>
      <c r="C1230" s="18">
        <v>6.5734726993345403</v>
      </c>
      <c r="D1230" s="18">
        <v>2003</v>
      </c>
    </row>
    <row r="1231" spans="1:4" ht="19.95" customHeight="1" x14ac:dyDescent="0.25">
      <c r="A1231" s="17" t="s">
        <v>2</v>
      </c>
      <c r="B1231" s="18" t="s">
        <v>42</v>
      </c>
      <c r="C1231" s="18">
        <v>5.9402690776047802</v>
      </c>
      <c r="D1231" s="18">
        <v>2003</v>
      </c>
    </row>
    <row r="1232" spans="1:4" ht="19.95" customHeight="1" x14ac:dyDescent="0.25">
      <c r="A1232" s="17" t="s">
        <v>36</v>
      </c>
      <c r="B1232" s="18" t="s">
        <v>42</v>
      </c>
      <c r="C1232" s="18">
        <v>10.999997112295</v>
      </c>
      <c r="D1232" s="18">
        <v>2003</v>
      </c>
    </row>
    <row r="1233" spans="1:4" ht="19.95" customHeight="1" x14ac:dyDescent="0.25">
      <c r="A1233" s="17" t="s">
        <v>37</v>
      </c>
      <c r="B1233" s="18" t="s">
        <v>42</v>
      </c>
      <c r="C1233" s="18">
        <v>6.8862265322819702</v>
      </c>
      <c r="D1233" s="18">
        <v>2003</v>
      </c>
    </row>
    <row r="1234" spans="1:4" ht="19.95" customHeight="1" x14ac:dyDescent="0.25">
      <c r="A1234" s="17" t="s">
        <v>38</v>
      </c>
      <c r="B1234" s="18" t="s">
        <v>42</v>
      </c>
      <c r="C1234" s="18">
        <v>6.4732586714868701</v>
      </c>
      <c r="D1234" s="18">
        <v>2003</v>
      </c>
    </row>
    <row r="1235" spans="1:4" ht="19.95" customHeight="1" x14ac:dyDescent="0.25">
      <c r="A1235" s="17" t="s">
        <v>39</v>
      </c>
      <c r="B1235" s="18" t="s">
        <v>42</v>
      </c>
      <c r="C1235" s="18">
        <v>6.94497398221226</v>
      </c>
      <c r="D1235" s="18">
        <v>2003</v>
      </c>
    </row>
    <row r="1236" spans="1:4" ht="19.95" customHeight="1" x14ac:dyDescent="0.25">
      <c r="A1236" s="17" t="s">
        <v>40</v>
      </c>
      <c r="B1236" s="18" t="s">
        <v>42</v>
      </c>
      <c r="C1236" s="18">
        <v>-16.995074527550099</v>
      </c>
      <c r="D1236" s="18">
        <v>2003</v>
      </c>
    </row>
    <row r="1237" spans="1:4" ht="19.95" customHeight="1" x14ac:dyDescent="0.25">
      <c r="A1237" s="17" t="s">
        <v>10</v>
      </c>
      <c r="B1237" s="18" t="s">
        <v>42</v>
      </c>
      <c r="C1237" s="18">
        <v>4.8336577616482401</v>
      </c>
      <c r="D1237" s="18">
        <v>2004</v>
      </c>
    </row>
    <row r="1238" spans="1:4" ht="19.95" customHeight="1" x14ac:dyDescent="0.25">
      <c r="A1238" s="17" t="s">
        <v>13</v>
      </c>
      <c r="B1238" s="18" t="s">
        <v>42</v>
      </c>
      <c r="C1238" s="18">
        <v>6.7809559237731598</v>
      </c>
      <c r="D1238" s="18">
        <v>2004</v>
      </c>
    </row>
    <row r="1239" spans="1:4" ht="19.95" customHeight="1" x14ac:dyDescent="0.25">
      <c r="A1239" s="17" t="s">
        <v>16</v>
      </c>
      <c r="B1239" s="18" t="s">
        <v>42</v>
      </c>
      <c r="C1239" s="18">
        <v>33.629371852465901</v>
      </c>
      <c r="D1239" s="18">
        <v>2004</v>
      </c>
    </row>
    <row r="1240" spans="1:4" ht="19.95" customHeight="1" x14ac:dyDescent="0.25">
      <c r="A1240" s="17" t="s">
        <v>15</v>
      </c>
      <c r="B1240" s="18" t="s">
        <v>42</v>
      </c>
      <c r="C1240" s="18">
        <v>1.91960237946122</v>
      </c>
      <c r="D1240" s="18">
        <v>2004</v>
      </c>
    </row>
    <row r="1241" spans="1:4" ht="19.95" customHeight="1" x14ac:dyDescent="0.25">
      <c r="A1241" s="17" t="s">
        <v>17</v>
      </c>
      <c r="B1241" s="18" t="s">
        <v>42</v>
      </c>
      <c r="C1241" s="18"/>
      <c r="D1241" s="18">
        <v>2004</v>
      </c>
    </row>
    <row r="1242" spans="1:4" ht="19.95" customHeight="1" x14ac:dyDescent="0.25">
      <c r="A1242" s="17" t="s">
        <v>18</v>
      </c>
      <c r="B1242" s="18" t="s">
        <v>42</v>
      </c>
      <c r="C1242" s="18">
        <v>13.5726031535762</v>
      </c>
      <c r="D1242" s="18">
        <v>2004</v>
      </c>
    </row>
    <row r="1243" spans="1:4" ht="19.95" customHeight="1" x14ac:dyDescent="0.25">
      <c r="A1243" s="17" t="s">
        <v>19</v>
      </c>
      <c r="B1243" s="18" t="s">
        <v>42</v>
      </c>
      <c r="C1243" s="18">
        <v>2.3401173126173198</v>
      </c>
      <c r="D1243" s="18">
        <v>2004</v>
      </c>
    </row>
    <row r="1244" spans="1:4" ht="19.95" customHeight="1" x14ac:dyDescent="0.25">
      <c r="A1244" s="17" t="s">
        <v>20</v>
      </c>
      <c r="B1244" s="18" t="s">
        <v>42</v>
      </c>
      <c r="C1244" s="18">
        <v>-3.5228881659758602</v>
      </c>
      <c r="D1244" s="18">
        <v>2004</v>
      </c>
    </row>
    <row r="1245" spans="1:4" ht="19.95" customHeight="1" x14ac:dyDescent="0.25">
      <c r="A1245" s="17" t="s">
        <v>21</v>
      </c>
      <c r="B1245" s="18" t="s">
        <v>42</v>
      </c>
      <c r="C1245" s="18">
        <v>5.1042997756893396</v>
      </c>
      <c r="D1245" s="18">
        <v>2004</v>
      </c>
    </row>
    <row r="1246" spans="1:4" ht="19.95" customHeight="1" x14ac:dyDescent="0.25">
      <c r="A1246" s="17" t="s">
        <v>22</v>
      </c>
      <c r="B1246" s="18" t="s">
        <v>42</v>
      </c>
      <c r="C1246" s="18">
        <v>2.61212675795448</v>
      </c>
      <c r="D1246" s="18">
        <v>2004</v>
      </c>
    </row>
    <row r="1247" spans="1:4" ht="19.95" customHeight="1" x14ac:dyDescent="0.25">
      <c r="A1247" s="17" t="s">
        <v>23</v>
      </c>
      <c r="B1247" s="18" t="s">
        <v>42</v>
      </c>
      <c r="C1247" s="18">
        <v>2.6206052559568001</v>
      </c>
      <c r="D1247" s="18">
        <v>2004</v>
      </c>
    </row>
    <row r="1248" spans="1:4" ht="19.95" customHeight="1" x14ac:dyDescent="0.25">
      <c r="A1248" s="17" t="s">
        <v>24</v>
      </c>
      <c r="B1248" s="18" t="s">
        <v>42</v>
      </c>
      <c r="C1248" s="18">
        <v>5.2570036042099604</v>
      </c>
      <c r="D1248" s="18">
        <v>2004</v>
      </c>
    </row>
    <row r="1249" spans="1:4" ht="19.95" customHeight="1" x14ac:dyDescent="0.25">
      <c r="A1249" s="17" t="s">
        <v>25</v>
      </c>
      <c r="B1249" s="18" t="s">
        <v>42</v>
      </c>
      <c r="C1249" s="18">
        <v>5.4204976936605496</v>
      </c>
      <c r="D1249" s="18">
        <v>2004</v>
      </c>
    </row>
    <row r="1250" spans="1:4" ht="19.95" customHeight="1" x14ac:dyDescent="0.25">
      <c r="A1250" s="17" t="s">
        <v>26</v>
      </c>
      <c r="B1250" s="18" t="s">
        <v>42</v>
      </c>
      <c r="C1250" s="18">
        <v>1.5599986605349201</v>
      </c>
      <c r="D1250" s="18">
        <v>2004</v>
      </c>
    </row>
    <row r="1251" spans="1:4" ht="19.95" customHeight="1" x14ac:dyDescent="0.25">
      <c r="A1251" s="17" t="s">
        <v>27</v>
      </c>
      <c r="B1251" s="18" t="s">
        <v>42</v>
      </c>
      <c r="C1251" s="18">
        <v>7.39999984026029</v>
      </c>
      <c r="D1251" s="18">
        <v>2004</v>
      </c>
    </row>
    <row r="1252" spans="1:4" ht="19.95" customHeight="1" x14ac:dyDescent="0.25">
      <c r="A1252" s="17" t="s">
        <v>28</v>
      </c>
      <c r="B1252" s="18" t="s">
        <v>42</v>
      </c>
      <c r="C1252" s="18">
        <v>7.8111861081321301</v>
      </c>
      <c r="D1252" s="18">
        <v>2004</v>
      </c>
    </row>
    <row r="1253" spans="1:4" ht="19.95" customHeight="1" x14ac:dyDescent="0.25">
      <c r="A1253" s="17" t="s">
        <v>29</v>
      </c>
      <c r="B1253" s="18" t="s">
        <v>42</v>
      </c>
      <c r="C1253" s="18">
        <v>13.564661616294201</v>
      </c>
      <c r="D1253" s="18">
        <v>2004</v>
      </c>
    </row>
    <row r="1254" spans="1:4" ht="19.95" customHeight="1" x14ac:dyDescent="0.25">
      <c r="A1254" s="17" t="s">
        <v>31</v>
      </c>
      <c r="B1254" s="18" t="s">
        <v>42</v>
      </c>
      <c r="C1254" s="18">
        <v>4.6826032453513404</v>
      </c>
      <c r="D1254" s="18">
        <v>2004</v>
      </c>
    </row>
    <row r="1255" spans="1:4" ht="19.95" customHeight="1" x14ac:dyDescent="0.25">
      <c r="A1255" s="17" t="s">
        <v>32</v>
      </c>
      <c r="B1255" s="18" t="s">
        <v>42</v>
      </c>
      <c r="C1255" s="18">
        <v>5.3121705202133302</v>
      </c>
      <c r="D1255" s="18">
        <v>2004</v>
      </c>
    </row>
    <row r="1256" spans="1:4" ht="19.95" customHeight="1" x14ac:dyDescent="0.25">
      <c r="A1256" s="17" t="s">
        <v>33</v>
      </c>
      <c r="B1256" s="18" t="s">
        <v>42</v>
      </c>
      <c r="C1256" s="18">
        <v>0.10000000083576301</v>
      </c>
      <c r="D1256" s="18">
        <v>2004</v>
      </c>
    </row>
    <row r="1257" spans="1:4" ht="19.95" customHeight="1" x14ac:dyDescent="0.25">
      <c r="A1257" s="17" t="s">
        <v>34</v>
      </c>
      <c r="B1257" s="18" t="s">
        <v>42</v>
      </c>
      <c r="C1257" s="18">
        <v>7.4476763788479303</v>
      </c>
      <c r="D1257" s="18">
        <v>2004</v>
      </c>
    </row>
    <row r="1258" spans="1:4" ht="19.95" customHeight="1" x14ac:dyDescent="0.25">
      <c r="A1258" s="17" t="s">
        <v>35</v>
      </c>
      <c r="B1258" s="18" t="s">
        <v>42</v>
      </c>
      <c r="C1258" s="18">
        <v>3.8322270846451301</v>
      </c>
      <c r="D1258" s="18">
        <v>2004</v>
      </c>
    </row>
    <row r="1259" spans="1:4" ht="19.95" customHeight="1" x14ac:dyDescent="0.25">
      <c r="A1259" s="17" t="s">
        <v>2</v>
      </c>
      <c r="B1259" s="18" t="s">
        <v>42</v>
      </c>
      <c r="C1259" s="18">
        <v>5.4450612778996801</v>
      </c>
      <c r="D1259" s="18">
        <v>2004</v>
      </c>
    </row>
    <row r="1260" spans="1:4" ht="19.95" customHeight="1" x14ac:dyDescent="0.25">
      <c r="A1260" s="17" t="s">
        <v>36</v>
      </c>
      <c r="B1260" s="18" t="s">
        <v>42</v>
      </c>
      <c r="C1260" s="18">
        <v>10.300001709580901</v>
      </c>
      <c r="D1260" s="18">
        <v>2004</v>
      </c>
    </row>
    <row r="1261" spans="1:4" ht="19.95" customHeight="1" x14ac:dyDescent="0.25">
      <c r="A1261" s="17" t="s">
        <v>37</v>
      </c>
      <c r="B1261" s="18" t="s">
        <v>42</v>
      </c>
      <c r="C1261" s="18">
        <v>7.8282983809593798</v>
      </c>
      <c r="D1261" s="18">
        <v>2004</v>
      </c>
    </row>
    <row r="1262" spans="1:4" ht="19.95" customHeight="1" x14ac:dyDescent="0.25">
      <c r="A1262" s="17" t="s">
        <v>38</v>
      </c>
      <c r="B1262" s="18" t="s">
        <v>42</v>
      </c>
      <c r="C1262" s="18">
        <v>6.8072333442704398</v>
      </c>
      <c r="D1262" s="18">
        <v>2004</v>
      </c>
    </row>
    <row r="1263" spans="1:4" ht="19.95" customHeight="1" x14ac:dyDescent="0.25">
      <c r="A1263" s="17" t="s">
        <v>39</v>
      </c>
      <c r="B1263" s="18" t="s">
        <v>42</v>
      </c>
      <c r="C1263" s="18">
        <v>7.0323951151521698</v>
      </c>
      <c r="D1263" s="18">
        <v>2004</v>
      </c>
    </row>
    <row r="1264" spans="1:4" ht="19.95" customHeight="1" x14ac:dyDescent="0.25">
      <c r="A1264" s="17" t="s">
        <v>40</v>
      </c>
      <c r="B1264" s="18" t="s">
        <v>42</v>
      </c>
      <c r="C1264" s="18">
        <v>-5.8075383034693999</v>
      </c>
      <c r="D1264" s="18">
        <v>2004</v>
      </c>
    </row>
    <row r="1265" spans="1:4" ht="19.95" customHeight="1" x14ac:dyDescent="0.25">
      <c r="A1265" s="17" t="s">
        <v>10</v>
      </c>
      <c r="B1265" s="18" t="s">
        <v>42</v>
      </c>
      <c r="C1265" s="18">
        <v>0.90000000286400506</v>
      </c>
      <c r="D1265" s="18">
        <v>2005</v>
      </c>
    </row>
    <row r="1266" spans="1:4" ht="19.95" customHeight="1" x14ac:dyDescent="0.25">
      <c r="A1266" s="17" t="s">
        <v>13</v>
      </c>
      <c r="B1266" s="18" t="s">
        <v>42</v>
      </c>
      <c r="C1266" s="18">
        <v>2.02066230714679</v>
      </c>
      <c r="D1266" s="18">
        <v>2005</v>
      </c>
    </row>
    <row r="1267" spans="1:4" ht="19.95" customHeight="1" x14ac:dyDescent="0.25">
      <c r="A1267" s="17" t="s">
        <v>16</v>
      </c>
      <c r="B1267" s="18" t="s">
        <v>42</v>
      </c>
      <c r="C1267" s="18">
        <v>17.3325337350837</v>
      </c>
      <c r="D1267" s="18">
        <v>2005</v>
      </c>
    </row>
    <row r="1268" spans="1:4" ht="19.95" customHeight="1" x14ac:dyDescent="0.25">
      <c r="A1268" s="17" t="s">
        <v>15</v>
      </c>
      <c r="B1268" s="18" t="s">
        <v>42</v>
      </c>
      <c r="C1268" s="18">
        <v>2.8374077642228999</v>
      </c>
      <c r="D1268" s="18">
        <v>2005</v>
      </c>
    </row>
    <row r="1269" spans="1:4" ht="19.95" customHeight="1" x14ac:dyDescent="0.25">
      <c r="A1269" s="17" t="s">
        <v>17</v>
      </c>
      <c r="B1269" s="18" t="s">
        <v>42</v>
      </c>
      <c r="C1269" s="18"/>
      <c r="D1269" s="18">
        <v>2005</v>
      </c>
    </row>
    <row r="1270" spans="1:4" ht="19.95" customHeight="1" x14ac:dyDescent="0.25">
      <c r="A1270" s="17" t="s">
        <v>18</v>
      </c>
      <c r="B1270" s="18" t="s">
        <v>42</v>
      </c>
      <c r="C1270" s="18">
        <v>11.818765935324899</v>
      </c>
      <c r="D1270" s="18">
        <v>2005</v>
      </c>
    </row>
    <row r="1271" spans="1:4" ht="19.95" customHeight="1" x14ac:dyDescent="0.25">
      <c r="A1271" s="17" t="s">
        <v>19</v>
      </c>
      <c r="B1271" s="18" t="s">
        <v>42</v>
      </c>
      <c r="C1271" s="18">
        <v>2.9972725615751599</v>
      </c>
      <c r="D1271" s="18">
        <v>2005</v>
      </c>
    </row>
    <row r="1272" spans="1:4" ht="19.95" customHeight="1" x14ac:dyDescent="0.25">
      <c r="A1272" s="17" t="s">
        <v>20</v>
      </c>
      <c r="B1272" s="18" t="s">
        <v>42</v>
      </c>
      <c r="C1272" s="18">
        <v>1.80501122760435</v>
      </c>
      <c r="D1272" s="18">
        <v>2005</v>
      </c>
    </row>
    <row r="1273" spans="1:4" ht="19.95" customHeight="1" x14ac:dyDescent="0.25">
      <c r="A1273" s="17" t="s">
        <v>21</v>
      </c>
      <c r="B1273" s="18" t="s">
        <v>42</v>
      </c>
      <c r="C1273" s="18">
        <v>5.9066660816801297</v>
      </c>
      <c r="D1273" s="18">
        <v>2005</v>
      </c>
    </row>
    <row r="1274" spans="1:4" ht="19.95" customHeight="1" x14ac:dyDescent="0.25">
      <c r="A1274" s="17" t="s">
        <v>22</v>
      </c>
      <c r="B1274" s="18" t="s">
        <v>42</v>
      </c>
      <c r="C1274" s="18">
        <v>6.0332297483318804</v>
      </c>
      <c r="D1274" s="18">
        <v>2005</v>
      </c>
    </row>
    <row r="1275" spans="1:4" ht="19.95" customHeight="1" x14ac:dyDescent="0.25">
      <c r="A1275" s="17" t="s">
        <v>23</v>
      </c>
      <c r="B1275" s="18" t="s">
        <v>42</v>
      </c>
      <c r="C1275" s="18">
        <v>5.2819757300214896</v>
      </c>
      <c r="D1275" s="18">
        <v>2005</v>
      </c>
    </row>
    <row r="1276" spans="1:4" ht="19.95" customHeight="1" x14ac:dyDescent="0.25">
      <c r="A1276" s="17" t="s">
        <v>24</v>
      </c>
      <c r="B1276" s="18" t="s">
        <v>42</v>
      </c>
      <c r="C1276" s="18">
        <v>4.6028999651506801</v>
      </c>
      <c r="D1276" s="18">
        <v>2005</v>
      </c>
    </row>
    <row r="1277" spans="1:4" ht="19.95" customHeight="1" x14ac:dyDescent="0.25">
      <c r="A1277" s="17" t="s">
        <v>25</v>
      </c>
      <c r="B1277" s="18" t="s">
        <v>42</v>
      </c>
      <c r="C1277" s="18">
        <v>3.2687258275753002</v>
      </c>
      <c r="D1277" s="18">
        <v>2005</v>
      </c>
    </row>
    <row r="1278" spans="1:4" ht="19.95" customHeight="1" x14ac:dyDescent="0.25">
      <c r="A1278" s="17" t="s">
        <v>26</v>
      </c>
      <c r="B1278" s="18" t="s">
        <v>42</v>
      </c>
      <c r="C1278" s="18">
        <v>6.5347626571099902</v>
      </c>
      <c r="D1278" s="18">
        <v>2005</v>
      </c>
    </row>
    <row r="1279" spans="1:4" ht="19.95" customHeight="1" x14ac:dyDescent="0.25">
      <c r="A1279" s="17" t="s">
        <v>27</v>
      </c>
      <c r="B1279" s="18" t="s">
        <v>42</v>
      </c>
      <c r="C1279" s="18">
        <v>7.5000000953419503</v>
      </c>
      <c r="D1279" s="18">
        <v>2005</v>
      </c>
    </row>
    <row r="1280" spans="1:4" ht="19.95" customHeight="1" x14ac:dyDescent="0.25">
      <c r="A1280" s="17" t="s">
        <v>28</v>
      </c>
      <c r="B1280" s="18" t="s">
        <v>42</v>
      </c>
      <c r="C1280" s="18">
        <v>8.7206678772082409</v>
      </c>
      <c r="D1280" s="18">
        <v>2005</v>
      </c>
    </row>
    <row r="1281" spans="1:4" ht="19.95" customHeight="1" x14ac:dyDescent="0.25">
      <c r="A1281" s="17" t="s">
        <v>29</v>
      </c>
      <c r="B1281" s="18" t="s">
        <v>42</v>
      </c>
      <c r="C1281" s="18">
        <v>13.5689500216101</v>
      </c>
      <c r="D1281" s="18">
        <v>2005</v>
      </c>
    </row>
    <row r="1282" spans="1:4" ht="19.95" customHeight="1" x14ac:dyDescent="0.25">
      <c r="A1282" s="17" t="s">
        <v>31</v>
      </c>
      <c r="B1282" s="18" t="s">
        <v>42</v>
      </c>
      <c r="C1282" s="18">
        <v>3.4791810463114698</v>
      </c>
      <c r="D1282" s="18">
        <v>2005</v>
      </c>
    </row>
    <row r="1283" spans="1:4" ht="19.95" customHeight="1" x14ac:dyDescent="0.25">
      <c r="A1283" s="17" t="s">
        <v>32</v>
      </c>
      <c r="B1283" s="18" t="s">
        <v>42</v>
      </c>
      <c r="C1283" s="18">
        <v>4.2823983052872903</v>
      </c>
      <c r="D1283" s="18">
        <v>2005</v>
      </c>
    </row>
    <row r="1284" spans="1:4" ht="19.95" customHeight="1" x14ac:dyDescent="0.25">
      <c r="A1284" s="17" t="s">
        <v>33</v>
      </c>
      <c r="B1284" s="18" t="s">
        <v>42</v>
      </c>
      <c r="C1284" s="18">
        <v>4.4999999993622204</v>
      </c>
      <c r="D1284" s="18">
        <v>2005</v>
      </c>
    </row>
    <row r="1285" spans="1:4" ht="19.95" customHeight="1" x14ac:dyDescent="0.25">
      <c r="A1285" s="17" t="s">
        <v>34</v>
      </c>
      <c r="B1285" s="18" t="s">
        <v>42</v>
      </c>
      <c r="C1285" s="18">
        <v>9.3779159267004797</v>
      </c>
      <c r="D1285" s="18">
        <v>2005</v>
      </c>
    </row>
    <row r="1286" spans="1:4" ht="19.95" customHeight="1" x14ac:dyDescent="0.25">
      <c r="A1286" s="17" t="s">
        <v>35</v>
      </c>
      <c r="B1286" s="18" t="s">
        <v>42</v>
      </c>
      <c r="C1286" s="18">
        <v>7.0937704467562499</v>
      </c>
      <c r="D1286" s="18">
        <v>2005</v>
      </c>
    </row>
    <row r="1287" spans="1:4" ht="19.95" customHeight="1" x14ac:dyDescent="0.25">
      <c r="A1287" s="17" t="s">
        <v>2</v>
      </c>
      <c r="B1287" s="18" t="s">
        <v>42</v>
      </c>
      <c r="C1287" s="18">
        <v>6.2417480446522502</v>
      </c>
      <c r="D1287" s="18">
        <v>2005</v>
      </c>
    </row>
    <row r="1288" spans="1:4" ht="19.95" customHeight="1" x14ac:dyDescent="0.25">
      <c r="A1288" s="17" t="s">
        <v>36</v>
      </c>
      <c r="B1288" s="18" t="s">
        <v>42</v>
      </c>
      <c r="C1288" s="18">
        <v>6.69999705736541</v>
      </c>
      <c r="D1288" s="18">
        <v>2005</v>
      </c>
    </row>
    <row r="1289" spans="1:4" ht="19.95" customHeight="1" x14ac:dyDescent="0.25">
      <c r="A1289" s="17" t="s">
        <v>37</v>
      </c>
      <c r="B1289" s="18" t="s">
        <v>42</v>
      </c>
      <c r="C1289" s="18">
        <v>8.1733358341381308</v>
      </c>
      <c r="D1289" s="18">
        <v>2005</v>
      </c>
    </row>
    <row r="1290" spans="1:4" ht="19.95" customHeight="1" x14ac:dyDescent="0.25">
      <c r="A1290" s="17" t="s">
        <v>38</v>
      </c>
      <c r="B1290" s="18" t="s">
        <v>42</v>
      </c>
      <c r="C1290" s="18">
        <v>6.3325651163091603</v>
      </c>
      <c r="D1290" s="18">
        <v>2005</v>
      </c>
    </row>
    <row r="1291" spans="1:4" ht="19.95" customHeight="1" x14ac:dyDescent="0.25">
      <c r="A1291" s="17" t="s">
        <v>39</v>
      </c>
      <c r="B1291" s="18" t="s">
        <v>42</v>
      </c>
      <c r="C1291" s="18">
        <v>7.2355990065554296</v>
      </c>
      <c r="D1291" s="18">
        <v>2005</v>
      </c>
    </row>
    <row r="1292" spans="1:4" ht="19.95" customHeight="1" x14ac:dyDescent="0.25">
      <c r="A1292" s="17" t="s">
        <v>40</v>
      </c>
      <c r="B1292" s="18" t="s">
        <v>42</v>
      </c>
      <c r="C1292" s="18">
        <v>-5.7110838330467999</v>
      </c>
      <c r="D1292" s="18">
        <v>2005</v>
      </c>
    </row>
    <row r="1293" spans="1:4" ht="19.95" customHeight="1" x14ac:dyDescent="0.25">
      <c r="A1293" s="17" t="s">
        <v>10</v>
      </c>
      <c r="B1293" s="18" t="s">
        <v>42</v>
      </c>
      <c r="C1293" s="18">
        <v>5.3846573982125303</v>
      </c>
      <c r="D1293" s="18">
        <v>2006</v>
      </c>
    </row>
    <row r="1294" spans="1:4" ht="19.95" customHeight="1" x14ac:dyDescent="0.25">
      <c r="A1294" s="17" t="s">
        <v>13</v>
      </c>
      <c r="B1294" s="18" t="s">
        <v>42</v>
      </c>
      <c r="C1294" s="18">
        <v>3.45766879254916</v>
      </c>
      <c r="D1294" s="18">
        <v>2006</v>
      </c>
    </row>
    <row r="1295" spans="1:4" ht="19.95" customHeight="1" x14ac:dyDescent="0.25">
      <c r="A1295" s="17" t="s">
        <v>16</v>
      </c>
      <c r="B1295" s="18" t="s">
        <v>42</v>
      </c>
      <c r="C1295" s="18">
        <v>0.64826201409454098</v>
      </c>
      <c r="D1295" s="18">
        <v>2006</v>
      </c>
    </row>
    <row r="1296" spans="1:4" ht="19.95" customHeight="1" x14ac:dyDescent="0.25">
      <c r="A1296" s="17" t="s">
        <v>15</v>
      </c>
      <c r="B1296" s="18" t="s">
        <v>42</v>
      </c>
      <c r="C1296" s="18">
        <v>2.64689986791771</v>
      </c>
      <c r="D1296" s="18">
        <v>2006</v>
      </c>
    </row>
    <row r="1297" spans="1:4" ht="19.95" customHeight="1" x14ac:dyDescent="0.25">
      <c r="A1297" s="17" t="s">
        <v>17</v>
      </c>
      <c r="B1297" s="18" t="s">
        <v>42</v>
      </c>
      <c r="C1297" s="18"/>
      <c r="D1297" s="18">
        <v>2006</v>
      </c>
    </row>
    <row r="1298" spans="1:4" ht="19.95" customHeight="1" x14ac:dyDescent="0.25">
      <c r="A1298" s="17" t="s">
        <v>18</v>
      </c>
      <c r="B1298" s="18" t="s">
        <v>42</v>
      </c>
      <c r="C1298" s="18">
        <v>10.834727071885901</v>
      </c>
      <c r="D1298" s="18">
        <v>2006</v>
      </c>
    </row>
    <row r="1299" spans="1:4" ht="19.95" customHeight="1" x14ac:dyDescent="0.25">
      <c r="A1299" s="17" t="s">
        <v>19</v>
      </c>
      <c r="B1299" s="18" t="s">
        <v>42</v>
      </c>
      <c r="C1299" s="18">
        <v>1.18014044631364</v>
      </c>
      <c r="D1299" s="18">
        <v>2006</v>
      </c>
    </row>
    <row r="1300" spans="1:4" ht="19.95" customHeight="1" x14ac:dyDescent="0.25">
      <c r="A1300" s="17" t="s">
        <v>20</v>
      </c>
      <c r="B1300" s="18" t="s">
        <v>42</v>
      </c>
      <c r="C1300" s="18">
        <v>2.24922160032366</v>
      </c>
      <c r="D1300" s="18">
        <v>2006</v>
      </c>
    </row>
    <row r="1301" spans="1:4" ht="19.95" customHeight="1" x14ac:dyDescent="0.25">
      <c r="A1301" s="17" t="s">
        <v>21</v>
      </c>
      <c r="B1301" s="18" t="s">
        <v>42</v>
      </c>
      <c r="C1301" s="18">
        <v>6.4724942986248202</v>
      </c>
      <c r="D1301" s="18">
        <v>2006</v>
      </c>
    </row>
    <row r="1302" spans="1:4" ht="19.95" customHeight="1" x14ac:dyDescent="0.25">
      <c r="A1302" s="17" t="s">
        <v>22</v>
      </c>
      <c r="B1302" s="18" t="s">
        <v>42</v>
      </c>
      <c r="C1302" s="18">
        <v>4.5030317556850301</v>
      </c>
      <c r="D1302" s="18">
        <v>2006</v>
      </c>
    </row>
    <row r="1303" spans="1:4" ht="19.95" customHeight="1" x14ac:dyDescent="0.25">
      <c r="A1303" s="17" t="s">
        <v>23</v>
      </c>
      <c r="B1303" s="18" t="s">
        <v>42</v>
      </c>
      <c r="C1303" s="18">
        <v>8.0431620224482607</v>
      </c>
      <c r="D1303" s="18">
        <v>2006</v>
      </c>
    </row>
    <row r="1304" spans="1:4" ht="19.95" customHeight="1" x14ac:dyDescent="0.25">
      <c r="A1304" s="17" t="s">
        <v>24</v>
      </c>
      <c r="B1304" s="18" t="s">
        <v>42</v>
      </c>
      <c r="C1304" s="18">
        <v>5.0226070023249001</v>
      </c>
      <c r="D1304" s="18">
        <v>2006</v>
      </c>
    </row>
    <row r="1305" spans="1:4" ht="19.95" customHeight="1" x14ac:dyDescent="0.25">
      <c r="A1305" s="17" t="s">
        <v>25</v>
      </c>
      <c r="B1305" s="18" t="s">
        <v>42</v>
      </c>
      <c r="C1305" s="18">
        <v>4.6999999920261102</v>
      </c>
      <c r="D1305" s="18">
        <v>2006</v>
      </c>
    </row>
    <row r="1306" spans="1:4" ht="19.95" customHeight="1" x14ac:dyDescent="0.25">
      <c r="A1306" s="17" t="s">
        <v>26</v>
      </c>
      <c r="B1306" s="18" t="s">
        <v>42</v>
      </c>
      <c r="C1306" s="18">
        <v>4.6621868797987496</v>
      </c>
      <c r="D1306" s="18">
        <v>2006</v>
      </c>
    </row>
    <row r="1307" spans="1:4" ht="19.95" customHeight="1" x14ac:dyDescent="0.25">
      <c r="A1307" s="17" t="s">
        <v>27</v>
      </c>
      <c r="B1307" s="18" t="s">
        <v>42</v>
      </c>
      <c r="C1307" s="18">
        <v>4.7999998687385501</v>
      </c>
      <c r="D1307" s="18">
        <v>2006</v>
      </c>
    </row>
    <row r="1308" spans="1:4" ht="19.95" customHeight="1" x14ac:dyDescent="0.25">
      <c r="A1308" s="17" t="s">
        <v>28</v>
      </c>
      <c r="B1308" s="18" t="s">
        <v>42</v>
      </c>
      <c r="C1308" s="18">
        <v>9.8510554647083097</v>
      </c>
      <c r="D1308" s="18">
        <v>2006</v>
      </c>
    </row>
    <row r="1309" spans="1:4" ht="19.95" customHeight="1" x14ac:dyDescent="0.25">
      <c r="A1309" s="17" t="s">
        <v>29</v>
      </c>
      <c r="B1309" s="18" t="s">
        <v>42</v>
      </c>
      <c r="C1309" s="18">
        <v>13.076101379581001</v>
      </c>
      <c r="D1309" s="18">
        <v>2006</v>
      </c>
    </row>
    <row r="1310" spans="1:4" ht="19.95" customHeight="1" x14ac:dyDescent="0.25">
      <c r="A1310" s="17" t="s">
        <v>31</v>
      </c>
      <c r="B1310" s="18" t="s">
        <v>42</v>
      </c>
      <c r="C1310" s="18">
        <v>3.3646147880716599</v>
      </c>
      <c r="D1310" s="18">
        <v>2006</v>
      </c>
    </row>
    <row r="1311" spans="1:4" ht="19.95" customHeight="1" x14ac:dyDescent="0.25">
      <c r="A1311" s="17" t="s">
        <v>32</v>
      </c>
      <c r="B1311" s="18" t="s">
        <v>42</v>
      </c>
      <c r="C1311" s="18">
        <v>3.80486461731704</v>
      </c>
      <c r="D1311" s="18">
        <v>2006</v>
      </c>
    </row>
    <row r="1312" spans="1:4" ht="19.95" customHeight="1" x14ac:dyDescent="0.25">
      <c r="A1312" s="17" t="s">
        <v>33</v>
      </c>
      <c r="B1312" s="18" t="s">
        <v>42</v>
      </c>
      <c r="C1312" s="18">
        <v>5.8000000015313704</v>
      </c>
      <c r="D1312" s="18">
        <v>2006</v>
      </c>
    </row>
    <row r="1313" spans="1:4" ht="19.95" customHeight="1" x14ac:dyDescent="0.25">
      <c r="A1313" s="17" t="s">
        <v>34</v>
      </c>
      <c r="B1313" s="18" t="s">
        <v>42</v>
      </c>
      <c r="C1313" s="18">
        <v>9.2270758442820107</v>
      </c>
      <c r="D1313" s="18">
        <v>2006</v>
      </c>
    </row>
    <row r="1314" spans="1:4" ht="19.95" customHeight="1" x14ac:dyDescent="0.25">
      <c r="A1314" s="17" t="s">
        <v>35</v>
      </c>
      <c r="B1314" s="18" t="s">
        <v>42</v>
      </c>
      <c r="C1314" s="18">
        <v>9.1156465459020701</v>
      </c>
      <c r="D1314" s="18">
        <v>2006</v>
      </c>
    </row>
    <row r="1315" spans="1:4" ht="19.95" customHeight="1" x14ac:dyDescent="0.25">
      <c r="A1315" s="17" t="s">
        <v>2</v>
      </c>
      <c r="B1315" s="18" t="s">
        <v>42</v>
      </c>
      <c r="C1315" s="18">
        <v>7.6682919001127097</v>
      </c>
      <c r="D1315" s="18">
        <v>2006</v>
      </c>
    </row>
    <row r="1316" spans="1:4" ht="19.95" customHeight="1" x14ac:dyDescent="0.25">
      <c r="A1316" s="17" t="s">
        <v>36</v>
      </c>
      <c r="B1316" s="18" t="s">
        <v>42</v>
      </c>
      <c r="C1316" s="18">
        <v>7.0000018947117004</v>
      </c>
      <c r="D1316" s="18">
        <v>2006</v>
      </c>
    </row>
    <row r="1317" spans="1:4" ht="19.95" customHeight="1" x14ac:dyDescent="0.25">
      <c r="A1317" s="17" t="s">
        <v>37</v>
      </c>
      <c r="B1317" s="18" t="s">
        <v>42</v>
      </c>
      <c r="C1317" s="18">
        <v>4.6605709954801604</v>
      </c>
      <c r="D1317" s="18">
        <v>2006</v>
      </c>
    </row>
    <row r="1318" spans="1:4" ht="19.95" customHeight="1" x14ac:dyDescent="0.25">
      <c r="A1318" s="17" t="s">
        <v>38</v>
      </c>
      <c r="B1318" s="18" t="s">
        <v>42</v>
      </c>
      <c r="C1318" s="18">
        <v>10.7847443860372</v>
      </c>
      <c r="D1318" s="18">
        <v>2006</v>
      </c>
    </row>
    <row r="1319" spans="1:4" ht="19.95" customHeight="1" x14ac:dyDescent="0.25">
      <c r="A1319" s="17" t="s">
        <v>39</v>
      </c>
      <c r="B1319" s="18" t="s">
        <v>42</v>
      </c>
      <c r="C1319" s="18">
        <v>7.9036944448008102</v>
      </c>
      <c r="D1319" s="18">
        <v>2006</v>
      </c>
    </row>
    <row r="1320" spans="1:4" ht="19.95" customHeight="1" x14ac:dyDescent="0.25">
      <c r="A1320" s="17" t="s">
        <v>40</v>
      </c>
      <c r="B1320" s="18" t="s">
        <v>42</v>
      </c>
      <c r="C1320" s="18">
        <v>-3.4614950504017798</v>
      </c>
      <c r="D1320" s="18">
        <v>2006</v>
      </c>
    </row>
    <row r="1321" spans="1:4" ht="19.95" customHeight="1" x14ac:dyDescent="0.25">
      <c r="A1321" s="17" t="s">
        <v>10</v>
      </c>
      <c r="B1321" s="18" t="s">
        <v>42</v>
      </c>
      <c r="C1321" s="18">
        <v>4.7858319508881397</v>
      </c>
      <c r="D1321" s="18">
        <v>2007</v>
      </c>
    </row>
    <row r="1322" spans="1:4" ht="19.95" customHeight="1" x14ac:dyDescent="0.25">
      <c r="A1322" s="17" t="s">
        <v>13</v>
      </c>
      <c r="B1322" s="18" t="s">
        <v>42</v>
      </c>
      <c r="C1322" s="18">
        <v>4.9022017324404699</v>
      </c>
      <c r="D1322" s="18">
        <v>2007</v>
      </c>
    </row>
    <row r="1323" spans="1:4" ht="19.95" customHeight="1" x14ac:dyDescent="0.25">
      <c r="A1323" s="17" t="s">
        <v>16</v>
      </c>
      <c r="B1323" s="18" t="s">
        <v>42</v>
      </c>
      <c r="C1323" s="18">
        <v>3.2714995788864298</v>
      </c>
      <c r="D1323" s="18">
        <v>2007</v>
      </c>
    </row>
    <row r="1324" spans="1:4" ht="19.95" customHeight="1" x14ac:dyDescent="0.25">
      <c r="A1324" s="17" t="s">
        <v>15</v>
      </c>
      <c r="B1324" s="18" t="s">
        <v>42</v>
      </c>
      <c r="C1324" s="18">
        <v>0.80015279901626002</v>
      </c>
      <c r="D1324" s="18">
        <v>2007</v>
      </c>
    </row>
    <row r="1325" spans="1:4" ht="19.95" customHeight="1" x14ac:dyDescent="0.25">
      <c r="A1325" s="17" t="s">
        <v>17</v>
      </c>
      <c r="B1325" s="18" t="s">
        <v>42</v>
      </c>
      <c r="C1325" s="18"/>
      <c r="D1325" s="18">
        <v>2007</v>
      </c>
    </row>
    <row r="1326" spans="1:4" ht="19.95" customHeight="1" x14ac:dyDescent="0.25">
      <c r="A1326" s="17" t="s">
        <v>18</v>
      </c>
      <c r="B1326" s="18" t="s">
        <v>42</v>
      </c>
      <c r="C1326" s="18">
        <v>11.4561669954333</v>
      </c>
      <c r="D1326" s="18">
        <v>2007</v>
      </c>
    </row>
    <row r="1327" spans="1:4" ht="19.95" customHeight="1" x14ac:dyDescent="0.25">
      <c r="A1327" s="17" t="s">
        <v>19</v>
      </c>
      <c r="B1327" s="18" t="s">
        <v>42</v>
      </c>
      <c r="C1327" s="18">
        <v>6.82747442663229</v>
      </c>
      <c r="D1327" s="18">
        <v>2007</v>
      </c>
    </row>
    <row r="1328" spans="1:4" ht="19.95" customHeight="1" x14ac:dyDescent="0.25">
      <c r="A1328" s="17" t="s">
        <v>20</v>
      </c>
      <c r="B1328" s="18" t="s">
        <v>42</v>
      </c>
      <c r="C1328" s="18">
        <v>3.3432790146125102</v>
      </c>
      <c r="D1328" s="18">
        <v>2007</v>
      </c>
    </row>
    <row r="1329" spans="1:4" ht="19.95" customHeight="1" x14ac:dyDescent="0.25">
      <c r="A1329" s="17" t="s">
        <v>21</v>
      </c>
      <c r="B1329" s="18" t="s">
        <v>42</v>
      </c>
      <c r="C1329" s="18">
        <v>6.8507297706313803</v>
      </c>
      <c r="D1329" s="18">
        <v>2007</v>
      </c>
    </row>
    <row r="1330" spans="1:4" ht="19.95" customHeight="1" x14ac:dyDescent="0.25">
      <c r="A1330" s="17" t="s">
        <v>22</v>
      </c>
      <c r="B1330" s="18" t="s">
        <v>42</v>
      </c>
      <c r="C1330" s="18">
        <v>7.2860829859042999</v>
      </c>
      <c r="D1330" s="18">
        <v>2007</v>
      </c>
    </row>
    <row r="1331" spans="1:4" ht="19.95" customHeight="1" x14ac:dyDescent="0.25">
      <c r="A1331" s="17" t="s">
        <v>23</v>
      </c>
      <c r="B1331" s="18" t="s">
        <v>42</v>
      </c>
      <c r="C1331" s="18">
        <v>9.5348928575071898</v>
      </c>
      <c r="D1331" s="18">
        <v>2007</v>
      </c>
    </row>
    <row r="1332" spans="1:4" ht="19.95" customHeight="1" x14ac:dyDescent="0.25">
      <c r="A1332" s="17" t="s">
        <v>24</v>
      </c>
      <c r="B1332" s="18" t="s">
        <v>42</v>
      </c>
      <c r="C1332" s="18">
        <v>6.2405784511612401</v>
      </c>
      <c r="D1332" s="18">
        <v>2007</v>
      </c>
    </row>
    <row r="1333" spans="1:4" ht="19.95" customHeight="1" x14ac:dyDescent="0.25">
      <c r="A1333" s="17" t="s">
        <v>25</v>
      </c>
      <c r="B1333" s="18" t="s">
        <v>42</v>
      </c>
      <c r="C1333" s="18">
        <v>9.60000000260818</v>
      </c>
      <c r="D1333" s="18">
        <v>2007</v>
      </c>
    </row>
    <row r="1334" spans="1:4" ht="19.95" customHeight="1" x14ac:dyDescent="0.25">
      <c r="A1334" s="17" t="s">
        <v>26</v>
      </c>
      <c r="B1334" s="18" t="s">
        <v>42</v>
      </c>
      <c r="C1334" s="18">
        <v>3.4936168106396899</v>
      </c>
      <c r="D1334" s="18">
        <v>2007</v>
      </c>
    </row>
    <row r="1335" spans="1:4" ht="19.95" customHeight="1" x14ac:dyDescent="0.25">
      <c r="A1335" s="17" t="s">
        <v>27</v>
      </c>
      <c r="B1335" s="18" t="s">
        <v>42</v>
      </c>
      <c r="C1335" s="18">
        <v>3.00000019887585</v>
      </c>
      <c r="D1335" s="18">
        <v>2007</v>
      </c>
    </row>
    <row r="1336" spans="1:4" ht="19.95" customHeight="1" x14ac:dyDescent="0.25">
      <c r="A1336" s="17" t="s">
        <v>28</v>
      </c>
      <c r="B1336" s="18" t="s">
        <v>42</v>
      </c>
      <c r="C1336" s="18">
        <v>7.4260609905568904</v>
      </c>
      <c r="D1336" s="18">
        <v>2007</v>
      </c>
    </row>
    <row r="1337" spans="1:4" ht="19.95" customHeight="1" x14ac:dyDescent="0.25">
      <c r="A1337" s="17" t="s">
        <v>29</v>
      </c>
      <c r="B1337" s="18" t="s">
        <v>42</v>
      </c>
      <c r="C1337" s="18">
        <v>11.991435240049899</v>
      </c>
      <c r="D1337" s="18">
        <v>2007</v>
      </c>
    </row>
    <row r="1338" spans="1:4" ht="19.95" customHeight="1" x14ac:dyDescent="0.25">
      <c r="A1338" s="17" t="s">
        <v>31</v>
      </c>
      <c r="B1338" s="18" t="s">
        <v>42</v>
      </c>
      <c r="C1338" s="18">
        <v>3.41156027569262</v>
      </c>
      <c r="D1338" s="18">
        <v>2007</v>
      </c>
    </row>
    <row r="1339" spans="1:4" ht="19.95" customHeight="1" x14ac:dyDescent="0.25">
      <c r="A1339" s="17" t="s">
        <v>32</v>
      </c>
      <c r="B1339" s="18" t="s">
        <v>42</v>
      </c>
      <c r="C1339" s="18">
        <v>5.0763520180987296</v>
      </c>
      <c r="D1339" s="18">
        <v>2007</v>
      </c>
    </row>
    <row r="1340" spans="1:4" ht="19.95" customHeight="1" x14ac:dyDescent="0.25">
      <c r="A1340" s="17" t="s">
        <v>33</v>
      </c>
      <c r="B1340" s="18" t="s">
        <v>42</v>
      </c>
      <c r="C1340" s="18">
        <v>3.1465703955973101</v>
      </c>
      <c r="D1340" s="18">
        <v>2007</v>
      </c>
    </row>
    <row r="1341" spans="1:4" ht="19.95" customHeight="1" x14ac:dyDescent="0.25">
      <c r="A1341" s="17" t="s">
        <v>34</v>
      </c>
      <c r="B1341" s="18" t="s">
        <v>42</v>
      </c>
      <c r="C1341" s="18">
        <v>7.6332870391909902</v>
      </c>
      <c r="D1341" s="18">
        <v>2007</v>
      </c>
    </row>
    <row r="1342" spans="1:4" ht="19.95" customHeight="1" x14ac:dyDescent="0.25">
      <c r="A1342" s="17" t="s">
        <v>35</v>
      </c>
      <c r="B1342" s="18" t="s">
        <v>42</v>
      </c>
      <c r="C1342" s="18">
        <v>3.2536049123670798</v>
      </c>
      <c r="D1342" s="18">
        <v>2007</v>
      </c>
    </row>
    <row r="1343" spans="1:4" ht="19.95" customHeight="1" x14ac:dyDescent="0.25">
      <c r="A1343" s="17" t="s">
        <v>2</v>
      </c>
      <c r="B1343" s="18" t="s">
        <v>42</v>
      </c>
      <c r="C1343" s="18">
        <v>6.7968261189581103</v>
      </c>
      <c r="D1343" s="18">
        <v>2007</v>
      </c>
    </row>
    <row r="1344" spans="1:4" ht="19.95" customHeight="1" x14ac:dyDescent="0.25">
      <c r="A1344" s="17" t="s">
        <v>36</v>
      </c>
      <c r="B1344" s="18" t="s">
        <v>42</v>
      </c>
      <c r="C1344" s="18">
        <v>7.8000013444648602</v>
      </c>
      <c r="D1344" s="18">
        <v>2007</v>
      </c>
    </row>
    <row r="1345" spans="1:4" ht="19.95" customHeight="1" x14ac:dyDescent="0.25">
      <c r="A1345" s="17" t="s">
        <v>37</v>
      </c>
      <c r="B1345" s="18" t="s">
        <v>42</v>
      </c>
      <c r="C1345" s="18">
        <v>8.4643812415567101</v>
      </c>
      <c r="D1345" s="18">
        <v>2007</v>
      </c>
    </row>
    <row r="1346" spans="1:4" ht="19.95" customHeight="1" x14ac:dyDescent="0.25">
      <c r="A1346" s="17" t="s">
        <v>38</v>
      </c>
      <c r="B1346" s="18" t="s">
        <v>42</v>
      </c>
      <c r="C1346" s="18">
        <v>8.4124259655052498</v>
      </c>
      <c r="D1346" s="18">
        <v>2007</v>
      </c>
    </row>
    <row r="1347" spans="1:4" ht="19.95" customHeight="1" x14ac:dyDescent="0.25">
      <c r="A1347" s="17" t="s">
        <v>39</v>
      </c>
      <c r="B1347" s="18" t="s">
        <v>42</v>
      </c>
      <c r="C1347" s="18">
        <v>8.3524362444740792</v>
      </c>
      <c r="D1347" s="18">
        <v>2007</v>
      </c>
    </row>
    <row r="1348" spans="1:4" ht="19.95" customHeight="1" x14ac:dyDescent="0.25">
      <c r="A1348" s="17" t="s">
        <v>40</v>
      </c>
      <c r="B1348" s="18" t="s">
        <v>42</v>
      </c>
      <c r="C1348" s="18">
        <v>-3.6533270433956302</v>
      </c>
      <c r="D1348" s="18">
        <v>2007</v>
      </c>
    </row>
    <row r="1349" spans="1:4" ht="19.95" customHeight="1" x14ac:dyDescent="0.25">
      <c r="A1349" s="17" t="s">
        <v>10</v>
      </c>
      <c r="B1349" s="18" t="s">
        <v>42</v>
      </c>
      <c r="C1349" s="18">
        <v>5.0481187832760703</v>
      </c>
      <c r="D1349" s="18">
        <v>2008</v>
      </c>
    </row>
    <row r="1350" spans="1:4" ht="19.95" customHeight="1" x14ac:dyDescent="0.25">
      <c r="A1350" s="17" t="s">
        <v>13</v>
      </c>
      <c r="B1350" s="18" t="s">
        <v>42</v>
      </c>
      <c r="C1350" s="18">
        <v>3.4888009190369198</v>
      </c>
      <c r="D1350" s="18">
        <v>2008</v>
      </c>
    </row>
    <row r="1351" spans="1:4" ht="19.95" customHeight="1" x14ac:dyDescent="0.25">
      <c r="A1351" s="17" t="s">
        <v>16</v>
      </c>
      <c r="B1351" s="18" t="s">
        <v>42</v>
      </c>
      <c r="C1351" s="18">
        <v>3.0526915319682502</v>
      </c>
      <c r="D1351" s="18">
        <v>2008</v>
      </c>
    </row>
    <row r="1352" spans="1:4" ht="19.95" customHeight="1" x14ac:dyDescent="0.25">
      <c r="A1352" s="17" t="s">
        <v>15</v>
      </c>
      <c r="B1352" s="18" t="s">
        <v>42</v>
      </c>
      <c r="C1352" s="18">
        <v>0.40026685523495997</v>
      </c>
      <c r="D1352" s="18">
        <v>2008</v>
      </c>
    </row>
    <row r="1353" spans="1:4" ht="19.95" customHeight="1" x14ac:dyDescent="0.25">
      <c r="A1353" s="17" t="s">
        <v>17</v>
      </c>
      <c r="B1353" s="18" t="s">
        <v>42</v>
      </c>
      <c r="C1353" s="18"/>
      <c r="D1353" s="18">
        <v>2008</v>
      </c>
    </row>
    <row r="1354" spans="1:4" ht="19.95" customHeight="1" x14ac:dyDescent="0.25">
      <c r="A1354" s="17" t="s">
        <v>18</v>
      </c>
      <c r="B1354" s="18" t="s">
        <v>42</v>
      </c>
      <c r="C1354" s="18">
        <v>10.7885216814493</v>
      </c>
      <c r="D1354" s="18">
        <v>2008</v>
      </c>
    </row>
    <row r="1355" spans="1:4" ht="19.95" customHeight="1" x14ac:dyDescent="0.25">
      <c r="A1355" s="17" t="s">
        <v>19</v>
      </c>
      <c r="B1355" s="18" t="s">
        <v>42</v>
      </c>
      <c r="C1355" s="18">
        <v>4.1366161530800696</v>
      </c>
      <c r="D1355" s="18">
        <v>2008</v>
      </c>
    </row>
    <row r="1356" spans="1:4" ht="19.95" customHeight="1" x14ac:dyDescent="0.25">
      <c r="A1356" s="17" t="s">
        <v>20</v>
      </c>
      <c r="B1356" s="18" t="s">
        <v>42</v>
      </c>
      <c r="C1356" s="18">
        <v>0.843944329286344</v>
      </c>
      <c r="D1356" s="18">
        <v>2008</v>
      </c>
    </row>
    <row r="1357" spans="1:4" ht="19.95" customHeight="1" x14ac:dyDescent="0.25">
      <c r="A1357" s="17" t="s">
        <v>21</v>
      </c>
      <c r="B1357" s="18" t="s">
        <v>42</v>
      </c>
      <c r="C1357" s="18">
        <v>0.23228274566594101</v>
      </c>
      <c r="D1357" s="18">
        <v>2008</v>
      </c>
    </row>
    <row r="1358" spans="1:4" ht="19.95" customHeight="1" x14ac:dyDescent="0.25">
      <c r="A1358" s="17" t="s">
        <v>22</v>
      </c>
      <c r="B1358" s="18" t="s">
        <v>42</v>
      </c>
      <c r="C1358" s="18">
        <v>2.6448186528497399</v>
      </c>
      <c r="D1358" s="18">
        <v>2008</v>
      </c>
    </row>
    <row r="1359" spans="1:4" ht="19.95" customHeight="1" x14ac:dyDescent="0.25">
      <c r="A1359" s="17" t="s">
        <v>23</v>
      </c>
      <c r="B1359" s="18" t="s">
        <v>42</v>
      </c>
      <c r="C1359" s="18">
        <v>7.1469392850702604</v>
      </c>
      <c r="D1359" s="18">
        <v>2008</v>
      </c>
    </row>
    <row r="1360" spans="1:4" ht="19.95" customHeight="1" x14ac:dyDescent="0.25">
      <c r="A1360" s="17" t="s">
        <v>24</v>
      </c>
      <c r="B1360" s="18" t="s">
        <v>42</v>
      </c>
      <c r="C1360" s="18">
        <v>7.1285135388162102</v>
      </c>
      <c r="D1360" s="18">
        <v>2008</v>
      </c>
    </row>
    <row r="1361" spans="1:4" ht="19.95" customHeight="1" x14ac:dyDescent="0.25">
      <c r="A1361" s="17" t="s">
        <v>25</v>
      </c>
      <c r="B1361" s="18" t="s">
        <v>42</v>
      </c>
      <c r="C1361" s="18">
        <v>7.6397367741039197</v>
      </c>
      <c r="D1361" s="18">
        <v>2008</v>
      </c>
    </row>
    <row r="1362" spans="1:4" ht="19.95" customHeight="1" x14ac:dyDescent="0.25">
      <c r="A1362" s="17" t="s">
        <v>26</v>
      </c>
      <c r="B1362" s="18" t="s">
        <v>42</v>
      </c>
      <c r="C1362" s="18">
        <v>4.7733827267623896</v>
      </c>
      <c r="D1362" s="18">
        <v>2008</v>
      </c>
    </row>
    <row r="1363" spans="1:4" ht="19.95" customHeight="1" x14ac:dyDescent="0.25">
      <c r="A1363" s="17" t="s">
        <v>27</v>
      </c>
      <c r="B1363" s="18" t="s">
        <v>42</v>
      </c>
      <c r="C1363" s="18">
        <v>7.800000100239</v>
      </c>
      <c r="D1363" s="18">
        <v>2008</v>
      </c>
    </row>
    <row r="1364" spans="1:4" ht="19.95" customHeight="1" x14ac:dyDescent="0.25">
      <c r="A1364" s="17" t="s">
        <v>28</v>
      </c>
      <c r="B1364" s="18" t="s">
        <v>42</v>
      </c>
      <c r="C1364" s="18">
        <v>6.8762054468780303</v>
      </c>
      <c r="D1364" s="18">
        <v>2008</v>
      </c>
    </row>
    <row r="1365" spans="1:4" ht="19.95" customHeight="1" x14ac:dyDescent="0.25">
      <c r="A1365" s="17" t="s">
        <v>29</v>
      </c>
      <c r="B1365" s="18" t="s">
        <v>42</v>
      </c>
      <c r="C1365" s="18">
        <v>10.255305393015499</v>
      </c>
      <c r="D1365" s="18">
        <v>2008</v>
      </c>
    </row>
    <row r="1366" spans="1:4" ht="19.95" customHeight="1" x14ac:dyDescent="0.25">
      <c r="A1366" s="17" t="s">
        <v>31</v>
      </c>
      <c r="B1366" s="18" t="s">
        <v>42</v>
      </c>
      <c r="C1366" s="18">
        <v>6.1046391423169002</v>
      </c>
      <c r="D1366" s="18">
        <v>2008</v>
      </c>
    </row>
    <row r="1367" spans="1:4" ht="19.95" customHeight="1" x14ac:dyDescent="0.25">
      <c r="A1367" s="17" t="s">
        <v>32</v>
      </c>
      <c r="B1367" s="18" t="s">
        <v>42</v>
      </c>
      <c r="C1367" s="18">
        <v>3.4357169360807802</v>
      </c>
      <c r="D1367" s="18">
        <v>2008</v>
      </c>
    </row>
    <row r="1368" spans="1:4" ht="19.95" customHeight="1" x14ac:dyDescent="0.25">
      <c r="A1368" s="17" t="s">
        <v>33</v>
      </c>
      <c r="B1368" s="18" t="s">
        <v>42</v>
      </c>
      <c r="C1368" s="18">
        <v>9.5876732094864998</v>
      </c>
      <c r="D1368" s="18">
        <v>2008</v>
      </c>
    </row>
    <row r="1369" spans="1:4" ht="19.95" customHeight="1" x14ac:dyDescent="0.25">
      <c r="A1369" s="17" t="s">
        <v>34</v>
      </c>
      <c r="B1369" s="18" t="s">
        <v>42</v>
      </c>
      <c r="C1369" s="18">
        <v>11.1612446148125</v>
      </c>
      <c r="D1369" s="18">
        <v>2008</v>
      </c>
    </row>
    <row r="1370" spans="1:4" ht="19.95" customHeight="1" x14ac:dyDescent="0.25">
      <c r="A1370" s="17" t="s">
        <v>35</v>
      </c>
      <c r="B1370" s="18" t="s">
        <v>42</v>
      </c>
      <c r="C1370" s="18">
        <v>8.1861718189639596</v>
      </c>
      <c r="D1370" s="18">
        <v>2008</v>
      </c>
    </row>
    <row r="1371" spans="1:4" ht="19.95" customHeight="1" x14ac:dyDescent="0.25">
      <c r="A1371" s="17" t="s">
        <v>2</v>
      </c>
      <c r="B1371" s="18" t="s">
        <v>42</v>
      </c>
      <c r="C1371" s="18">
        <v>5.9500881450785004</v>
      </c>
      <c r="D1371" s="18">
        <v>2008</v>
      </c>
    </row>
    <row r="1372" spans="1:4" ht="19.95" customHeight="1" x14ac:dyDescent="0.25">
      <c r="A1372" s="17" t="s">
        <v>36</v>
      </c>
      <c r="B1372" s="18" t="s">
        <v>42</v>
      </c>
      <c r="C1372" s="18">
        <v>7.8999978311158099</v>
      </c>
      <c r="D1372" s="18">
        <v>2008</v>
      </c>
    </row>
    <row r="1373" spans="1:4" ht="19.95" customHeight="1" x14ac:dyDescent="0.25">
      <c r="A1373" s="17" t="s">
        <v>37</v>
      </c>
      <c r="B1373" s="18" t="s">
        <v>42</v>
      </c>
      <c r="C1373" s="18">
        <v>5.5665956483045296</v>
      </c>
      <c r="D1373" s="18">
        <v>2008</v>
      </c>
    </row>
    <row r="1374" spans="1:4" ht="19.95" customHeight="1" x14ac:dyDescent="0.25">
      <c r="A1374" s="17" t="s">
        <v>38</v>
      </c>
      <c r="B1374" s="18" t="s">
        <v>42</v>
      </c>
      <c r="C1374" s="18">
        <v>8.7087519014194008</v>
      </c>
      <c r="D1374" s="18">
        <v>2008</v>
      </c>
    </row>
    <row r="1375" spans="1:4" ht="19.95" customHeight="1" x14ac:dyDescent="0.25">
      <c r="A1375" s="17" t="s">
        <v>39</v>
      </c>
      <c r="B1375" s="18" t="s">
        <v>42</v>
      </c>
      <c r="C1375" s="18">
        <v>7.7738958154236002</v>
      </c>
      <c r="D1375" s="18">
        <v>2008</v>
      </c>
    </row>
    <row r="1376" spans="1:4" ht="19.95" customHeight="1" x14ac:dyDescent="0.25">
      <c r="A1376" s="17" t="s">
        <v>40</v>
      </c>
      <c r="B1376" s="18" t="s">
        <v>42</v>
      </c>
      <c r="C1376" s="18">
        <v>-17.668946597618699</v>
      </c>
      <c r="D1376" s="18">
        <v>2008</v>
      </c>
    </row>
    <row r="1377" spans="1:4" ht="19.95" customHeight="1" x14ac:dyDescent="0.25">
      <c r="A1377" s="17" t="s">
        <v>10</v>
      </c>
      <c r="B1377" s="18" t="s">
        <v>42</v>
      </c>
      <c r="C1377" s="18">
        <v>3.4684254250000102</v>
      </c>
      <c r="D1377" s="18">
        <v>2009</v>
      </c>
    </row>
    <row r="1378" spans="1:4" ht="19.95" customHeight="1" x14ac:dyDescent="0.25">
      <c r="A1378" s="17" t="s">
        <v>13</v>
      </c>
      <c r="B1378" s="18" t="s">
        <v>42</v>
      </c>
      <c r="C1378" s="18">
        <v>2.1986641019343298</v>
      </c>
      <c r="D1378" s="18">
        <v>2009</v>
      </c>
    </row>
    <row r="1379" spans="1:4" ht="19.95" customHeight="1" x14ac:dyDescent="0.25">
      <c r="A1379" s="17" t="s">
        <v>16</v>
      </c>
      <c r="B1379" s="18" t="s">
        <v>42</v>
      </c>
      <c r="C1379" s="18">
        <v>4.2176955518963304</v>
      </c>
      <c r="D1379" s="18">
        <v>2009</v>
      </c>
    </row>
    <row r="1380" spans="1:4" ht="19.95" customHeight="1" x14ac:dyDescent="0.25">
      <c r="A1380" s="17" t="s">
        <v>15</v>
      </c>
      <c r="B1380" s="18" t="s">
        <v>42</v>
      </c>
      <c r="C1380" s="18">
        <v>1.9499999778070201</v>
      </c>
      <c r="D1380" s="18">
        <v>2009</v>
      </c>
    </row>
    <row r="1381" spans="1:4" ht="19.95" customHeight="1" x14ac:dyDescent="0.25">
      <c r="A1381" s="17" t="s">
        <v>17</v>
      </c>
      <c r="B1381" s="18" t="s">
        <v>42</v>
      </c>
      <c r="C1381" s="18"/>
      <c r="D1381" s="18">
        <v>2009</v>
      </c>
    </row>
    <row r="1382" spans="1:4" ht="19.95" customHeight="1" x14ac:dyDescent="0.25">
      <c r="A1382" s="17" t="s">
        <v>18</v>
      </c>
      <c r="B1382" s="18" t="s">
        <v>42</v>
      </c>
      <c r="C1382" s="18">
        <v>8.8025532023887401</v>
      </c>
      <c r="D1382" s="18">
        <v>2009</v>
      </c>
    </row>
    <row r="1383" spans="1:4" ht="19.95" customHeight="1" x14ac:dyDescent="0.25">
      <c r="A1383" s="17" t="s">
        <v>19</v>
      </c>
      <c r="B1383" s="18" t="s">
        <v>42</v>
      </c>
      <c r="C1383" s="18">
        <v>-1.1176385946021801</v>
      </c>
      <c r="D1383" s="18">
        <v>2009</v>
      </c>
    </row>
    <row r="1384" spans="1:4" ht="19.95" customHeight="1" x14ac:dyDescent="0.25">
      <c r="A1384" s="17" t="s">
        <v>20</v>
      </c>
      <c r="B1384" s="18" t="s">
        <v>42</v>
      </c>
      <c r="C1384" s="18">
        <v>3.0832476875642199</v>
      </c>
      <c r="D1384" s="18">
        <v>2009</v>
      </c>
    </row>
    <row r="1385" spans="1:4" ht="19.95" customHeight="1" x14ac:dyDescent="0.25">
      <c r="A1385" s="17" t="s">
        <v>21</v>
      </c>
      <c r="B1385" s="18" t="s">
        <v>42</v>
      </c>
      <c r="C1385" s="18">
        <v>3.30693981534758</v>
      </c>
      <c r="D1385" s="18">
        <v>2009</v>
      </c>
    </row>
    <row r="1386" spans="1:4" ht="19.95" customHeight="1" x14ac:dyDescent="0.25">
      <c r="A1386" s="17" t="s">
        <v>22</v>
      </c>
      <c r="B1386" s="18" t="s">
        <v>42</v>
      </c>
      <c r="C1386" s="18">
        <v>3.34166553304867</v>
      </c>
      <c r="D1386" s="18">
        <v>2009</v>
      </c>
    </row>
    <row r="1387" spans="1:4" ht="19.95" customHeight="1" x14ac:dyDescent="0.25">
      <c r="A1387" s="17" t="s">
        <v>23</v>
      </c>
      <c r="B1387" s="18" t="s">
        <v>42</v>
      </c>
      <c r="C1387" s="18">
        <v>5.30009907470476</v>
      </c>
      <c r="D1387" s="18">
        <v>2009</v>
      </c>
    </row>
    <row r="1388" spans="1:4" ht="19.95" customHeight="1" x14ac:dyDescent="0.25">
      <c r="A1388" s="17" t="s">
        <v>24</v>
      </c>
      <c r="B1388" s="18" t="s">
        <v>42</v>
      </c>
      <c r="C1388" s="18">
        <v>-4.0138605828051199</v>
      </c>
      <c r="D1388" s="18">
        <v>2009</v>
      </c>
    </row>
    <row r="1389" spans="1:4" ht="19.95" customHeight="1" x14ac:dyDescent="0.25">
      <c r="A1389" s="17" t="s">
        <v>25</v>
      </c>
      <c r="B1389" s="18" t="s">
        <v>42</v>
      </c>
      <c r="C1389" s="18">
        <v>8.3281102762457504</v>
      </c>
      <c r="D1389" s="18">
        <v>2009</v>
      </c>
    </row>
    <row r="1390" spans="1:4" ht="19.95" customHeight="1" x14ac:dyDescent="0.25">
      <c r="A1390" s="17" t="s">
        <v>26</v>
      </c>
      <c r="B1390" s="18" t="s">
        <v>42</v>
      </c>
      <c r="C1390" s="18">
        <v>4.6790656995892004</v>
      </c>
      <c r="D1390" s="18">
        <v>2009</v>
      </c>
    </row>
    <row r="1391" spans="1:4" ht="19.95" customHeight="1" x14ac:dyDescent="0.25">
      <c r="A1391" s="17" t="s">
        <v>27</v>
      </c>
      <c r="B1391" s="18" t="s">
        <v>42</v>
      </c>
      <c r="C1391" s="18">
        <v>-6.00000025914159</v>
      </c>
      <c r="D1391" s="18">
        <v>2009</v>
      </c>
    </row>
    <row r="1392" spans="1:4" ht="19.95" customHeight="1" x14ac:dyDescent="0.25">
      <c r="A1392" s="17" t="s">
        <v>28</v>
      </c>
      <c r="B1392" s="18" t="s">
        <v>42</v>
      </c>
      <c r="C1392" s="18">
        <v>6.35197029435533</v>
      </c>
      <c r="D1392" s="18">
        <v>2009</v>
      </c>
    </row>
    <row r="1393" spans="1:4" ht="19.95" customHeight="1" x14ac:dyDescent="0.25">
      <c r="A1393" s="17" t="s">
        <v>29</v>
      </c>
      <c r="B1393" s="18" t="s">
        <v>42</v>
      </c>
      <c r="C1393" s="18">
        <v>10.550009096178499</v>
      </c>
      <c r="D1393" s="18">
        <v>2009</v>
      </c>
    </row>
    <row r="1394" spans="1:4" ht="19.95" customHeight="1" x14ac:dyDescent="0.25">
      <c r="A1394" s="17" t="s">
        <v>31</v>
      </c>
      <c r="B1394" s="18" t="s">
        <v>42</v>
      </c>
      <c r="C1394" s="18">
        <v>4.5330787203928402</v>
      </c>
      <c r="D1394" s="18">
        <v>2009</v>
      </c>
    </row>
    <row r="1395" spans="1:4" ht="19.95" customHeight="1" x14ac:dyDescent="0.25">
      <c r="A1395" s="17" t="s">
        <v>32</v>
      </c>
      <c r="B1395" s="18" t="s">
        <v>42</v>
      </c>
      <c r="C1395" s="18">
        <v>-3.2926651586197</v>
      </c>
      <c r="D1395" s="18">
        <v>2009</v>
      </c>
    </row>
    <row r="1396" spans="1:4" ht="19.95" customHeight="1" x14ac:dyDescent="0.25">
      <c r="A1396" s="17" t="s">
        <v>33</v>
      </c>
      <c r="B1396" s="18" t="s">
        <v>42</v>
      </c>
      <c r="C1396" s="18">
        <v>-0.71267117377095701</v>
      </c>
      <c r="D1396" s="18">
        <v>2009</v>
      </c>
    </row>
    <row r="1397" spans="1:4" ht="19.95" customHeight="1" x14ac:dyDescent="0.25">
      <c r="A1397" s="17" t="s">
        <v>34</v>
      </c>
      <c r="B1397" s="18" t="s">
        <v>42</v>
      </c>
      <c r="C1397" s="18">
        <v>6.2482625635957003</v>
      </c>
      <c r="D1397" s="18">
        <v>2009</v>
      </c>
    </row>
    <row r="1398" spans="1:4" ht="19.95" customHeight="1" x14ac:dyDescent="0.25">
      <c r="A1398" s="17" t="s">
        <v>35</v>
      </c>
      <c r="B1398" s="18" t="s">
        <v>42</v>
      </c>
      <c r="C1398" s="18">
        <v>2.42628134399851</v>
      </c>
      <c r="D1398" s="18">
        <v>2009</v>
      </c>
    </row>
    <row r="1399" spans="1:4" ht="19.95" customHeight="1" x14ac:dyDescent="0.25">
      <c r="A1399" s="17" t="s">
        <v>2</v>
      </c>
      <c r="B1399" s="18" t="s">
        <v>42</v>
      </c>
      <c r="C1399" s="18">
        <v>3.5389120529913201</v>
      </c>
      <c r="D1399" s="18">
        <v>2009</v>
      </c>
    </row>
    <row r="1400" spans="1:4" ht="19.95" customHeight="1" x14ac:dyDescent="0.25">
      <c r="A1400" s="17" t="s">
        <v>36</v>
      </c>
      <c r="B1400" s="18" t="s">
        <v>42</v>
      </c>
      <c r="C1400" s="18">
        <v>3.8000009923572802</v>
      </c>
      <c r="D1400" s="18">
        <v>2009</v>
      </c>
    </row>
    <row r="1401" spans="1:4" ht="19.95" customHeight="1" x14ac:dyDescent="0.25">
      <c r="A1401" s="17" t="s">
        <v>37</v>
      </c>
      <c r="B1401" s="18" t="s">
        <v>42</v>
      </c>
      <c r="C1401" s="18">
        <v>5.38234616843563</v>
      </c>
      <c r="D1401" s="18">
        <v>2009</v>
      </c>
    </row>
    <row r="1402" spans="1:4" ht="19.95" customHeight="1" x14ac:dyDescent="0.25">
      <c r="A1402" s="17" t="s">
        <v>38</v>
      </c>
      <c r="B1402" s="18" t="s">
        <v>42</v>
      </c>
      <c r="C1402" s="18">
        <v>6.80151734801436</v>
      </c>
      <c r="D1402" s="18">
        <v>2009</v>
      </c>
    </row>
    <row r="1403" spans="1:4" ht="19.95" customHeight="1" x14ac:dyDescent="0.25">
      <c r="A1403" s="17" t="s">
        <v>39</v>
      </c>
      <c r="B1403" s="18" t="s">
        <v>42</v>
      </c>
      <c r="C1403" s="18">
        <v>9.2203484058663001</v>
      </c>
      <c r="D1403" s="18">
        <v>2009</v>
      </c>
    </row>
    <row r="1404" spans="1:4" ht="19.95" customHeight="1" x14ac:dyDescent="0.25">
      <c r="A1404" s="17" t="s">
        <v>40</v>
      </c>
      <c r="B1404" s="18" t="s">
        <v>42</v>
      </c>
      <c r="C1404" s="18">
        <v>12.0195605024805</v>
      </c>
      <c r="D1404" s="18">
        <v>2009</v>
      </c>
    </row>
    <row r="1405" spans="1:4" ht="19.95" customHeight="1" x14ac:dyDescent="0.25">
      <c r="A1405" s="17" t="s">
        <v>10</v>
      </c>
      <c r="B1405" s="18" t="s">
        <v>42</v>
      </c>
      <c r="C1405" s="18">
        <v>3.7859025431217201</v>
      </c>
      <c r="D1405" s="18">
        <v>2010</v>
      </c>
    </row>
    <row r="1406" spans="1:4" ht="19.95" customHeight="1" x14ac:dyDescent="0.25">
      <c r="A1406" s="17" t="s">
        <v>13</v>
      </c>
      <c r="B1406" s="18" t="s">
        <v>42</v>
      </c>
      <c r="C1406" s="18">
        <v>3.4225076411544002</v>
      </c>
      <c r="D1406" s="18">
        <v>2010</v>
      </c>
    </row>
    <row r="1407" spans="1:4" ht="19.95" customHeight="1" x14ac:dyDescent="0.25">
      <c r="A1407" s="17" t="s">
        <v>16</v>
      </c>
      <c r="B1407" s="18" t="s">
        <v>42</v>
      </c>
      <c r="C1407" s="18">
        <v>13.550100859549</v>
      </c>
      <c r="D1407" s="18">
        <v>2010</v>
      </c>
    </row>
    <row r="1408" spans="1:4" ht="19.95" customHeight="1" x14ac:dyDescent="0.25">
      <c r="A1408" s="17" t="s">
        <v>15</v>
      </c>
      <c r="B1408" s="18" t="s">
        <v>42</v>
      </c>
      <c r="C1408" s="18">
        <v>2.1999999817327298</v>
      </c>
      <c r="D1408" s="18">
        <v>2010</v>
      </c>
    </row>
    <row r="1409" spans="1:4" ht="19.95" customHeight="1" x14ac:dyDescent="0.25">
      <c r="A1409" s="17" t="s">
        <v>17</v>
      </c>
      <c r="B1409" s="18" t="s">
        <v>42</v>
      </c>
      <c r="C1409" s="18"/>
      <c r="D1409" s="18">
        <v>2010</v>
      </c>
    </row>
    <row r="1410" spans="1:4" ht="19.95" customHeight="1" x14ac:dyDescent="0.25">
      <c r="A1410" s="17" t="s">
        <v>18</v>
      </c>
      <c r="B1410" s="18" t="s">
        <v>42</v>
      </c>
      <c r="C1410" s="18">
        <v>12.5505383420508</v>
      </c>
      <c r="D1410" s="18">
        <v>2010</v>
      </c>
    </row>
    <row r="1411" spans="1:4" ht="19.95" customHeight="1" x14ac:dyDescent="0.25">
      <c r="A1411" s="17" t="s">
        <v>19</v>
      </c>
      <c r="B1411" s="18" t="s">
        <v>42</v>
      </c>
      <c r="C1411" s="18">
        <v>4.82071541392241</v>
      </c>
      <c r="D1411" s="18">
        <v>2010</v>
      </c>
    </row>
    <row r="1412" spans="1:4" ht="19.95" customHeight="1" x14ac:dyDescent="0.25">
      <c r="A1412" s="17" t="s">
        <v>20</v>
      </c>
      <c r="B1412" s="18" t="s">
        <v>42</v>
      </c>
      <c r="C1412" s="18">
        <v>-5.4977923372738902</v>
      </c>
      <c r="D1412" s="18">
        <v>2010</v>
      </c>
    </row>
    <row r="1413" spans="1:4" ht="19.95" customHeight="1" x14ac:dyDescent="0.25">
      <c r="A1413" s="17" t="s">
        <v>21</v>
      </c>
      <c r="B1413" s="18" t="s">
        <v>42</v>
      </c>
      <c r="C1413" s="18">
        <v>8.4056992242171908</v>
      </c>
      <c r="D1413" s="18">
        <v>2010</v>
      </c>
    </row>
    <row r="1414" spans="1:4" ht="19.95" customHeight="1" x14ac:dyDescent="0.25">
      <c r="A1414" s="17" t="s">
        <v>22</v>
      </c>
      <c r="B1414" s="18" t="s">
        <v>42</v>
      </c>
      <c r="C1414" s="18">
        <v>3.3095748392563298</v>
      </c>
      <c r="D1414" s="18">
        <v>2010</v>
      </c>
    </row>
    <row r="1415" spans="1:4" ht="19.95" customHeight="1" x14ac:dyDescent="0.25">
      <c r="A1415" s="17" t="s">
        <v>23</v>
      </c>
      <c r="B1415" s="18" t="s">
        <v>42</v>
      </c>
      <c r="C1415" s="18">
        <v>6.0999446923734704</v>
      </c>
      <c r="D1415" s="18">
        <v>2010</v>
      </c>
    </row>
    <row r="1416" spans="1:4" ht="19.95" customHeight="1" x14ac:dyDescent="0.25">
      <c r="A1416" s="17" t="s">
        <v>24</v>
      </c>
      <c r="B1416" s="18" t="s">
        <v>42</v>
      </c>
      <c r="C1416" s="18">
        <v>0.26311085570331699</v>
      </c>
      <c r="D1416" s="18">
        <v>2010</v>
      </c>
    </row>
    <row r="1417" spans="1:4" ht="19.95" customHeight="1" x14ac:dyDescent="0.25">
      <c r="A1417" s="17" t="s">
        <v>25</v>
      </c>
      <c r="B1417" s="18" t="s">
        <v>42</v>
      </c>
      <c r="C1417" s="18">
        <v>6.8740656350095399</v>
      </c>
      <c r="D1417" s="18">
        <v>2010</v>
      </c>
    </row>
    <row r="1418" spans="1:4" ht="19.95" customHeight="1" x14ac:dyDescent="0.25">
      <c r="A1418" s="17" t="s">
        <v>26</v>
      </c>
      <c r="B1418" s="18" t="s">
        <v>42</v>
      </c>
      <c r="C1418" s="18">
        <v>5.4134522222476598</v>
      </c>
      <c r="D1418" s="18">
        <v>2010</v>
      </c>
    </row>
    <row r="1419" spans="1:4" ht="19.95" customHeight="1" x14ac:dyDescent="0.25">
      <c r="A1419" s="17" t="s">
        <v>27</v>
      </c>
      <c r="B1419" s="18" t="s">
        <v>42</v>
      </c>
      <c r="C1419" s="18">
        <v>7.1000000924347697</v>
      </c>
      <c r="D1419" s="18">
        <v>2010</v>
      </c>
    </row>
    <row r="1420" spans="1:4" ht="19.95" customHeight="1" x14ac:dyDescent="0.25">
      <c r="A1420" s="17" t="s">
        <v>28</v>
      </c>
      <c r="B1420" s="18" t="s">
        <v>42</v>
      </c>
      <c r="C1420" s="18">
        <v>6.6872216323158504</v>
      </c>
      <c r="D1420" s="18">
        <v>2010</v>
      </c>
    </row>
    <row r="1421" spans="1:4" ht="19.95" customHeight="1" x14ac:dyDescent="0.25">
      <c r="A1421" s="17" t="s">
        <v>29</v>
      </c>
      <c r="B1421" s="18" t="s">
        <v>42</v>
      </c>
      <c r="C1421" s="18">
        <v>9.6344394521446599</v>
      </c>
      <c r="D1421" s="18">
        <v>2010</v>
      </c>
    </row>
    <row r="1422" spans="1:4" ht="19.95" customHeight="1" x14ac:dyDescent="0.25">
      <c r="A1422" s="17" t="s">
        <v>31</v>
      </c>
      <c r="B1422" s="18" t="s">
        <v>42</v>
      </c>
      <c r="C1422" s="18">
        <v>4.8164146502244396</v>
      </c>
      <c r="D1422" s="18">
        <v>2010</v>
      </c>
    </row>
    <row r="1423" spans="1:4" ht="19.95" customHeight="1" x14ac:dyDescent="0.25">
      <c r="A1423" s="17" t="s">
        <v>32</v>
      </c>
      <c r="B1423" s="18" t="s">
        <v>42</v>
      </c>
      <c r="C1423" s="18">
        <v>4.4100991171654602</v>
      </c>
      <c r="D1423" s="18">
        <v>2010</v>
      </c>
    </row>
    <row r="1424" spans="1:4" ht="19.95" customHeight="1" x14ac:dyDescent="0.25">
      <c r="A1424" s="17" t="s">
        <v>33</v>
      </c>
      <c r="B1424" s="18" t="s">
        <v>42</v>
      </c>
      <c r="C1424" s="18">
        <v>8.3692397984907796</v>
      </c>
      <c r="D1424" s="18">
        <v>2010</v>
      </c>
    </row>
    <row r="1425" spans="1:4" ht="19.95" customHeight="1" x14ac:dyDescent="0.25">
      <c r="A1425" s="17" t="s">
        <v>34</v>
      </c>
      <c r="B1425" s="18" t="s">
        <v>42</v>
      </c>
      <c r="C1425" s="18">
        <v>7.3346387734400498</v>
      </c>
      <c r="D1425" s="18">
        <v>2010</v>
      </c>
    </row>
    <row r="1426" spans="1:4" ht="19.95" customHeight="1" x14ac:dyDescent="0.25">
      <c r="A1426" s="17" t="s">
        <v>35</v>
      </c>
      <c r="B1426" s="18" t="s">
        <v>42</v>
      </c>
      <c r="C1426" s="18">
        <v>6.6719853199217498</v>
      </c>
      <c r="D1426" s="18">
        <v>2010</v>
      </c>
    </row>
    <row r="1427" spans="1:4" ht="19.95" customHeight="1" x14ac:dyDescent="0.25">
      <c r="A1427" s="17" t="s">
        <v>2</v>
      </c>
      <c r="B1427" s="18" t="s">
        <v>42</v>
      </c>
      <c r="C1427" s="18">
        <v>8.0159594065227502</v>
      </c>
      <c r="D1427" s="18">
        <v>2010</v>
      </c>
    </row>
    <row r="1428" spans="1:4" ht="19.95" customHeight="1" x14ac:dyDescent="0.25">
      <c r="A1428" s="17" t="s">
        <v>36</v>
      </c>
      <c r="B1428" s="18" t="s">
        <v>42</v>
      </c>
      <c r="C1428" s="18">
        <v>6.5000003530785797</v>
      </c>
      <c r="D1428" s="18">
        <v>2010</v>
      </c>
    </row>
    <row r="1429" spans="1:4" ht="19.95" customHeight="1" x14ac:dyDescent="0.25">
      <c r="A1429" s="17" t="s">
        <v>37</v>
      </c>
      <c r="B1429" s="18" t="s">
        <v>42</v>
      </c>
      <c r="C1429" s="18">
        <v>6.3588860812991799</v>
      </c>
      <c r="D1429" s="18">
        <v>2010</v>
      </c>
    </row>
    <row r="1430" spans="1:4" ht="19.95" customHeight="1" x14ac:dyDescent="0.25">
      <c r="A1430" s="17" t="s">
        <v>38</v>
      </c>
      <c r="B1430" s="18" t="s">
        <v>42</v>
      </c>
      <c r="C1430" s="18">
        <v>5.6375998025085501</v>
      </c>
      <c r="D1430" s="18">
        <v>2010</v>
      </c>
    </row>
    <row r="1431" spans="1:4" ht="19.95" customHeight="1" x14ac:dyDescent="0.25">
      <c r="A1431" s="17" t="s">
        <v>39</v>
      </c>
      <c r="B1431" s="18" t="s">
        <v>42</v>
      </c>
      <c r="C1431" s="18">
        <v>10.2982058517493</v>
      </c>
      <c r="D1431" s="18">
        <v>2010</v>
      </c>
    </row>
    <row r="1432" spans="1:4" ht="19.95" customHeight="1" x14ac:dyDescent="0.25">
      <c r="A1432" s="17" t="s">
        <v>40</v>
      </c>
      <c r="B1432" s="18" t="s">
        <v>42</v>
      </c>
      <c r="C1432" s="18">
        <v>12.5810269716888</v>
      </c>
      <c r="D1432" s="18">
        <v>2010</v>
      </c>
    </row>
    <row r="1433" spans="1:4" ht="19.95" customHeight="1" x14ac:dyDescent="0.25">
      <c r="A1433" s="17" t="s">
        <v>10</v>
      </c>
      <c r="B1433" s="18" t="s">
        <v>42</v>
      </c>
      <c r="C1433" s="18">
        <v>4.1916256809539902</v>
      </c>
      <c r="D1433" s="18">
        <v>2011</v>
      </c>
    </row>
    <row r="1434" spans="1:4" ht="19.95" customHeight="1" x14ac:dyDescent="0.25">
      <c r="A1434" s="17" t="s">
        <v>13</v>
      </c>
      <c r="B1434" s="18" t="s">
        <v>42</v>
      </c>
      <c r="C1434" s="18">
        <v>4.1292771605696696</v>
      </c>
      <c r="D1434" s="18">
        <v>2011</v>
      </c>
    </row>
    <row r="1435" spans="1:4" ht="19.95" customHeight="1" x14ac:dyDescent="0.25">
      <c r="A1435" s="17" t="s">
        <v>16</v>
      </c>
      <c r="B1435" s="18" t="s">
        <v>42</v>
      </c>
      <c r="C1435" s="18">
        <v>8.2869798438167705E-2</v>
      </c>
      <c r="D1435" s="18">
        <v>2011</v>
      </c>
    </row>
    <row r="1436" spans="1:4" ht="19.95" customHeight="1" x14ac:dyDescent="0.25">
      <c r="A1436" s="17" t="s">
        <v>15</v>
      </c>
      <c r="B1436" s="18" t="s">
        <v>42</v>
      </c>
      <c r="C1436" s="18">
        <v>2.6000000881785801</v>
      </c>
      <c r="D1436" s="18">
        <v>2011</v>
      </c>
    </row>
    <row r="1437" spans="1:4" ht="19.95" customHeight="1" x14ac:dyDescent="0.25">
      <c r="A1437" s="17" t="s">
        <v>17</v>
      </c>
      <c r="B1437" s="18" t="s">
        <v>42</v>
      </c>
      <c r="C1437" s="18"/>
      <c r="D1437" s="18">
        <v>2011</v>
      </c>
    </row>
    <row r="1438" spans="1:4" ht="19.95" customHeight="1" x14ac:dyDescent="0.25">
      <c r="A1438" s="17" t="s">
        <v>18</v>
      </c>
      <c r="B1438" s="18" t="s">
        <v>42</v>
      </c>
      <c r="C1438" s="18">
        <v>11.1782962356071</v>
      </c>
      <c r="D1438" s="18">
        <v>2011</v>
      </c>
    </row>
    <row r="1439" spans="1:4" ht="19.95" customHeight="1" x14ac:dyDescent="0.25">
      <c r="A1439" s="17" t="s">
        <v>19</v>
      </c>
      <c r="B1439" s="18" t="s">
        <v>42</v>
      </c>
      <c r="C1439" s="18">
        <v>5.6121042791249502</v>
      </c>
      <c r="D1439" s="18">
        <v>2011</v>
      </c>
    </row>
    <row r="1440" spans="1:4" ht="19.95" customHeight="1" x14ac:dyDescent="0.25">
      <c r="A1440" s="17" t="s">
        <v>20</v>
      </c>
      <c r="B1440" s="18" t="s">
        <v>42</v>
      </c>
      <c r="C1440" s="18">
        <v>5.5237377543330801</v>
      </c>
      <c r="D1440" s="18">
        <v>2011</v>
      </c>
    </row>
    <row r="1441" spans="1:4" ht="19.95" customHeight="1" x14ac:dyDescent="0.25">
      <c r="A1441" s="17" t="s">
        <v>21</v>
      </c>
      <c r="B1441" s="18" t="s">
        <v>42</v>
      </c>
      <c r="C1441" s="18">
        <v>6.1082637197964997</v>
      </c>
      <c r="D1441" s="18">
        <v>2011</v>
      </c>
    </row>
    <row r="1442" spans="1:4" ht="19.95" customHeight="1" x14ac:dyDescent="0.25">
      <c r="A1442" s="17" t="s">
        <v>22</v>
      </c>
      <c r="B1442" s="18" t="s">
        <v>42</v>
      </c>
      <c r="C1442" s="18">
        <v>4.8125633232016298</v>
      </c>
      <c r="D1442" s="18">
        <v>2011</v>
      </c>
    </row>
    <row r="1443" spans="1:4" ht="19.95" customHeight="1" x14ac:dyDescent="0.25">
      <c r="A1443" s="17" t="s">
        <v>23</v>
      </c>
      <c r="B1443" s="18" t="s">
        <v>42</v>
      </c>
      <c r="C1443" s="18">
        <v>8.1999981459765792</v>
      </c>
      <c r="D1443" s="18">
        <v>2011</v>
      </c>
    </row>
    <row r="1444" spans="1:4" ht="19.95" customHeight="1" x14ac:dyDescent="0.25">
      <c r="A1444" s="17" t="s">
        <v>24</v>
      </c>
      <c r="B1444" s="18" t="s">
        <v>42</v>
      </c>
      <c r="C1444" s="18">
        <v>1.45439216770913</v>
      </c>
      <c r="D1444" s="18">
        <v>2011</v>
      </c>
    </row>
    <row r="1445" spans="1:4" ht="19.95" customHeight="1" x14ac:dyDescent="0.25">
      <c r="A1445" s="17" t="s">
        <v>25</v>
      </c>
      <c r="B1445" s="18" t="s">
        <v>42</v>
      </c>
      <c r="C1445" s="18">
        <v>4.8540551089832196</v>
      </c>
      <c r="D1445" s="18">
        <v>2011</v>
      </c>
    </row>
    <row r="1446" spans="1:4" ht="19.95" customHeight="1" x14ac:dyDescent="0.25">
      <c r="A1446" s="17" t="s">
        <v>26</v>
      </c>
      <c r="B1446" s="18" t="s">
        <v>42</v>
      </c>
      <c r="C1446" s="18">
        <v>3.2402529131995101</v>
      </c>
      <c r="D1446" s="18">
        <v>2011</v>
      </c>
    </row>
    <row r="1447" spans="1:4" ht="19.95" customHeight="1" x14ac:dyDescent="0.25">
      <c r="A1447" s="17" t="s">
        <v>27</v>
      </c>
      <c r="B1447" s="18" t="s">
        <v>42</v>
      </c>
      <c r="C1447" s="18">
        <v>6.8000002876897803</v>
      </c>
      <c r="D1447" s="18">
        <v>2011</v>
      </c>
    </row>
    <row r="1448" spans="1:4" ht="19.95" customHeight="1" x14ac:dyDescent="0.25">
      <c r="A1448" s="17" t="s">
        <v>28</v>
      </c>
      <c r="B1448" s="18" t="s">
        <v>42</v>
      </c>
      <c r="C1448" s="18">
        <v>7.11760663190503</v>
      </c>
      <c r="D1448" s="18">
        <v>2011</v>
      </c>
    </row>
    <row r="1449" spans="1:4" ht="19.95" customHeight="1" x14ac:dyDescent="0.25">
      <c r="A1449" s="17" t="s">
        <v>29</v>
      </c>
      <c r="B1449" s="18" t="s">
        <v>42</v>
      </c>
      <c r="C1449" s="18">
        <v>5.5914823781961003</v>
      </c>
      <c r="D1449" s="18">
        <v>2011</v>
      </c>
    </row>
    <row r="1450" spans="1:4" ht="19.95" customHeight="1" x14ac:dyDescent="0.25">
      <c r="A1450" s="17" t="s">
        <v>31</v>
      </c>
      <c r="B1450" s="18" t="s">
        <v>42</v>
      </c>
      <c r="C1450" s="18">
        <v>3.4218282408747198</v>
      </c>
      <c r="D1450" s="18">
        <v>2011</v>
      </c>
    </row>
    <row r="1451" spans="1:4" ht="19.95" customHeight="1" x14ac:dyDescent="0.25">
      <c r="A1451" s="17" t="s">
        <v>32</v>
      </c>
      <c r="B1451" s="18" t="s">
        <v>42</v>
      </c>
      <c r="C1451" s="18">
        <v>6.3166855349184203</v>
      </c>
      <c r="D1451" s="18">
        <v>2011</v>
      </c>
    </row>
    <row r="1452" spans="1:4" ht="19.95" customHeight="1" x14ac:dyDescent="0.25">
      <c r="A1452" s="17" t="s">
        <v>33</v>
      </c>
      <c r="B1452" s="18" t="s">
        <v>42</v>
      </c>
      <c r="C1452" s="18">
        <v>2.27828473880811</v>
      </c>
      <c r="D1452" s="18">
        <v>2011</v>
      </c>
    </row>
    <row r="1453" spans="1:4" ht="19.95" customHeight="1" x14ac:dyDescent="0.25">
      <c r="A1453" s="17" t="s">
        <v>34</v>
      </c>
      <c r="B1453" s="18" t="s">
        <v>42</v>
      </c>
      <c r="C1453" s="18">
        <v>8.0171069145887692</v>
      </c>
      <c r="D1453" s="18">
        <v>2011</v>
      </c>
    </row>
    <row r="1454" spans="1:4" ht="19.95" customHeight="1" x14ac:dyDescent="0.25">
      <c r="A1454" s="17" t="s">
        <v>35</v>
      </c>
      <c r="B1454" s="18" t="s">
        <v>42</v>
      </c>
      <c r="C1454" s="18">
        <v>4.3982016882656998</v>
      </c>
      <c r="D1454" s="18">
        <v>2011</v>
      </c>
    </row>
    <row r="1455" spans="1:4" ht="19.95" customHeight="1" x14ac:dyDescent="0.25">
      <c r="A1455" s="17" t="s">
        <v>2</v>
      </c>
      <c r="B1455" s="18" t="s">
        <v>42</v>
      </c>
      <c r="C1455" s="18">
        <v>8.4047381311287008</v>
      </c>
      <c r="D1455" s="18">
        <v>2011</v>
      </c>
    </row>
    <row r="1456" spans="1:4" ht="19.95" customHeight="1" x14ac:dyDescent="0.25">
      <c r="A1456" s="17" t="s">
        <v>36</v>
      </c>
      <c r="B1456" s="18" t="s">
        <v>42</v>
      </c>
      <c r="C1456" s="18">
        <v>7.3999993828456603</v>
      </c>
      <c r="D1456" s="18">
        <v>2011</v>
      </c>
    </row>
    <row r="1457" spans="1:4" ht="19.95" customHeight="1" x14ac:dyDescent="0.25">
      <c r="A1457" s="17" t="s">
        <v>37</v>
      </c>
      <c r="B1457" s="18" t="s">
        <v>42</v>
      </c>
      <c r="C1457" s="18">
        <v>7.9045075723474101</v>
      </c>
      <c r="D1457" s="18">
        <v>2011</v>
      </c>
    </row>
    <row r="1458" spans="1:4" ht="19.95" customHeight="1" x14ac:dyDescent="0.25">
      <c r="A1458" s="17" t="s">
        <v>38</v>
      </c>
      <c r="B1458" s="18" t="s">
        <v>42</v>
      </c>
      <c r="C1458" s="18">
        <v>9.3916677490511091</v>
      </c>
      <c r="D1458" s="18">
        <v>2011</v>
      </c>
    </row>
    <row r="1459" spans="1:4" ht="19.95" customHeight="1" x14ac:dyDescent="0.25">
      <c r="A1459" s="17" t="s">
        <v>39</v>
      </c>
      <c r="B1459" s="18" t="s">
        <v>42</v>
      </c>
      <c r="C1459" s="18">
        <v>5.5646247167387299</v>
      </c>
      <c r="D1459" s="18">
        <v>2011</v>
      </c>
    </row>
    <row r="1460" spans="1:4" ht="19.95" customHeight="1" x14ac:dyDescent="0.25">
      <c r="A1460" s="17" t="s">
        <v>40</v>
      </c>
      <c r="B1460" s="18" t="s">
        <v>42</v>
      </c>
      <c r="C1460" s="18">
        <v>15.4457329845232</v>
      </c>
      <c r="D1460" s="18">
        <v>2011</v>
      </c>
    </row>
    <row r="1461" spans="1:4" ht="19.95" customHeight="1" x14ac:dyDescent="0.25">
      <c r="A1461" s="17" t="s">
        <v>10</v>
      </c>
      <c r="B1461" s="18" t="s">
        <v>42</v>
      </c>
      <c r="C1461" s="18">
        <v>4.0193655295110498</v>
      </c>
      <c r="D1461" s="18">
        <v>2012</v>
      </c>
    </row>
    <row r="1462" spans="1:4" ht="19.95" customHeight="1" x14ac:dyDescent="0.25">
      <c r="A1462" s="17" t="s">
        <v>13</v>
      </c>
      <c r="B1462" s="18" t="s">
        <v>42</v>
      </c>
      <c r="C1462" s="18">
        <v>4.5432650156673597</v>
      </c>
      <c r="D1462" s="18">
        <v>2012</v>
      </c>
    </row>
    <row r="1463" spans="1:4" ht="19.95" customHeight="1" x14ac:dyDescent="0.25">
      <c r="A1463" s="17" t="s">
        <v>16</v>
      </c>
      <c r="B1463" s="18" t="s">
        <v>42</v>
      </c>
      <c r="C1463" s="18">
        <v>8.8825760717031592</v>
      </c>
      <c r="D1463" s="18">
        <v>2012</v>
      </c>
    </row>
    <row r="1464" spans="1:4" ht="19.95" customHeight="1" x14ac:dyDescent="0.25">
      <c r="A1464" s="17" t="s">
        <v>15</v>
      </c>
      <c r="B1464" s="18" t="s">
        <v>42</v>
      </c>
      <c r="C1464" s="18">
        <v>2.9999999719327</v>
      </c>
      <c r="D1464" s="18">
        <v>2012</v>
      </c>
    </row>
    <row r="1465" spans="1:4" ht="19.95" customHeight="1" x14ac:dyDescent="0.25">
      <c r="A1465" s="17" t="s">
        <v>17</v>
      </c>
      <c r="B1465" s="18" t="s">
        <v>42</v>
      </c>
      <c r="C1465" s="18"/>
      <c r="D1465" s="18">
        <v>2012</v>
      </c>
    </row>
    <row r="1466" spans="1:4" ht="19.95" customHeight="1" x14ac:dyDescent="0.25">
      <c r="A1466" s="17" t="s">
        <v>18</v>
      </c>
      <c r="B1466" s="18" t="s">
        <v>42</v>
      </c>
      <c r="C1466" s="18">
        <v>8.6478116353910508</v>
      </c>
      <c r="D1466" s="18">
        <v>2012</v>
      </c>
    </row>
    <row r="1467" spans="1:4" ht="19.95" customHeight="1" x14ac:dyDescent="0.25">
      <c r="A1467" s="17" t="s">
        <v>19</v>
      </c>
      <c r="B1467" s="18" t="s">
        <v>42</v>
      </c>
      <c r="C1467" s="18">
        <v>5.9169117315477804</v>
      </c>
      <c r="D1467" s="18">
        <v>2012</v>
      </c>
    </row>
    <row r="1468" spans="1:4" ht="19.95" customHeight="1" x14ac:dyDescent="0.25">
      <c r="A1468" s="17" t="s">
        <v>20</v>
      </c>
      <c r="B1468" s="18" t="s">
        <v>42</v>
      </c>
      <c r="C1468" s="18">
        <v>2.88509605084626</v>
      </c>
      <c r="D1468" s="18">
        <v>2012</v>
      </c>
    </row>
    <row r="1469" spans="1:4" ht="19.95" customHeight="1" x14ac:dyDescent="0.25">
      <c r="A1469" s="17" t="s">
        <v>21</v>
      </c>
      <c r="B1469" s="18" t="s">
        <v>42</v>
      </c>
      <c r="C1469" s="18">
        <v>4.5632091307111997</v>
      </c>
      <c r="D1469" s="18">
        <v>2012</v>
      </c>
    </row>
    <row r="1470" spans="1:4" ht="19.95" customHeight="1" x14ac:dyDescent="0.25">
      <c r="A1470" s="17" t="s">
        <v>22</v>
      </c>
      <c r="B1470" s="18" t="s">
        <v>42</v>
      </c>
      <c r="C1470" s="18">
        <v>2.89534856958733</v>
      </c>
      <c r="D1470" s="18">
        <v>2012</v>
      </c>
    </row>
    <row r="1471" spans="1:4" ht="19.95" customHeight="1" x14ac:dyDescent="0.25">
      <c r="A1471" s="17" t="s">
        <v>23</v>
      </c>
      <c r="B1471" s="18" t="s">
        <v>42</v>
      </c>
      <c r="C1471" s="18">
        <v>7.99445127045679</v>
      </c>
      <c r="D1471" s="18">
        <v>2012</v>
      </c>
    </row>
    <row r="1472" spans="1:4" ht="19.95" customHeight="1" x14ac:dyDescent="0.25">
      <c r="A1472" s="17" t="s">
        <v>24</v>
      </c>
      <c r="B1472" s="18" t="s">
        <v>42</v>
      </c>
      <c r="C1472" s="18">
        <v>3.0275080923156299</v>
      </c>
      <c r="D1472" s="18">
        <v>2012</v>
      </c>
    </row>
    <row r="1473" spans="1:4" ht="19.95" customHeight="1" x14ac:dyDescent="0.25">
      <c r="A1473" s="17" t="s">
        <v>25</v>
      </c>
      <c r="B1473" s="18" t="s">
        <v>42</v>
      </c>
      <c r="C1473" s="18">
        <v>1.88579950731867</v>
      </c>
      <c r="D1473" s="18">
        <v>2012</v>
      </c>
    </row>
    <row r="1474" spans="1:4" ht="19.95" customHeight="1" x14ac:dyDescent="0.25">
      <c r="A1474" s="17" t="s">
        <v>26</v>
      </c>
      <c r="B1474" s="18" t="s">
        <v>42</v>
      </c>
      <c r="C1474" s="18">
        <v>-0.83617886564337596</v>
      </c>
      <c r="D1474" s="18">
        <v>2012</v>
      </c>
    </row>
    <row r="1475" spans="1:4" ht="19.95" customHeight="1" x14ac:dyDescent="0.25">
      <c r="A1475" s="17" t="s">
        <v>27</v>
      </c>
      <c r="B1475" s="18" t="s">
        <v>42</v>
      </c>
      <c r="C1475" s="18">
        <v>-0.70000015311698904</v>
      </c>
      <c r="D1475" s="18">
        <v>2012</v>
      </c>
    </row>
    <row r="1476" spans="1:4" ht="19.95" customHeight="1" x14ac:dyDescent="0.25">
      <c r="A1476" s="17" t="s">
        <v>28</v>
      </c>
      <c r="B1476" s="18" t="s">
        <v>42</v>
      </c>
      <c r="C1476" s="18">
        <v>7.1981858257921196</v>
      </c>
      <c r="D1476" s="18">
        <v>2012</v>
      </c>
    </row>
    <row r="1477" spans="1:4" ht="19.95" customHeight="1" x14ac:dyDescent="0.25">
      <c r="A1477" s="17" t="s">
        <v>29</v>
      </c>
      <c r="B1477" s="18" t="s">
        <v>42</v>
      </c>
      <c r="C1477" s="18">
        <v>7.3326704471545101</v>
      </c>
      <c r="D1477" s="18">
        <v>2012</v>
      </c>
    </row>
    <row r="1478" spans="1:4" ht="19.95" customHeight="1" x14ac:dyDescent="0.25">
      <c r="A1478" s="17" t="s">
        <v>31</v>
      </c>
      <c r="B1478" s="18" t="s">
        <v>42</v>
      </c>
      <c r="C1478" s="18">
        <v>4.78119225754814</v>
      </c>
      <c r="D1478" s="18">
        <v>2012</v>
      </c>
    </row>
    <row r="1479" spans="1:4" ht="19.95" customHeight="1" x14ac:dyDescent="0.25">
      <c r="A1479" s="17" t="s">
        <v>32</v>
      </c>
      <c r="B1479" s="18" t="s">
        <v>42</v>
      </c>
      <c r="C1479" s="18">
        <v>6.4961365432094498</v>
      </c>
      <c r="D1479" s="18">
        <v>2012</v>
      </c>
    </row>
    <row r="1480" spans="1:4" ht="19.95" customHeight="1" x14ac:dyDescent="0.25">
      <c r="A1480" s="17" t="s">
        <v>33</v>
      </c>
      <c r="B1480" s="18" t="s">
        <v>42</v>
      </c>
      <c r="C1480" s="18">
        <v>11.849819181667399</v>
      </c>
      <c r="D1480" s="18">
        <v>2012</v>
      </c>
    </row>
    <row r="1481" spans="1:4" ht="19.95" customHeight="1" x14ac:dyDescent="0.25">
      <c r="A1481" s="17" t="s">
        <v>34</v>
      </c>
      <c r="B1481" s="18" t="s">
        <v>42</v>
      </c>
      <c r="C1481" s="18">
        <v>8.6457290195359295</v>
      </c>
      <c r="D1481" s="18">
        <v>2012</v>
      </c>
    </row>
    <row r="1482" spans="1:4" ht="19.95" customHeight="1" x14ac:dyDescent="0.25">
      <c r="A1482" s="17" t="s">
        <v>35</v>
      </c>
      <c r="B1482" s="18" t="s">
        <v>42</v>
      </c>
      <c r="C1482" s="18">
        <v>3.1419758486854898</v>
      </c>
      <c r="D1482" s="18">
        <v>2012</v>
      </c>
    </row>
    <row r="1483" spans="1:4" ht="19.95" customHeight="1" x14ac:dyDescent="0.25">
      <c r="A1483" s="17" t="s">
        <v>2</v>
      </c>
      <c r="B1483" s="18" t="s">
        <v>42</v>
      </c>
      <c r="C1483" s="18">
        <v>9.1445793876353303</v>
      </c>
      <c r="D1483" s="18">
        <v>2012</v>
      </c>
    </row>
    <row r="1484" spans="1:4" ht="19.95" customHeight="1" x14ac:dyDescent="0.25">
      <c r="A1484" s="17" t="s">
        <v>36</v>
      </c>
      <c r="B1484" s="18" t="s">
        <v>42</v>
      </c>
      <c r="C1484" s="18">
        <v>7.4999991689212404</v>
      </c>
      <c r="D1484" s="18">
        <v>2012</v>
      </c>
    </row>
    <row r="1485" spans="1:4" ht="19.95" customHeight="1" x14ac:dyDescent="0.25">
      <c r="A1485" s="17" t="s">
        <v>37</v>
      </c>
      <c r="B1485" s="18" t="s">
        <v>42</v>
      </c>
      <c r="C1485" s="18">
        <v>5.14101362067316</v>
      </c>
      <c r="D1485" s="18">
        <v>2012</v>
      </c>
    </row>
    <row r="1486" spans="1:4" ht="19.95" customHeight="1" x14ac:dyDescent="0.25">
      <c r="A1486" s="17" t="s">
        <v>38</v>
      </c>
      <c r="B1486" s="18" t="s">
        <v>42</v>
      </c>
      <c r="C1486" s="18">
        <v>3.8374556059748799</v>
      </c>
      <c r="D1486" s="18">
        <v>2012</v>
      </c>
    </row>
    <row r="1487" spans="1:4" ht="19.95" customHeight="1" x14ac:dyDescent="0.25">
      <c r="A1487" s="17" t="s">
        <v>39</v>
      </c>
      <c r="B1487" s="18" t="s">
        <v>42</v>
      </c>
      <c r="C1487" s="18">
        <v>7.5976169688654496</v>
      </c>
      <c r="D1487" s="18">
        <v>2012</v>
      </c>
    </row>
    <row r="1488" spans="1:4" ht="19.95" customHeight="1" x14ac:dyDescent="0.25">
      <c r="A1488" s="17" t="s">
        <v>40</v>
      </c>
      <c r="B1488" s="18" t="s">
        <v>42</v>
      </c>
      <c r="C1488" s="18">
        <v>14.779595141064499</v>
      </c>
      <c r="D1488" s="18">
        <v>2012</v>
      </c>
    </row>
    <row r="1489" spans="1:4" ht="19.95" customHeight="1" x14ac:dyDescent="0.25">
      <c r="A1489" s="17" t="s">
        <v>10</v>
      </c>
      <c r="B1489" s="18" t="s">
        <v>42</v>
      </c>
      <c r="C1489" s="18">
        <v>4.5940542182263204</v>
      </c>
      <c r="D1489" s="18">
        <v>2013</v>
      </c>
    </row>
    <row r="1490" spans="1:4" ht="19.95" customHeight="1" x14ac:dyDescent="0.25">
      <c r="A1490" s="17" t="s">
        <v>13</v>
      </c>
      <c r="B1490" s="18" t="s">
        <v>42</v>
      </c>
      <c r="C1490" s="18">
        <v>5.4042657097173503</v>
      </c>
      <c r="D1490" s="18">
        <v>2013</v>
      </c>
    </row>
    <row r="1491" spans="1:4" ht="19.95" customHeight="1" x14ac:dyDescent="0.25">
      <c r="A1491" s="17" t="s">
        <v>16</v>
      </c>
      <c r="B1491" s="18" t="s">
        <v>42</v>
      </c>
      <c r="C1491" s="18">
        <v>5.7000013628586403</v>
      </c>
      <c r="D1491" s="18">
        <v>2013</v>
      </c>
    </row>
    <row r="1492" spans="1:4" ht="19.95" customHeight="1" x14ac:dyDescent="0.25">
      <c r="A1492" s="17" t="s">
        <v>15</v>
      </c>
      <c r="B1492" s="18" t="s">
        <v>42</v>
      </c>
      <c r="C1492" s="18">
        <v>3.4999999938922701</v>
      </c>
      <c r="D1492" s="18">
        <v>2013</v>
      </c>
    </row>
    <row r="1493" spans="1:4" ht="19.95" customHeight="1" x14ac:dyDescent="0.25">
      <c r="A1493" s="17" t="s">
        <v>17</v>
      </c>
      <c r="B1493" s="18" t="s">
        <v>42</v>
      </c>
      <c r="C1493" s="18"/>
      <c r="D1493" s="18">
        <v>2013</v>
      </c>
    </row>
    <row r="1494" spans="1:4" ht="19.95" customHeight="1" x14ac:dyDescent="0.25">
      <c r="A1494" s="17" t="s">
        <v>18</v>
      </c>
      <c r="B1494" s="18" t="s">
        <v>42</v>
      </c>
      <c r="C1494" s="18">
        <v>10.582270040227399</v>
      </c>
      <c r="D1494" s="18">
        <v>2013</v>
      </c>
    </row>
    <row r="1495" spans="1:4" ht="19.95" customHeight="1" x14ac:dyDescent="0.25">
      <c r="A1495" s="17" t="s">
        <v>19</v>
      </c>
      <c r="B1495" s="18" t="s">
        <v>42</v>
      </c>
      <c r="C1495" s="18">
        <v>3.9347840250179198</v>
      </c>
      <c r="D1495" s="18">
        <v>2013</v>
      </c>
    </row>
    <row r="1496" spans="1:4" ht="19.95" customHeight="1" x14ac:dyDescent="0.25">
      <c r="A1496" s="17" t="s">
        <v>20</v>
      </c>
      <c r="B1496" s="18" t="s">
        <v>42</v>
      </c>
      <c r="C1496" s="18">
        <v>4.2340528909557804</v>
      </c>
      <c r="D1496" s="18">
        <v>2013</v>
      </c>
    </row>
    <row r="1497" spans="1:4" ht="19.95" customHeight="1" x14ac:dyDescent="0.25">
      <c r="A1497" s="17" t="s">
        <v>21</v>
      </c>
      <c r="B1497" s="18" t="s">
        <v>42</v>
      </c>
      <c r="C1497" s="18">
        <v>5.8786894770261702</v>
      </c>
      <c r="D1497" s="18">
        <v>2013</v>
      </c>
    </row>
    <row r="1498" spans="1:4" ht="19.95" customHeight="1" x14ac:dyDescent="0.25">
      <c r="A1498" s="17" t="s">
        <v>22</v>
      </c>
      <c r="B1498" s="18" t="s">
        <v>42</v>
      </c>
      <c r="C1498" s="18">
        <v>3.4312300087234999</v>
      </c>
      <c r="D1498" s="18">
        <v>2013</v>
      </c>
    </row>
    <row r="1499" spans="1:4" ht="19.95" customHeight="1" x14ac:dyDescent="0.25">
      <c r="A1499" s="17" t="s">
        <v>23</v>
      </c>
      <c r="B1499" s="18" t="s">
        <v>42</v>
      </c>
      <c r="C1499" s="18">
        <v>8.7038750157604596</v>
      </c>
      <c r="D1499" s="18">
        <v>2013</v>
      </c>
    </row>
    <row r="1500" spans="1:4" ht="19.95" customHeight="1" x14ac:dyDescent="0.25">
      <c r="A1500" s="17" t="s">
        <v>24</v>
      </c>
      <c r="B1500" s="18" t="s">
        <v>42</v>
      </c>
      <c r="C1500" s="18">
        <v>2.2552040402516802</v>
      </c>
      <c r="D1500" s="18">
        <v>2013</v>
      </c>
    </row>
    <row r="1501" spans="1:4" ht="19.95" customHeight="1" x14ac:dyDescent="0.25">
      <c r="A1501" s="17" t="s">
        <v>25</v>
      </c>
      <c r="B1501" s="18" t="s">
        <v>42</v>
      </c>
      <c r="C1501" s="18">
        <v>5.1999999983554899</v>
      </c>
      <c r="D1501" s="18">
        <v>2013</v>
      </c>
    </row>
    <row r="1502" spans="1:4" ht="19.95" customHeight="1" x14ac:dyDescent="0.25">
      <c r="A1502" s="17" t="s">
        <v>26</v>
      </c>
      <c r="B1502" s="18" t="s">
        <v>42</v>
      </c>
      <c r="C1502" s="18">
        <v>2.3035848092943598</v>
      </c>
      <c r="D1502" s="18">
        <v>2013</v>
      </c>
    </row>
    <row r="1503" spans="1:4" ht="19.95" customHeight="1" x14ac:dyDescent="0.25">
      <c r="A1503" s="17" t="s">
        <v>27</v>
      </c>
      <c r="B1503" s="18" t="s">
        <v>42</v>
      </c>
      <c r="C1503" s="18">
        <v>9.4000000992282402</v>
      </c>
      <c r="D1503" s="18">
        <v>2013</v>
      </c>
    </row>
    <row r="1504" spans="1:4" ht="19.95" customHeight="1" x14ac:dyDescent="0.25">
      <c r="A1504" s="17" t="s">
        <v>28</v>
      </c>
      <c r="B1504" s="18" t="s">
        <v>42</v>
      </c>
      <c r="C1504" s="18">
        <v>7.1416832995044901</v>
      </c>
      <c r="D1504" s="18">
        <v>2013</v>
      </c>
    </row>
    <row r="1505" spans="1:4" ht="19.95" customHeight="1" x14ac:dyDescent="0.25">
      <c r="A1505" s="17" t="s">
        <v>29</v>
      </c>
      <c r="B1505" s="18" t="s">
        <v>42</v>
      </c>
      <c r="C1505" s="18">
        <v>8.4260010248518693</v>
      </c>
      <c r="D1505" s="18">
        <v>2013</v>
      </c>
    </row>
    <row r="1506" spans="1:4" ht="19.95" customHeight="1" x14ac:dyDescent="0.25">
      <c r="A1506" s="17" t="s">
        <v>31</v>
      </c>
      <c r="B1506" s="18" t="s">
        <v>42</v>
      </c>
      <c r="C1506" s="18">
        <v>4.1288776763109203</v>
      </c>
      <c r="D1506" s="18">
        <v>2013</v>
      </c>
    </row>
    <row r="1507" spans="1:4" ht="19.95" customHeight="1" x14ac:dyDescent="0.25">
      <c r="A1507" s="17" t="s">
        <v>32</v>
      </c>
      <c r="B1507" s="18" t="s">
        <v>42</v>
      </c>
      <c r="C1507" s="18">
        <v>4.9270940634137901</v>
      </c>
      <c r="D1507" s="18">
        <v>2013</v>
      </c>
    </row>
    <row r="1508" spans="1:4" ht="19.95" customHeight="1" x14ac:dyDescent="0.25">
      <c r="A1508" s="17" t="s">
        <v>33</v>
      </c>
      <c r="B1508" s="18" t="s">
        <v>42</v>
      </c>
      <c r="C1508" s="18">
        <v>5.2684148973020397</v>
      </c>
      <c r="D1508" s="18">
        <v>2013</v>
      </c>
    </row>
    <row r="1509" spans="1:4" ht="19.95" customHeight="1" x14ac:dyDescent="0.25">
      <c r="A1509" s="17" t="s">
        <v>34</v>
      </c>
      <c r="B1509" s="18" t="s">
        <v>42</v>
      </c>
      <c r="C1509" s="18">
        <v>4.6588729265100604</v>
      </c>
      <c r="D1509" s="18">
        <v>2013</v>
      </c>
    </row>
    <row r="1510" spans="1:4" ht="19.95" customHeight="1" x14ac:dyDescent="0.25">
      <c r="A1510" s="17" t="s">
        <v>35</v>
      </c>
      <c r="B1510" s="18" t="s">
        <v>42</v>
      </c>
      <c r="C1510" s="18">
        <v>4.8147943869875096</v>
      </c>
      <c r="D1510" s="18">
        <v>2013</v>
      </c>
    </row>
    <row r="1511" spans="1:4" ht="19.95" customHeight="1" x14ac:dyDescent="0.25">
      <c r="A1511" s="17" t="s">
        <v>2</v>
      </c>
      <c r="B1511" s="18" t="s">
        <v>42</v>
      </c>
      <c r="C1511" s="18">
        <v>3.3957227742917402</v>
      </c>
      <c r="D1511" s="18">
        <v>2013</v>
      </c>
    </row>
    <row r="1512" spans="1:4" ht="19.95" customHeight="1" x14ac:dyDescent="0.25">
      <c r="A1512" s="17" t="s">
        <v>36</v>
      </c>
      <c r="B1512" s="18" t="s">
        <v>42</v>
      </c>
      <c r="C1512" s="18">
        <v>7.4000005698825904</v>
      </c>
      <c r="D1512" s="18">
        <v>2013</v>
      </c>
    </row>
    <row r="1513" spans="1:4" ht="19.95" customHeight="1" x14ac:dyDescent="0.25">
      <c r="A1513" s="17" t="s">
        <v>37</v>
      </c>
      <c r="B1513" s="18" t="s">
        <v>42</v>
      </c>
      <c r="C1513" s="18">
        <v>7.2630609971293003</v>
      </c>
      <c r="D1513" s="18">
        <v>2013</v>
      </c>
    </row>
    <row r="1514" spans="1:4" ht="19.95" customHeight="1" x14ac:dyDescent="0.25">
      <c r="A1514" s="17" t="s">
        <v>38</v>
      </c>
      <c r="B1514" s="18" t="s">
        <v>42</v>
      </c>
      <c r="C1514" s="18">
        <v>3.5869058261957201</v>
      </c>
      <c r="D1514" s="18">
        <v>2013</v>
      </c>
    </row>
    <row r="1515" spans="1:4" ht="19.95" customHeight="1" x14ac:dyDescent="0.25">
      <c r="A1515" s="17" t="s">
        <v>39</v>
      </c>
      <c r="B1515" s="18" t="s">
        <v>42</v>
      </c>
      <c r="C1515" s="18">
        <v>5.0593763782265704</v>
      </c>
      <c r="D1515" s="18">
        <v>2013</v>
      </c>
    </row>
    <row r="1516" spans="1:4" ht="19.95" customHeight="1" x14ac:dyDescent="0.25">
      <c r="A1516" s="17" t="s">
        <v>40</v>
      </c>
      <c r="B1516" s="18" t="s">
        <v>42</v>
      </c>
      <c r="C1516" s="18">
        <v>5.5297872075575896</v>
      </c>
      <c r="D1516" s="18">
        <v>2013</v>
      </c>
    </row>
    <row r="1517" spans="1:4" ht="19.95" customHeight="1" x14ac:dyDescent="0.25">
      <c r="A1517" s="17" t="s">
        <v>10</v>
      </c>
      <c r="B1517" s="18" t="s">
        <v>42</v>
      </c>
      <c r="C1517" s="18">
        <v>4.6609181844736698</v>
      </c>
      <c r="D1517" s="18">
        <v>2014</v>
      </c>
    </row>
    <row r="1518" spans="1:4" ht="19.95" customHeight="1" x14ac:dyDescent="0.25">
      <c r="A1518" s="17" t="s">
        <v>13</v>
      </c>
      <c r="B1518" s="18" t="s">
        <v>42</v>
      </c>
      <c r="C1518" s="18">
        <v>5.8840593266804602</v>
      </c>
      <c r="D1518" s="18">
        <v>2014</v>
      </c>
    </row>
    <row r="1519" spans="1:4" ht="19.95" customHeight="1" x14ac:dyDescent="0.25">
      <c r="A1519" s="17" t="s">
        <v>16</v>
      </c>
      <c r="B1519" s="18" t="s">
        <v>42</v>
      </c>
      <c r="C1519" s="18">
        <v>6.89998504532167</v>
      </c>
      <c r="D1519" s="18">
        <v>2014</v>
      </c>
    </row>
    <row r="1520" spans="1:4" ht="19.95" customHeight="1" x14ac:dyDescent="0.25">
      <c r="A1520" s="17" t="s">
        <v>15</v>
      </c>
      <c r="B1520" s="18" t="s">
        <v>42</v>
      </c>
      <c r="C1520" s="18">
        <v>2.0616394689951401</v>
      </c>
      <c r="D1520" s="18">
        <v>2014</v>
      </c>
    </row>
    <row r="1521" spans="1:4" ht="19.95" customHeight="1" x14ac:dyDescent="0.25">
      <c r="A1521" s="17" t="s">
        <v>17</v>
      </c>
      <c r="B1521" s="18" t="s">
        <v>42</v>
      </c>
      <c r="C1521" s="18">
        <v>8.9205846249251302</v>
      </c>
      <c r="D1521" s="18">
        <v>2014</v>
      </c>
    </row>
    <row r="1522" spans="1:4" ht="19.95" customHeight="1" x14ac:dyDescent="0.25">
      <c r="A1522" s="17" t="s">
        <v>18</v>
      </c>
      <c r="B1522" s="18" t="s">
        <v>42</v>
      </c>
      <c r="C1522" s="18">
        <v>10.2574929647496</v>
      </c>
      <c r="D1522" s="18">
        <v>2014</v>
      </c>
    </row>
    <row r="1523" spans="1:4" ht="19.95" customHeight="1" x14ac:dyDescent="0.25">
      <c r="A1523" s="17" t="s">
        <v>19</v>
      </c>
      <c r="B1523" s="18" t="s">
        <v>42</v>
      </c>
      <c r="C1523" s="18">
        <v>3.7074516130114001</v>
      </c>
      <c r="D1523" s="18">
        <v>2014</v>
      </c>
    </row>
    <row r="1524" spans="1:4" ht="19.95" customHeight="1" x14ac:dyDescent="0.25">
      <c r="A1524" s="17" t="s">
        <v>20</v>
      </c>
      <c r="B1524" s="18" t="s">
        <v>42</v>
      </c>
      <c r="C1524" s="18">
        <v>2.8101484983685299</v>
      </c>
      <c r="D1524" s="18">
        <v>2014</v>
      </c>
    </row>
    <row r="1525" spans="1:4" ht="19.95" customHeight="1" x14ac:dyDescent="0.25">
      <c r="A1525" s="17" t="s">
        <v>21</v>
      </c>
      <c r="B1525" s="18" t="s">
        <v>42</v>
      </c>
      <c r="C1525" s="18">
        <v>5.3571167781201199</v>
      </c>
      <c r="D1525" s="18">
        <v>2014</v>
      </c>
    </row>
    <row r="1526" spans="1:4" ht="19.95" customHeight="1" x14ac:dyDescent="0.25">
      <c r="A1526" s="17" t="s">
        <v>22</v>
      </c>
      <c r="B1526" s="18" t="s">
        <v>42</v>
      </c>
      <c r="C1526" s="18">
        <v>1.1980709759736901</v>
      </c>
      <c r="D1526" s="18">
        <v>2014</v>
      </c>
    </row>
    <row r="1527" spans="1:4" ht="19.95" customHeight="1" x14ac:dyDescent="0.25">
      <c r="A1527" s="17" t="s">
        <v>23</v>
      </c>
      <c r="B1527" s="18" t="s">
        <v>42</v>
      </c>
      <c r="C1527" s="18">
        <v>0.70114163582337596</v>
      </c>
      <c r="D1527" s="18">
        <v>2014</v>
      </c>
    </row>
    <row r="1528" spans="1:4" ht="19.95" customHeight="1" x14ac:dyDescent="0.25">
      <c r="A1528" s="17" t="s">
        <v>24</v>
      </c>
      <c r="B1528" s="18" t="s">
        <v>42</v>
      </c>
      <c r="C1528" s="18">
        <v>3.31585416456267</v>
      </c>
      <c r="D1528" s="18">
        <v>2014</v>
      </c>
    </row>
    <row r="1529" spans="1:4" ht="19.95" customHeight="1" x14ac:dyDescent="0.25">
      <c r="A1529" s="17" t="s">
        <v>25</v>
      </c>
      <c r="B1529" s="18" t="s">
        <v>42</v>
      </c>
      <c r="C1529" s="18">
        <v>5.7000000037720904</v>
      </c>
      <c r="D1529" s="18">
        <v>2014</v>
      </c>
    </row>
    <row r="1530" spans="1:4" ht="19.95" customHeight="1" x14ac:dyDescent="0.25">
      <c r="A1530" s="17" t="s">
        <v>26</v>
      </c>
      <c r="B1530" s="18" t="s">
        <v>42</v>
      </c>
      <c r="C1530" s="18">
        <v>7.0433562036595303</v>
      </c>
      <c r="D1530" s="18">
        <v>2014</v>
      </c>
    </row>
    <row r="1531" spans="1:4" ht="19.95" customHeight="1" x14ac:dyDescent="0.25">
      <c r="A1531" s="17" t="s">
        <v>27</v>
      </c>
      <c r="B1531" s="18" t="s">
        <v>42</v>
      </c>
      <c r="C1531" s="18">
        <v>4.7999997494270001</v>
      </c>
      <c r="D1531" s="18">
        <v>2014</v>
      </c>
    </row>
    <row r="1532" spans="1:4" ht="19.95" customHeight="1" x14ac:dyDescent="0.25">
      <c r="A1532" s="17" t="s">
        <v>28</v>
      </c>
      <c r="B1532" s="18" t="s">
        <v>42</v>
      </c>
      <c r="C1532" s="18">
        <v>7.4440694921197101</v>
      </c>
      <c r="D1532" s="18">
        <v>2014</v>
      </c>
    </row>
    <row r="1533" spans="1:4" ht="19.95" customHeight="1" x14ac:dyDescent="0.25">
      <c r="A1533" s="17" t="s">
        <v>29</v>
      </c>
      <c r="B1533" s="18" t="s">
        <v>42</v>
      </c>
      <c r="C1533" s="18">
        <v>7.9912433435203196</v>
      </c>
      <c r="D1533" s="18">
        <v>2014</v>
      </c>
    </row>
    <row r="1534" spans="1:4" ht="19.95" customHeight="1" x14ac:dyDescent="0.25">
      <c r="A1534" s="17" t="s">
        <v>31</v>
      </c>
      <c r="B1534" s="18" t="s">
        <v>42</v>
      </c>
      <c r="C1534" s="18">
        <v>5.9889846608802504</v>
      </c>
      <c r="D1534" s="18">
        <v>2014</v>
      </c>
    </row>
    <row r="1535" spans="1:4" ht="19.95" customHeight="1" x14ac:dyDescent="0.25">
      <c r="A1535" s="17" t="s">
        <v>32</v>
      </c>
      <c r="B1535" s="18" t="s">
        <v>42</v>
      </c>
      <c r="C1535" s="18">
        <v>4.7854602004422304</v>
      </c>
      <c r="D1535" s="18">
        <v>2014</v>
      </c>
    </row>
    <row r="1536" spans="1:4" ht="19.95" customHeight="1" x14ac:dyDescent="0.25">
      <c r="A1536" s="17" t="s">
        <v>33</v>
      </c>
      <c r="B1536" s="18" t="s">
        <v>42</v>
      </c>
      <c r="C1536" s="18">
        <v>7.5290430684910499</v>
      </c>
      <c r="D1536" s="18">
        <v>2014</v>
      </c>
    </row>
    <row r="1537" spans="1:4" ht="19.95" customHeight="1" x14ac:dyDescent="0.25">
      <c r="A1537" s="17" t="s">
        <v>34</v>
      </c>
      <c r="B1537" s="18" t="s">
        <v>42</v>
      </c>
      <c r="C1537" s="18">
        <v>7.6245757495927204</v>
      </c>
      <c r="D1537" s="18">
        <v>2014</v>
      </c>
    </row>
    <row r="1538" spans="1:4" ht="19.95" customHeight="1" x14ac:dyDescent="0.25">
      <c r="A1538" s="17" t="s">
        <v>35</v>
      </c>
      <c r="B1538" s="18" t="s">
        <v>42</v>
      </c>
      <c r="C1538" s="18">
        <v>6.5499331020344398</v>
      </c>
      <c r="D1538" s="18">
        <v>2014</v>
      </c>
    </row>
    <row r="1539" spans="1:4" ht="19.95" customHeight="1" x14ac:dyDescent="0.25">
      <c r="A1539" s="17" t="s">
        <v>2</v>
      </c>
      <c r="B1539" s="18" t="s">
        <v>42</v>
      </c>
      <c r="C1539" s="18">
        <v>4.9607065405657496</v>
      </c>
      <c r="D1539" s="18">
        <v>2014</v>
      </c>
    </row>
    <row r="1540" spans="1:4" ht="19.95" customHeight="1" x14ac:dyDescent="0.25">
      <c r="A1540" s="17" t="s">
        <v>36</v>
      </c>
      <c r="B1540" s="18" t="s">
        <v>42</v>
      </c>
      <c r="C1540" s="18">
        <v>6.6992506598828401</v>
      </c>
      <c r="D1540" s="18">
        <v>2014</v>
      </c>
    </row>
    <row r="1541" spans="1:4" ht="19.95" customHeight="1" x14ac:dyDescent="0.25">
      <c r="A1541" s="17" t="s">
        <v>37</v>
      </c>
      <c r="B1541" s="18" t="s">
        <v>42</v>
      </c>
      <c r="C1541" s="18">
        <v>6.9651349357290497</v>
      </c>
      <c r="D1541" s="18">
        <v>2014</v>
      </c>
    </row>
    <row r="1542" spans="1:4" ht="19.95" customHeight="1" x14ac:dyDescent="0.25">
      <c r="A1542" s="17" t="s">
        <v>38</v>
      </c>
      <c r="B1542" s="18" t="s">
        <v>42</v>
      </c>
      <c r="C1542" s="18">
        <v>5.1063073242880703</v>
      </c>
      <c r="D1542" s="18">
        <v>2014</v>
      </c>
    </row>
    <row r="1543" spans="1:4" ht="19.95" customHeight="1" x14ac:dyDescent="0.25">
      <c r="A1543" s="17" t="s">
        <v>39</v>
      </c>
      <c r="B1543" s="18" t="s">
        <v>42</v>
      </c>
      <c r="C1543" s="18">
        <v>4.6958263726904796</v>
      </c>
      <c r="D1543" s="18">
        <v>2014</v>
      </c>
    </row>
    <row r="1544" spans="1:4" ht="19.95" customHeight="1" x14ac:dyDescent="0.25">
      <c r="A1544" s="17" t="s">
        <v>40</v>
      </c>
      <c r="B1544" s="18" t="s">
        <v>42</v>
      </c>
      <c r="C1544" s="18">
        <v>2.1270839080275201</v>
      </c>
      <c r="D1544" s="18">
        <v>2014</v>
      </c>
    </row>
    <row r="1545" spans="1:4" ht="19.95" customHeight="1" x14ac:dyDescent="0.25">
      <c r="A1545" s="17" t="s">
        <v>10</v>
      </c>
      <c r="B1545" s="18" t="s">
        <v>42</v>
      </c>
      <c r="C1545" s="18">
        <v>-3.9211427505320602</v>
      </c>
      <c r="D1545" s="18">
        <v>2015</v>
      </c>
    </row>
    <row r="1546" spans="1:4" ht="19.95" customHeight="1" x14ac:dyDescent="0.25">
      <c r="A1546" s="17" t="s">
        <v>13</v>
      </c>
      <c r="B1546" s="18" t="s">
        <v>42</v>
      </c>
      <c r="C1546" s="18">
        <v>5.6514637436283</v>
      </c>
      <c r="D1546" s="18">
        <v>2015</v>
      </c>
    </row>
    <row r="1547" spans="1:4" ht="19.95" customHeight="1" x14ac:dyDescent="0.25">
      <c r="A1547" s="17" t="s">
        <v>16</v>
      </c>
      <c r="B1547" s="18" t="s">
        <v>42</v>
      </c>
      <c r="C1547" s="18">
        <v>2.7676756848447002</v>
      </c>
      <c r="D1547" s="18">
        <v>2015</v>
      </c>
    </row>
    <row r="1548" spans="1:4" ht="19.95" customHeight="1" x14ac:dyDescent="0.25">
      <c r="A1548" s="17" t="s">
        <v>15</v>
      </c>
      <c r="B1548" s="18" t="s">
        <v>42</v>
      </c>
      <c r="C1548" s="18">
        <v>1.0151184591981099</v>
      </c>
      <c r="D1548" s="18">
        <v>2015</v>
      </c>
    </row>
    <row r="1549" spans="1:4" ht="19.95" customHeight="1" x14ac:dyDescent="0.25">
      <c r="A1549" s="17" t="s">
        <v>17</v>
      </c>
      <c r="B1549" s="18" t="s">
        <v>42</v>
      </c>
      <c r="C1549" s="18">
        <v>9.6837981164817393</v>
      </c>
      <c r="D1549" s="18">
        <v>2015</v>
      </c>
    </row>
    <row r="1550" spans="1:4" ht="19.95" customHeight="1" x14ac:dyDescent="0.25">
      <c r="A1550" s="17" t="s">
        <v>18</v>
      </c>
      <c r="B1550" s="18" t="s">
        <v>42</v>
      </c>
      <c r="C1550" s="18">
        <v>10.3924630218107</v>
      </c>
      <c r="D1550" s="18">
        <v>2015</v>
      </c>
    </row>
    <row r="1551" spans="1:4" ht="19.95" customHeight="1" x14ac:dyDescent="0.25">
      <c r="A1551" s="17" t="s">
        <v>19</v>
      </c>
      <c r="B1551" s="18" t="s">
        <v>42</v>
      </c>
      <c r="C1551" s="18">
        <v>3.81494988965694</v>
      </c>
      <c r="D1551" s="18">
        <v>2015</v>
      </c>
    </row>
    <row r="1552" spans="1:4" ht="19.95" customHeight="1" x14ac:dyDescent="0.25">
      <c r="A1552" s="17" t="s">
        <v>20</v>
      </c>
      <c r="B1552" s="18" t="s">
        <v>42</v>
      </c>
      <c r="C1552" s="18">
        <v>1.2112183431569199</v>
      </c>
      <c r="D1552" s="18">
        <v>2015</v>
      </c>
    </row>
    <row r="1553" spans="1:4" ht="19.95" customHeight="1" x14ac:dyDescent="0.25">
      <c r="A1553" s="17" t="s">
        <v>21</v>
      </c>
      <c r="B1553" s="18" t="s">
        <v>42</v>
      </c>
      <c r="C1553" s="18">
        <v>5.7185071313351399</v>
      </c>
      <c r="D1553" s="18">
        <v>2015</v>
      </c>
    </row>
    <row r="1554" spans="1:4" ht="19.95" customHeight="1" x14ac:dyDescent="0.25">
      <c r="A1554" s="17" t="s">
        <v>22</v>
      </c>
      <c r="B1554" s="18" t="s">
        <v>42</v>
      </c>
      <c r="C1554" s="18">
        <v>4.0944545357409901</v>
      </c>
      <c r="D1554" s="18">
        <v>2015</v>
      </c>
    </row>
    <row r="1555" spans="1:4" ht="19.95" customHeight="1" x14ac:dyDescent="0.25">
      <c r="A1555" s="17" t="s">
        <v>23</v>
      </c>
      <c r="B1555" s="18" t="s">
        <v>42</v>
      </c>
      <c r="C1555" s="18">
        <v>0</v>
      </c>
      <c r="D1555" s="18">
        <v>2015</v>
      </c>
    </row>
    <row r="1556" spans="1:4" ht="19.95" customHeight="1" x14ac:dyDescent="0.25">
      <c r="A1556" s="17" t="s">
        <v>24</v>
      </c>
      <c r="B1556" s="18" t="s">
        <v>42</v>
      </c>
      <c r="C1556" s="18">
        <v>3.1166147142309901</v>
      </c>
      <c r="D1556" s="18">
        <v>2015</v>
      </c>
    </row>
    <row r="1557" spans="1:4" ht="19.95" customHeight="1" x14ac:dyDescent="0.25">
      <c r="A1557" s="17" t="s">
        <v>25</v>
      </c>
      <c r="B1557" s="18" t="s">
        <v>42</v>
      </c>
      <c r="C1557" s="18">
        <v>2.79999999900333</v>
      </c>
      <c r="D1557" s="18">
        <v>2015</v>
      </c>
    </row>
    <row r="1558" spans="1:4" ht="19.95" customHeight="1" x14ac:dyDescent="0.25">
      <c r="A1558" s="17" t="s">
        <v>26</v>
      </c>
      <c r="B1558" s="18" t="s">
        <v>42</v>
      </c>
      <c r="C1558" s="18">
        <v>5.9625815905151702</v>
      </c>
      <c r="D1558" s="18">
        <v>2015</v>
      </c>
    </row>
    <row r="1559" spans="1:4" ht="19.95" customHeight="1" x14ac:dyDescent="0.25">
      <c r="A1559" s="17" t="s">
        <v>27</v>
      </c>
      <c r="B1559" s="18" t="s">
        <v>42</v>
      </c>
      <c r="C1559" s="18">
        <v>-0.40000012951054498</v>
      </c>
      <c r="D1559" s="18">
        <v>2015</v>
      </c>
    </row>
    <row r="1560" spans="1:4" ht="19.95" customHeight="1" x14ac:dyDescent="0.25">
      <c r="A1560" s="17" t="s">
        <v>28</v>
      </c>
      <c r="B1560" s="18" t="s">
        <v>42</v>
      </c>
      <c r="C1560" s="18">
        <v>6.5939859064514801</v>
      </c>
      <c r="D1560" s="18">
        <v>2015</v>
      </c>
    </row>
    <row r="1561" spans="1:4" ht="19.95" customHeight="1" x14ac:dyDescent="0.25">
      <c r="A1561" s="17" t="s">
        <v>29</v>
      </c>
      <c r="B1561" s="18" t="s">
        <v>42</v>
      </c>
      <c r="C1561" s="18">
        <v>6.9925155741065597</v>
      </c>
      <c r="D1561" s="18">
        <v>2015</v>
      </c>
    </row>
    <row r="1562" spans="1:4" ht="19.95" customHeight="1" x14ac:dyDescent="0.25">
      <c r="A1562" s="17" t="s">
        <v>31</v>
      </c>
      <c r="B1562" s="18" t="s">
        <v>42</v>
      </c>
      <c r="C1562" s="18">
        <v>3.3229054393755701</v>
      </c>
      <c r="D1562" s="18">
        <v>2015</v>
      </c>
    </row>
    <row r="1563" spans="1:4" ht="19.95" customHeight="1" x14ac:dyDescent="0.25">
      <c r="A1563" s="17" t="s">
        <v>32</v>
      </c>
      <c r="B1563" s="18" t="s">
        <v>42</v>
      </c>
      <c r="C1563" s="18">
        <v>4.76860879419793</v>
      </c>
      <c r="D1563" s="18">
        <v>2015</v>
      </c>
    </row>
    <row r="1564" spans="1:4" ht="19.95" customHeight="1" x14ac:dyDescent="0.25">
      <c r="A1564" s="17" t="s">
        <v>33</v>
      </c>
      <c r="B1564" s="18" t="s">
        <v>42</v>
      </c>
      <c r="C1564" s="18">
        <v>4.33759111585388</v>
      </c>
      <c r="D1564" s="18">
        <v>2015</v>
      </c>
    </row>
    <row r="1565" spans="1:4" ht="19.95" customHeight="1" x14ac:dyDescent="0.25">
      <c r="A1565" s="17" t="s">
        <v>34</v>
      </c>
      <c r="B1565" s="18" t="s">
        <v>42</v>
      </c>
      <c r="C1565" s="18">
        <v>8.86797737443902</v>
      </c>
      <c r="D1565" s="18">
        <v>2015</v>
      </c>
    </row>
    <row r="1566" spans="1:4" ht="19.95" customHeight="1" x14ac:dyDescent="0.25">
      <c r="A1566" s="17" t="s">
        <v>35</v>
      </c>
      <c r="B1566" s="18" t="s">
        <v>42</v>
      </c>
      <c r="C1566" s="18">
        <v>3.81998853521304</v>
      </c>
      <c r="D1566" s="18">
        <v>2015</v>
      </c>
    </row>
    <row r="1567" spans="1:4" ht="19.95" customHeight="1" x14ac:dyDescent="0.25">
      <c r="A1567" s="17" t="s">
        <v>2</v>
      </c>
      <c r="B1567" s="18" t="s">
        <v>42</v>
      </c>
      <c r="C1567" s="18">
        <v>5.0076833047278102</v>
      </c>
      <c r="D1567" s="18">
        <v>2015</v>
      </c>
    </row>
    <row r="1568" spans="1:4" ht="19.95" customHeight="1" x14ac:dyDescent="0.25">
      <c r="A1568" s="17" t="s">
        <v>36</v>
      </c>
      <c r="B1568" s="18" t="s">
        <v>42</v>
      </c>
      <c r="C1568" s="18">
        <v>6</v>
      </c>
      <c r="D1568" s="18">
        <v>2015</v>
      </c>
    </row>
    <row r="1569" spans="1:4" ht="19.95" customHeight="1" x14ac:dyDescent="0.25">
      <c r="A1569" s="17" t="s">
        <v>37</v>
      </c>
      <c r="B1569" s="18" t="s">
        <v>42</v>
      </c>
      <c r="C1569" s="18">
        <v>6.9593142468231397</v>
      </c>
      <c r="D1569" s="18">
        <v>2015</v>
      </c>
    </row>
    <row r="1570" spans="1:4" ht="19.95" customHeight="1" x14ac:dyDescent="0.25">
      <c r="A1570" s="17" t="s">
        <v>38</v>
      </c>
      <c r="B1570" s="18" t="s">
        <v>42</v>
      </c>
      <c r="C1570" s="18">
        <v>5.1878598626103001</v>
      </c>
      <c r="D1570" s="18">
        <v>2015</v>
      </c>
    </row>
    <row r="1571" spans="1:4" ht="19.95" customHeight="1" x14ac:dyDescent="0.25">
      <c r="A1571" s="17" t="s">
        <v>39</v>
      </c>
      <c r="B1571" s="18" t="s">
        <v>42</v>
      </c>
      <c r="C1571" s="18">
        <v>2.9198811101871298</v>
      </c>
      <c r="D1571" s="18">
        <v>2015</v>
      </c>
    </row>
    <row r="1572" spans="1:4" ht="19.95" customHeight="1" x14ac:dyDescent="0.25">
      <c r="A1572" s="17" t="s">
        <v>40</v>
      </c>
      <c r="B1572" s="18" t="s">
        <v>42</v>
      </c>
      <c r="C1572" s="18">
        <v>1.6895945920784201</v>
      </c>
      <c r="D1572" s="18">
        <v>2015</v>
      </c>
    </row>
    <row r="1573" spans="1:4" ht="19.95" customHeight="1" x14ac:dyDescent="0.25">
      <c r="A1573" s="17" t="s">
        <v>10</v>
      </c>
      <c r="B1573" s="18" t="s">
        <v>42</v>
      </c>
      <c r="C1573" s="18">
        <v>-0.57043445065876597</v>
      </c>
      <c r="D1573" s="18">
        <v>2016</v>
      </c>
    </row>
    <row r="1574" spans="1:4" ht="19.95" customHeight="1" x14ac:dyDescent="0.25">
      <c r="A1574" s="17" t="s">
        <v>13</v>
      </c>
      <c r="B1574" s="18" t="s">
        <v>42</v>
      </c>
      <c r="C1574" s="18">
        <v>4.4504532662990499</v>
      </c>
      <c r="D1574" s="18">
        <v>2016</v>
      </c>
    </row>
    <row r="1575" spans="1:4" ht="19.95" customHeight="1" x14ac:dyDescent="0.25">
      <c r="A1575" s="17" t="s">
        <v>16</v>
      </c>
      <c r="B1575" s="18" t="s">
        <v>42</v>
      </c>
      <c r="C1575" s="18">
        <v>-6.25552708545281</v>
      </c>
      <c r="D1575" s="18">
        <v>2016</v>
      </c>
    </row>
    <row r="1576" spans="1:4" ht="19.95" customHeight="1" x14ac:dyDescent="0.25">
      <c r="A1576" s="17" t="s">
        <v>15</v>
      </c>
      <c r="B1576" s="18" t="s">
        <v>42</v>
      </c>
      <c r="C1576" s="18">
        <v>2.2000000228954701</v>
      </c>
      <c r="D1576" s="18">
        <v>2016</v>
      </c>
    </row>
    <row r="1577" spans="1:4" ht="19.95" customHeight="1" x14ac:dyDescent="0.25">
      <c r="A1577" s="17" t="s">
        <v>17</v>
      </c>
      <c r="B1577" s="18" t="s">
        <v>42</v>
      </c>
      <c r="C1577" s="18">
        <v>8.7222600610529195</v>
      </c>
      <c r="D1577" s="18">
        <v>2016</v>
      </c>
    </row>
    <row r="1578" spans="1:4" ht="19.95" customHeight="1" x14ac:dyDescent="0.25">
      <c r="A1578" s="17" t="s">
        <v>18</v>
      </c>
      <c r="B1578" s="18" t="s">
        <v>42</v>
      </c>
      <c r="C1578" s="18">
        <v>7.5617666902314902</v>
      </c>
      <c r="D1578" s="18">
        <v>2016</v>
      </c>
    </row>
    <row r="1579" spans="1:4" ht="19.95" customHeight="1" x14ac:dyDescent="0.25">
      <c r="A1579" s="17" t="s">
        <v>19</v>
      </c>
      <c r="B1579" s="18" t="s">
        <v>42</v>
      </c>
      <c r="C1579" s="18">
        <v>10.4541058171845</v>
      </c>
      <c r="D1579" s="18">
        <v>2016</v>
      </c>
    </row>
    <row r="1580" spans="1:4" ht="19.95" customHeight="1" x14ac:dyDescent="0.25">
      <c r="A1580" s="17" t="s">
        <v>20</v>
      </c>
      <c r="B1580" s="18" t="s">
        <v>42</v>
      </c>
      <c r="C1580" s="18">
        <v>1.45270702675029</v>
      </c>
      <c r="D1580" s="18">
        <v>2016</v>
      </c>
    </row>
    <row r="1581" spans="1:4" ht="19.95" customHeight="1" x14ac:dyDescent="0.25">
      <c r="A1581" s="17" t="s">
        <v>21</v>
      </c>
      <c r="B1581" s="18" t="s">
        <v>42</v>
      </c>
      <c r="C1581" s="18">
        <v>5.8691928491103198</v>
      </c>
      <c r="D1581" s="18">
        <v>2016</v>
      </c>
    </row>
    <row r="1582" spans="1:4" ht="19.95" customHeight="1" x14ac:dyDescent="0.25">
      <c r="A1582" s="17" t="s">
        <v>22</v>
      </c>
      <c r="B1582" s="18" t="s">
        <v>42</v>
      </c>
      <c r="C1582" s="18">
        <v>4.0688961425550803</v>
      </c>
      <c r="D1582" s="18">
        <v>2016</v>
      </c>
    </row>
    <row r="1583" spans="1:4" ht="19.95" customHeight="1" x14ac:dyDescent="0.25">
      <c r="A1583" s="17" t="s">
        <v>23</v>
      </c>
      <c r="B1583" s="18" t="s">
        <v>42</v>
      </c>
      <c r="C1583" s="18">
        <v>-1.6000000000000101</v>
      </c>
      <c r="D1583" s="18">
        <v>2016</v>
      </c>
    </row>
    <row r="1584" spans="1:4" ht="19.95" customHeight="1" x14ac:dyDescent="0.25">
      <c r="A1584" s="17" t="s">
        <v>24</v>
      </c>
      <c r="B1584" s="18" t="s">
        <v>42</v>
      </c>
      <c r="C1584" s="18">
        <v>4.1799902356671801</v>
      </c>
      <c r="D1584" s="18">
        <v>2016</v>
      </c>
    </row>
    <row r="1585" spans="1:4" ht="19.95" customHeight="1" x14ac:dyDescent="0.25">
      <c r="A1585" s="17" t="s">
        <v>25</v>
      </c>
      <c r="B1585" s="18" t="s">
        <v>42</v>
      </c>
      <c r="C1585" s="18">
        <v>2.4840406264186798</v>
      </c>
      <c r="D1585" s="18">
        <v>2016</v>
      </c>
    </row>
    <row r="1586" spans="1:4" ht="19.95" customHeight="1" x14ac:dyDescent="0.25">
      <c r="A1586" s="17" t="s">
        <v>26</v>
      </c>
      <c r="B1586" s="18" t="s">
        <v>42</v>
      </c>
      <c r="C1586" s="18">
        <v>5.7999999950521204</v>
      </c>
      <c r="D1586" s="18">
        <v>2016</v>
      </c>
    </row>
    <row r="1587" spans="1:4" ht="19.95" customHeight="1" x14ac:dyDescent="0.25">
      <c r="A1587" s="17" t="s">
        <v>27</v>
      </c>
      <c r="B1587" s="18" t="s">
        <v>42</v>
      </c>
      <c r="C1587" s="18">
        <v>4.4999999656168903</v>
      </c>
      <c r="D1587" s="18">
        <v>2016</v>
      </c>
    </row>
    <row r="1588" spans="1:4" ht="19.95" customHeight="1" x14ac:dyDescent="0.25">
      <c r="A1588" s="17" t="s">
        <v>28</v>
      </c>
      <c r="B1588" s="18" t="s">
        <v>42</v>
      </c>
      <c r="C1588" s="18">
        <v>3.7629430392301702</v>
      </c>
      <c r="D1588" s="18">
        <v>2016</v>
      </c>
    </row>
    <row r="1589" spans="1:4" ht="19.95" customHeight="1" x14ac:dyDescent="0.25">
      <c r="A1589" s="17" t="s">
        <v>29</v>
      </c>
      <c r="B1589" s="18" t="s">
        <v>42</v>
      </c>
      <c r="C1589" s="18">
        <v>5.8719822263758203</v>
      </c>
      <c r="D1589" s="18">
        <v>2016</v>
      </c>
    </row>
    <row r="1590" spans="1:4" ht="19.95" customHeight="1" x14ac:dyDescent="0.25">
      <c r="A1590" s="17" t="s">
        <v>31</v>
      </c>
      <c r="B1590" s="18" t="s">
        <v>42</v>
      </c>
      <c r="C1590" s="18">
        <v>0.41289187687314699</v>
      </c>
      <c r="D1590" s="18">
        <v>2016</v>
      </c>
    </row>
    <row r="1591" spans="1:4" ht="19.95" customHeight="1" x14ac:dyDescent="0.25">
      <c r="A1591" s="17" t="s">
        <v>32</v>
      </c>
      <c r="B1591" s="18" t="s">
        <v>42</v>
      </c>
      <c r="C1591" s="18">
        <v>4.6587591916021296</v>
      </c>
      <c r="D1591" s="18">
        <v>2016</v>
      </c>
    </row>
    <row r="1592" spans="1:4" ht="19.95" customHeight="1" x14ac:dyDescent="0.25">
      <c r="A1592" s="17" t="s">
        <v>33</v>
      </c>
      <c r="B1592" s="18" t="s">
        <v>42</v>
      </c>
      <c r="C1592" s="18">
        <v>4.92571448640469</v>
      </c>
      <c r="D1592" s="18">
        <v>2016</v>
      </c>
    </row>
    <row r="1593" spans="1:4" ht="19.95" customHeight="1" x14ac:dyDescent="0.25">
      <c r="A1593" s="17" t="s">
        <v>34</v>
      </c>
      <c r="B1593" s="18" t="s">
        <v>42</v>
      </c>
      <c r="C1593" s="18">
        <v>5.98131491296596</v>
      </c>
      <c r="D1593" s="18">
        <v>2016</v>
      </c>
    </row>
    <row r="1594" spans="1:4" ht="19.95" customHeight="1" x14ac:dyDescent="0.25">
      <c r="A1594" s="17" t="s">
        <v>35</v>
      </c>
      <c r="B1594" s="18" t="s">
        <v>42</v>
      </c>
      <c r="C1594" s="18">
        <v>4.1792092680181998</v>
      </c>
      <c r="D1594" s="18">
        <v>2016</v>
      </c>
    </row>
    <row r="1595" spans="1:4" ht="19.95" customHeight="1" x14ac:dyDescent="0.25">
      <c r="A1595" s="17" t="s">
        <v>2</v>
      </c>
      <c r="B1595" s="18" t="s">
        <v>42</v>
      </c>
      <c r="C1595" s="18">
        <v>4.4688296883747798</v>
      </c>
      <c r="D1595" s="18">
        <v>2016</v>
      </c>
    </row>
    <row r="1596" spans="1:4" ht="19.95" customHeight="1" x14ac:dyDescent="0.25">
      <c r="A1596" s="17" t="s">
        <v>36</v>
      </c>
      <c r="B1596" s="18" t="s">
        <v>42</v>
      </c>
      <c r="C1596" s="18">
        <v>6.9000014547358903</v>
      </c>
      <c r="D1596" s="18">
        <v>2016</v>
      </c>
    </row>
    <row r="1597" spans="1:4" ht="19.95" customHeight="1" x14ac:dyDescent="0.25">
      <c r="A1597" s="17" t="s">
        <v>37</v>
      </c>
      <c r="B1597" s="18" t="s">
        <v>42</v>
      </c>
      <c r="C1597" s="18">
        <v>6.9681294933237004</v>
      </c>
      <c r="D1597" s="18">
        <v>2016</v>
      </c>
    </row>
    <row r="1598" spans="1:4" ht="19.95" customHeight="1" x14ac:dyDescent="0.25">
      <c r="A1598" s="17" t="s">
        <v>38</v>
      </c>
      <c r="B1598" s="18" t="s">
        <v>42</v>
      </c>
      <c r="C1598" s="18">
        <v>4.6565755980861496</v>
      </c>
      <c r="D1598" s="18">
        <v>2016</v>
      </c>
    </row>
    <row r="1599" spans="1:4" ht="19.95" customHeight="1" x14ac:dyDescent="0.25">
      <c r="A1599" s="17" t="s">
        <v>39</v>
      </c>
      <c r="B1599" s="18" t="s">
        <v>42</v>
      </c>
      <c r="C1599" s="18">
        <v>3.7571778047637401</v>
      </c>
      <c r="D1599" s="18">
        <v>2016</v>
      </c>
    </row>
    <row r="1600" spans="1:4" ht="19.95" customHeight="1" x14ac:dyDescent="0.25">
      <c r="A1600" s="17" t="s">
        <v>40</v>
      </c>
      <c r="B1600" s="18" t="s">
        <v>42</v>
      </c>
      <c r="C1600" s="18">
        <v>0.615713754356918</v>
      </c>
      <c r="D1600" s="18">
        <v>2016</v>
      </c>
    </row>
    <row r="1601" spans="1:4" ht="19.95" customHeight="1" x14ac:dyDescent="0.25">
      <c r="A1601" s="17" t="s">
        <v>10</v>
      </c>
      <c r="B1601" s="18" t="s">
        <v>42</v>
      </c>
      <c r="C1601" s="18">
        <v>0.51913901039000598</v>
      </c>
      <c r="D1601" s="18">
        <v>2017</v>
      </c>
    </row>
    <row r="1602" spans="1:4" ht="19.95" customHeight="1" x14ac:dyDescent="0.25">
      <c r="A1602" s="17" t="s">
        <v>13</v>
      </c>
      <c r="B1602" s="18" t="s">
        <v>42</v>
      </c>
      <c r="C1602" s="18">
        <v>3.1770847058806302</v>
      </c>
      <c r="D1602" s="18">
        <v>2017</v>
      </c>
    </row>
    <row r="1603" spans="1:4" ht="19.95" customHeight="1" x14ac:dyDescent="0.25">
      <c r="A1603" s="17" t="s">
        <v>16</v>
      </c>
      <c r="B1603" s="18" t="s">
        <v>42</v>
      </c>
      <c r="C1603" s="18">
        <v>-2.9537715489237302</v>
      </c>
      <c r="D1603" s="18">
        <v>2017</v>
      </c>
    </row>
    <row r="1604" spans="1:4" ht="19.95" customHeight="1" x14ac:dyDescent="0.25">
      <c r="A1604" s="17" t="s">
        <v>15</v>
      </c>
      <c r="B1604" s="18" t="s">
        <v>42</v>
      </c>
      <c r="C1604" s="18">
        <v>2.4999999999999898</v>
      </c>
      <c r="D1604" s="18">
        <v>2017</v>
      </c>
    </row>
    <row r="1605" spans="1:4" ht="19.95" customHeight="1" x14ac:dyDescent="0.25">
      <c r="A1605" s="17" t="s">
        <v>17</v>
      </c>
      <c r="B1605" s="18" t="s">
        <v>42</v>
      </c>
      <c r="C1605" s="18">
        <v>4.0902636277002697</v>
      </c>
      <c r="D1605" s="18">
        <v>2017</v>
      </c>
    </row>
    <row r="1606" spans="1:4" ht="19.95" customHeight="1" x14ac:dyDescent="0.25">
      <c r="A1606" s="17" t="s">
        <v>18</v>
      </c>
      <c r="B1606" s="18" t="s">
        <v>42</v>
      </c>
      <c r="C1606" s="18">
        <v>10.245810850259</v>
      </c>
      <c r="D1606" s="18">
        <v>2017</v>
      </c>
    </row>
    <row r="1607" spans="1:4" ht="19.95" customHeight="1" x14ac:dyDescent="0.25">
      <c r="A1607" s="17" t="s">
        <v>19</v>
      </c>
      <c r="B1607" s="18" t="s">
        <v>42</v>
      </c>
      <c r="C1607" s="18">
        <v>8.2498442298828305</v>
      </c>
      <c r="D1607" s="18">
        <v>2017</v>
      </c>
    </row>
    <row r="1608" spans="1:4" ht="19.95" customHeight="1" x14ac:dyDescent="0.25">
      <c r="A1608" s="17" t="s">
        <v>20</v>
      </c>
      <c r="B1608" s="18" t="s">
        <v>42</v>
      </c>
      <c r="C1608" s="18">
        <v>1.17327950545638</v>
      </c>
      <c r="D1608" s="18">
        <v>2017</v>
      </c>
    </row>
    <row r="1609" spans="1:4" ht="19.95" customHeight="1" x14ac:dyDescent="0.25">
      <c r="A1609" s="17" t="s">
        <v>21</v>
      </c>
      <c r="B1609" s="18" t="s">
        <v>42</v>
      </c>
      <c r="C1609" s="18">
        <v>4.8854444803254999</v>
      </c>
      <c r="D1609" s="18">
        <v>2017</v>
      </c>
    </row>
    <row r="1610" spans="1:4" ht="19.95" customHeight="1" x14ac:dyDescent="0.25">
      <c r="A1610" s="17" t="s">
        <v>22</v>
      </c>
      <c r="B1610" s="18" t="s">
        <v>42</v>
      </c>
      <c r="C1610" s="18">
        <v>4.46609985599589</v>
      </c>
      <c r="D1610" s="18">
        <v>2017</v>
      </c>
    </row>
    <row r="1611" spans="1:4" ht="19.95" customHeight="1" x14ac:dyDescent="0.25">
      <c r="A1611" s="17" t="s">
        <v>23</v>
      </c>
      <c r="B1611" s="18" t="s">
        <v>42</v>
      </c>
      <c r="C1611" s="18">
        <v>2.4545964367369799</v>
      </c>
      <c r="D1611" s="18">
        <v>2017</v>
      </c>
    </row>
    <row r="1612" spans="1:4" ht="19.95" customHeight="1" x14ac:dyDescent="0.25">
      <c r="A1612" s="17" t="s">
        <v>24</v>
      </c>
      <c r="B1612" s="18" t="s">
        <v>42</v>
      </c>
      <c r="C1612" s="18">
        <v>4.1707947658651303</v>
      </c>
      <c r="D1612" s="18">
        <v>2017</v>
      </c>
    </row>
    <row r="1613" spans="1:4" ht="19.95" customHeight="1" x14ac:dyDescent="0.25">
      <c r="A1613" s="17" t="s">
        <v>25</v>
      </c>
      <c r="B1613" s="18" t="s">
        <v>42</v>
      </c>
      <c r="C1613" s="18">
        <v>4.00003051653042</v>
      </c>
      <c r="D1613" s="18">
        <v>2017</v>
      </c>
    </row>
    <row r="1614" spans="1:4" ht="19.95" customHeight="1" x14ac:dyDescent="0.25">
      <c r="A1614" s="17" t="s">
        <v>26</v>
      </c>
      <c r="B1614" s="18" t="s">
        <v>42</v>
      </c>
      <c r="C1614" s="18">
        <v>5.2999999996793603</v>
      </c>
      <c r="D1614" s="18">
        <v>2017</v>
      </c>
    </row>
    <row r="1615" spans="1:4" ht="19.95" customHeight="1" x14ac:dyDescent="0.25">
      <c r="A1615" s="17" t="s">
        <v>27</v>
      </c>
      <c r="B1615" s="18" t="s">
        <v>42</v>
      </c>
      <c r="C1615" s="18">
        <v>4.4999998997969497</v>
      </c>
      <c r="D1615" s="18">
        <v>2017</v>
      </c>
    </row>
    <row r="1616" spans="1:4" ht="19.95" customHeight="1" x14ac:dyDescent="0.25">
      <c r="A1616" s="17" t="s">
        <v>28</v>
      </c>
      <c r="B1616" s="18" t="s">
        <v>42</v>
      </c>
      <c r="C1616" s="18">
        <v>3.7106974241939001</v>
      </c>
      <c r="D1616" s="18">
        <v>2017</v>
      </c>
    </row>
    <row r="1617" spans="1:4" ht="19.95" customHeight="1" x14ac:dyDescent="0.25">
      <c r="A1617" s="17" t="s">
        <v>29</v>
      </c>
      <c r="B1617" s="18" t="s">
        <v>42</v>
      </c>
      <c r="C1617" s="18">
        <v>6.36884052643458</v>
      </c>
      <c r="D1617" s="18">
        <v>2017</v>
      </c>
    </row>
    <row r="1618" spans="1:4" ht="19.95" customHeight="1" x14ac:dyDescent="0.25">
      <c r="A1618" s="17" t="s">
        <v>31</v>
      </c>
      <c r="B1618" s="18" t="s">
        <v>42</v>
      </c>
      <c r="C1618" s="18">
        <v>7.4994022885534397</v>
      </c>
      <c r="D1618" s="18">
        <v>2017</v>
      </c>
    </row>
    <row r="1619" spans="1:4" ht="19.95" customHeight="1" x14ac:dyDescent="0.25">
      <c r="A1619" s="17" t="s">
        <v>32</v>
      </c>
      <c r="B1619" s="18" t="s">
        <v>42</v>
      </c>
      <c r="C1619" s="18">
        <v>4.8610949762172</v>
      </c>
      <c r="D1619" s="18">
        <v>2017</v>
      </c>
    </row>
    <row r="1620" spans="1:4" ht="19.95" customHeight="1" x14ac:dyDescent="0.25">
      <c r="A1620" s="17" t="s">
        <v>33</v>
      </c>
      <c r="B1620" s="18" t="s">
        <v>42</v>
      </c>
      <c r="C1620" s="18">
        <v>4.8945165911239004</v>
      </c>
      <c r="D1620" s="18">
        <v>2017</v>
      </c>
    </row>
    <row r="1621" spans="1:4" ht="19.95" customHeight="1" x14ac:dyDescent="0.25">
      <c r="A1621" s="17" t="s">
        <v>34</v>
      </c>
      <c r="B1621" s="18" t="s">
        <v>42</v>
      </c>
      <c r="C1621" s="18">
        <v>6.1005940483540799</v>
      </c>
      <c r="D1621" s="18">
        <v>2017</v>
      </c>
    </row>
    <row r="1622" spans="1:4" ht="19.95" customHeight="1" x14ac:dyDescent="0.25">
      <c r="A1622" s="17" t="s">
        <v>35</v>
      </c>
      <c r="B1622" s="18" t="s">
        <v>42</v>
      </c>
      <c r="C1622" s="18">
        <v>3.8749602212071501</v>
      </c>
      <c r="D1622" s="18">
        <v>2017</v>
      </c>
    </row>
    <row r="1623" spans="1:4" ht="19.95" customHeight="1" x14ac:dyDescent="0.25">
      <c r="A1623" s="17" t="s">
        <v>2</v>
      </c>
      <c r="B1623" s="18" t="s">
        <v>42</v>
      </c>
      <c r="C1623" s="18">
        <v>3.1125580949443301</v>
      </c>
      <c r="D1623" s="18">
        <v>2017</v>
      </c>
    </row>
    <row r="1624" spans="1:4" ht="19.95" customHeight="1" x14ac:dyDescent="0.25">
      <c r="A1624" s="17" t="s">
        <v>36</v>
      </c>
      <c r="B1624" s="18" t="s">
        <v>42</v>
      </c>
      <c r="C1624" s="18">
        <v>7.1000007076357701</v>
      </c>
      <c r="D1624" s="18">
        <v>2017</v>
      </c>
    </row>
    <row r="1625" spans="1:4" ht="19.95" customHeight="1" x14ac:dyDescent="0.25">
      <c r="A1625" s="17" t="s">
        <v>37</v>
      </c>
      <c r="B1625" s="18" t="s">
        <v>42</v>
      </c>
      <c r="C1625" s="18">
        <v>7.1041612647215304</v>
      </c>
      <c r="D1625" s="18">
        <v>2017</v>
      </c>
    </row>
    <row r="1626" spans="1:4" ht="19.95" customHeight="1" x14ac:dyDescent="0.25">
      <c r="A1626" s="17" t="s">
        <v>38</v>
      </c>
      <c r="B1626" s="18" t="s">
        <v>42</v>
      </c>
      <c r="C1626" s="18">
        <v>3.9647798883388798</v>
      </c>
      <c r="D1626" s="18">
        <v>2017</v>
      </c>
    </row>
    <row r="1627" spans="1:4" ht="19.95" customHeight="1" x14ac:dyDescent="0.25">
      <c r="A1627" s="17" t="s">
        <v>39</v>
      </c>
      <c r="B1627" s="18" t="s">
        <v>42</v>
      </c>
      <c r="C1627" s="18">
        <v>4.0767154973014401</v>
      </c>
      <c r="D1627" s="18">
        <v>2017</v>
      </c>
    </row>
    <row r="1628" spans="1:4" ht="19.95" customHeight="1" x14ac:dyDescent="0.25">
      <c r="A1628" s="17" t="s">
        <v>40</v>
      </c>
      <c r="B1628" s="18" t="s">
        <v>42</v>
      </c>
      <c r="C1628" s="18">
        <v>3.4470951447746399</v>
      </c>
      <c r="D1628" s="18">
        <v>2017</v>
      </c>
    </row>
  </sheetData>
  <mergeCells count="2">
    <mergeCell ref="G2:K2"/>
    <mergeCell ref="J4:K4"/>
  </mergeCells>
  <phoneticPr fontId="14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0</xdr:colOff>
                    <xdr:row>5</xdr:row>
                    <xdr:rowOff>7620</xdr:rowOff>
                  </from>
                  <to>
                    <xdr:col>5</xdr:col>
                    <xdr:colOff>1013460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fficher">
                <anchor moveWithCells="1" sizeWithCells="1">
                  <from>
                    <xdr:col>5</xdr:col>
                    <xdr:colOff>7620</xdr:colOff>
                    <xdr:row>3</xdr:row>
                    <xdr:rowOff>22860</xdr:rowOff>
                  </from>
                  <to>
                    <xdr:col>5</xdr:col>
                    <xdr:colOff>1013460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omite 1">
              <controlPr defaultSize="0" print="0" autoFill="0" autoPict="0" macro="[0]!SelectSheet">
                <anchor moveWithCells="1" sizeWithCells="1">
                  <from>
                    <xdr:col>5</xdr:col>
                    <xdr:colOff>7620</xdr:colOff>
                    <xdr:row>7</xdr:row>
                    <xdr:rowOff>60960</xdr:rowOff>
                  </from>
                  <to>
                    <xdr:col>5</xdr:col>
                    <xdr:colOff>1021080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AL1628"/>
  <sheetViews>
    <sheetView showGridLines="0" topLeftCell="I1" zoomScale="80" zoomScaleNormal="80" workbookViewId="0">
      <selection activeCell="G2" sqref="G2:K2"/>
    </sheetView>
  </sheetViews>
  <sheetFormatPr defaultColWidth="8" defaultRowHeight="19.95" customHeight="1" x14ac:dyDescent="0.25"/>
  <cols>
    <col min="1" max="1" width="20.09765625" style="1" hidden="1" customWidth="1"/>
    <col min="2" max="2" width="40.5" style="1" hidden="1" customWidth="1"/>
    <col min="3" max="3" width="14.69921875" style="1" hidden="1" customWidth="1"/>
    <col min="4" max="4" width="8" style="1" hidden="1" customWidth="1"/>
    <col min="5" max="5" width="10.59765625" style="1" customWidth="1"/>
    <col min="6" max="6" width="14.5" style="1" customWidth="1"/>
    <col min="7" max="7" width="26.8984375" style="1" customWidth="1"/>
    <col min="8" max="8" width="78.5" style="1" customWidth="1"/>
    <col min="9" max="9" width="5.19921875" style="1" customWidth="1"/>
    <col min="10" max="10" width="13" style="1" bestFit="1" customWidth="1"/>
    <col min="11" max="11" width="16.59765625" style="1" bestFit="1" customWidth="1"/>
    <col min="12" max="12" width="11.19921875" style="1" bestFit="1" customWidth="1"/>
    <col min="13" max="15" width="10.19921875" style="1" bestFit="1" customWidth="1"/>
    <col min="16" max="17" width="11.19921875" style="1" bestFit="1" customWidth="1"/>
    <col min="18" max="18" width="10.19921875" style="1" bestFit="1" customWidth="1"/>
    <col min="19" max="19" width="11.19921875" style="1" bestFit="1" customWidth="1"/>
    <col min="20" max="21" width="10.19921875" style="1" bestFit="1" customWidth="1"/>
    <col min="22" max="22" width="11.69921875" style="1" bestFit="1" customWidth="1"/>
    <col min="23" max="24" width="11.19921875" style="1" bestFit="1" customWidth="1"/>
    <col min="25" max="25" width="10.19921875" style="1" bestFit="1" customWidth="1"/>
    <col min="26" max="26" width="12.59765625" style="1" bestFit="1" customWidth="1"/>
    <col min="27" max="27" width="10.19921875" style="1" bestFit="1" customWidth="1"/>
    <col min="28" max="31" width="11.19921875" style="1" bestFit="1" customWidth="1"/>
    <col min="32" max="32" width="21.69921875" style="1" bestFit="1" customWidth="1"/>
    <col min="33" max="33" width="11.19921875" style="1" bestFit="1" customWidth="1"/>
    <col min="34" max="34" width="10.19921875" style="1" bestFit="1" customWidth="1"/>
    <col min="35" max="37" width="11.19921875" style="1" bestFit="1" customWidth="1"/>
    <col min="38" max="38" width="10.19921875" style="1" bestFit="1" customWidth="1"/>
    <col min="39" max="39" width="12.59765625" style="1" bestFit="1" customWidth="1"/>
    <col min="40" max="16384" width="8" style="1"/>
  </cols>
  <sheetData>
    <row r="2" spans="1:38" ht="25.2" customHeight="1" x14ac:dyDescent="0.25">
      <c r="G2" s="43" t="s">
        <v>47</v>
      </c>
      <c r="H2" s="47"/>
      <c r="I2" s="47"/>
      <c r="J2" s="47"/>
      <c r="K2" s="47"/>
    </row>
    <row r="3" spans="1:38" ht="10.199999999999999" customHeight="1" x14ac:dyDescent="0.25">
      <c r="G3" s="5"/>
      <c r="H3" s="23"/>
      <c r="I3" s="23"/>
      <c r="J3" s="23"/>
      <c r="K3" s="23"/>
    </row>
    <row r="4" spans="1:38" ht="22.2" customHeight="1" thickBot="1" x14ac:dyDescent="0.3">
      <c r="A4" s="20" t="s">
        <v>4</v>
      </c>
      <c r="B4" s="20" t="s">
        <v>5</v>
      </c>
      <c r="C4" s="20" t="s">
        <v>6</v>
      </c>
      <c r="D4" s="20" t="s">
        <v>7</v>
      </c>
      <c r="H4" s="8" t="s">
        <v>8</v>
      </c>
      <c r="J4" s="44" t="s">
        <v>9</v>
      </c>
      <c r="K4" s="44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</row>
    <row r="5" spans="1:38" ht="19.95" customHeight="1" thickTop="1" x14ac:dyDescent="0.25">
      <c r="A5" s="21" t="s">
        <v>10</v>
      </c>
      <c r="B5" s="22" t="s">
        <v>43</v>
      </c>
      <c r="C5" s="22"/>
      <c r="D5" s="22">
        <v>1960</v>
      </c>
      <c r="J5" s="48" t="s">
        <v>12</v>
      </c>
      <c r="K5" s="48" t="s">
        <v>4</v>
      </c>
    </row>
    <row r="6" spans="1:38" ht="19.95" customHeight="1" x14ac:dyDescent="0.25">
      <c r="A6" s="21" t="s">
        <v>13</v>
      </c>
      <c r="B6" s="22" t="s">
        <v>44</v>
      </c>
      <c r="C6" s="22"/>
      <c r="D6" s="22">
        <v>1960</v>
      </c>
      <c r="J6" s="48" t="s">
        <v>7</v>
      </c>
      <c r="K6" s="52" t="s">
        <v>21</v>
      </c>
    </row>
    <row r="7" spans="1:38" ht="19.95" customHeight="1" x14ac:dyDescent="0.25">
      <c r="A7" s="21" t="s">
        <v>16</v>
      </c>
      <c r="B7" s="22" t="s">
        <v>44</v>
      </c>
      <c r="C7" s="22"/>
      <c r="D7" s="22">
        <v>1960</v>
      </c>
      <c r="J7" s="33">
        <v>1970</v>
      </c>
      <c r="K7" s="51">
        <v>37239000</v>
      </c>
    </row>
    <row r="8" spans="1:38" ht="19.95" customHeight="1" x14ac:dyDescent="0.25">
      <c r="A8" s="21" t="s">
        <v>15</v>
      </c>
      <c r="B8" s="22" t="s">
        <v>44</v>
      </c>
      <c r="C8" s="22"/>
      <c r="D8" s="22">
        <v>1960</v>
      </c>
      <c r="J8" s="31">
        <v>1971</v>
      </c>
      <c r="K8" s="49">
        <v>46779000</v>
      </c>
    </row>
    <row r="9" spans="1:38" ht="19.95" customHeight="1" x14ac:dyDescent="0.25">
      <c r="A9" s="21" t="s">
        <v>17</v>
      </c>
      <c r="B9" s="22" t="s">
        <v>44</v>
      </c>
      <c r="C9" s="22"/>
      <c r="D9" s="22">
        <v>1960</v>
      </c>
      <c r="J9" s="31">
        <v>1972</v>
      </c>
      <c r="K9" s="49">
        <v>76419000</v>
      </c>
    </row>
    <row r="10" spans="1:38" ht="19.95" customHeight="1" x14ac:dyDescent="0.25">
      <c r="A10" s="21" t="s">
        <v>18</v>
      </c>
      <c r="B10" s="22" t="s">
        <v>44</v>
      </c>
      <c r="C10" s="22"/>
      <c r="D10" s="22">
        <v>1960</v>
      </c>
      <c r="J10" s="31">
        <v>1973</v>
      </c>
      <c r="K10" s="49">
        <v>113195000</v>
      </c>
    </row>
    <row r="11" spans="1:38" ht="19.95" customHeight="1" x14ac:dyDescent="0.25">
      <c r="A11" s="21" t="s">
        <v>19</v>
      </c>
      <c r="B11" s="22" t="s">
        <v>44</v>
      </c>
      <c r="C11" s="22"/>
      <c r="D11" s="22">
        <v>1960</v>
      </c>
      <c r="J11" s="31">
        <v>1974</v>
      </c>
      <c r="K11" s="49">
        <v>136797000</v>
      </c>
    </row>
    <row r="12" spans="1:38" ht="19.95" customHeight="1" x14ac:dyDescent="0.25">
      <c r="A12" s="21" t="s">
        <v>20</v>
      </c>
      <c r="B12" s="22" t="s">
        <v>44</v>
      </c>
      <c r="C12" s="22"/>
      <c r="D12" s="22">
        <v>1960</v>
      </c>
      <c r="J12" s="31">
        <v>1975</v>
      </c>
      <c r="K12" s="49">
        <v>187125000</v>
      </c>
    </row>
    <row r="13" spans="1:38" ht="19.95" customHeight="1" x14ac:dyDescent="0.25">
      <c r="A13" s="21" t="s">
        <v>21</v>
      </c>
      <c r="B13" s="22" t="s">
        <v>44</v>
      </c>
      <c r="C13" s="22"/>
      <c r="D13" s="22">
        <v>1960</v>
      </c>
      <c r="J13" s="31">
        <v>1976</v>
      </c>
      <c r="K13" s="49">
        <v>264084000</v>
      </c>
    </row>
    <row r="14" spans="1:38" ht="19.95" customHeight="1" x14ac:dyDescent="0.25">
      <c r="A14" s="21" t="s">
        <v>22</v>
      </c>
      <c r="B14" s="22" t="s">
        <v>44</v>
      </c>
      <c r="C14" s="22"/>
      <c r="D14" s="22">
        <v>1960</v>
      </c>
      <c r="J14" s="31">
        <v>1977</v>
      </c>
      <c r="K14" s="49">
        <v>313743000</v>
      </c>
    </row>
    <row r="15" spans="1:38" ht="19.95" customHeight="1" x14ac:dyDescent="0.25">
      <c r="A15" s="21" t="s">
        <v>23</v>
      </c>
      <c r="B15" s="22" t="s">
        <v>44</v>
      </c>
      <c r="C15" s="22"/>
      <c r="D15" s="22">
        <v>1960</v>
      </c>
      <c r="J15" s="31">
        <v>1978</v>
      </c>
      <c r="K15" s="49">
        <v>368253000</v>
      </c>
    </row>
    <row r="16" spans="1:38" ht="19.95" customHeight="1" x14ac:dyDescent="0.25">
      <c r="A16" s="21" t="s">
        <v>24</v>
      </c>
      <c r="B16" s="22" t="s">
        <v>44</v>
      </c>
      <c r="C16" s="22"/>
      <c r="D16" s="22">
        <v>1960</v>
      </c>
      <c r="J16" s="31">
        <v>1979</v>
      </c>
      <c r="K16" s="49">
        <v>422638000</v>
      </c>
    </row>
    <row r="17" spans="1:11" ht="19.95" customHeight="1" x14ac:dyDescent="0.25">
      <c r="A17" s="21" t="s">
        <v>25</v>
      </c>
      <c r="B17" s="22" t="s">
        <v>44</v>
      </c>
      <c r="C17" s="22"/>
      <c r="D17" s="22">
        <v>1960</v>
      </c>
      <c r="J17" s="31">
        <v>1980</v>
      </c>
      <c r="K17" s="49">
        <v>528280000</v>
      </c>
    </row>
    <row r="18" spans="1:11" ht="19.95" customHeight="1" x14ac:dyDescent="0.25">
      <c r="A18" s="21" t="s">
        <v>26</v>
      </c>
      <c r="B18" s="22" t="s">
        <v>44</v>
      </c>
      <c r="C18" s="22"/>
      <c r="D18" s="22">
        <v>1960</v>
      </c>
      <c r="J18" s="31">
        <v>1981</v>
      </c>
      <c r="K18" s="49">
        <v>585511000</v>
      </c>
    </row>
    <row r="19" spans="1:11" ht="19.95" customHeight="1" x14ac:dyDescent="0.25">
      <c r="A19" s="21" t="s">
        <v>27</v>
      </c>
      <c r="B19" s="22" t="s">
        <v>44</v>
      </c>
      <c r="C19" s="22"/>
      <c r="D19" s="22">
        <v>1960</v>
      </c>
      <c r="J19" s="31">
        <v>1982</v>
      </c>
      <c r="K19" s="49">
        <v>742262000</v>
      </c>
    </row>
    <row r="20" spans="1:11" ht="22.2" customHeight="1" x14ac:dyDescent="0.25">
      <c r="A20" s="21" t="s">
        <v>28</v>
      </c>
      <c r="B20" s="22" t="s">
        <v>44</v>
      </c>
      <c r="C20" s="22"/>
      <c r="D20" s="22">
        <v>1960</v>
      </c>
      <c r="H20" s="4" t="s">
        <v>30</v>
      </c>
      <c r="J20" s="31">
        <v>1983</v>
      </c>
      <c r="K20" s="49">
        <v>840297000</v>
      </c>
    </row>
    <row r="21" spans="1:11" ht="19.95" customHeight="1" x14ac:dyDescent="0.25">
      <c r="A21" s="21" t="s">
        <v>29</v>
      </c>
      <c r="B21" s="22" t="s">
        <v>44</v>
      </c>
      <c r="C21" s="22"/>
      <c r="D21" s="22">
        <v>1960</v>
      </c>
      <c r="J21" s="31">
        <v>1984</v>
      </c>
      <c r="K21" s="49">
        <v>946065000</v>
      </c>
    </row>
    <row r="22" spans="1:11" ht="19.95" customHeight="1" x14ac:dyDescent="0.25">
      <c r="A22" s="21" t="s">
        <v>31</v>
      </c>
      <c r="B22" s="22" t="s">
        <v>44</v>
      </c>
      <c r="C22" s="22"/>
      <c r="D22" s="22">
        <v>1960</v>
      </c>
      <c r="J22" s="31">
        <v>1985</v>
      </c>
      <c r="K22" s="49">
        <v>1159344000</v>
      </c>
    </row>
    <row r="23" spans="1:11" ht="19.95" customHeight="1" x14ac:dyDescent="0.25">
      <c r="A23" s="21" t="s">
        <v>32</v>
      </c>
      <c r="B23" s="22" t="s">
        <v>44</v>
      </c>
      <c r="C23" s="22"/>
      <c r="D23" s="22">
        <v>1960</v>
      </c>
      <c r="J23" s="31">
        <v>1986</v>
      </c>
      <c r="K23" s="49">
        <v>1382122000</v>
      </c>
    </row>
    <row r="24" spans="1:11" ht="19.95" customHeight="1" x14ac:dyDescent="0.25">
      <c r="A24" s="21" t="s">
        <v>33</v>
      </c>
      <c r="B24" s="22" t="s">
        <v>44</v>
      </c>
      <c r="C24" s="22"/>
      <c r="D24" s="22">
        <v>1960</v>
      </c>
      <c r="J24" s="31">
        <v>1987</v>
      </c>
      <c r="K24" s="49">
        <v>1681417000</v>
      </c>
    </row>
    <row r="25" spans="1:11" ht="19.95" customHeight="1" x14ac:dyDescent="0.25">
      <c r="A25" s="21" t="s">
        <v>34</v>
      </c>
      <c r="B25" s="22" t="s">
        <v>44</v>
      </c>
      <c r="C25" s="22"/>
      <c r="D25" s="22">
        <v>1960</v>
      </c>
      <c r="J25" s="31">
        <v>1988</v>
      </c>
      <c r="K25" s="49">
        <v>1645746000</v>
      </c>
    </row>
    <row r="26" spans="1:11" ht="19.95" customHeight="1" x14ac:dyDescent="0.25">
      <c r="A26" s="21" t="s">
        <v>35</v>
      </c>
      <c r="B26" s="22" t="s">
        <v>44</v>
      </c>
      <c r="C26" s="22"/>
      <c r="D26" s="22">
        <v>1960</v>
      </c>
      <c r="J26" s="31">
        <v>1989</v>
      </c>
      <c r="K26" s="49">
        <v>1782109000</v>
      </c>
    </row>
    <row r="27" spans="1:11" ht="19.95" customHeight="1" x14ac:dyDescent="0.25">
      <c r="A27" s="21" t="s">
        <v>2</v>
      </c>
      <c r="B27" s="22" t="s">
        <v>44</v>
      </c>
      <c r="C27" s="22"/>
      <c r="D27" s="22">
        <v>1960</v>
      </c>
      <c r="J27" s="31">
        <v>1990</v>
      </c>
      <c r="K27" s="49">
        <v>2056036000</v>
      </c>
    </row>
    <row r="28" spans="1:11" ht="19.95" customHeight="1" x14ac:dyDescent="0.25">
      <c r="A28" s="21" t="s">
        <v>36</v>
      </c>
      <c r="B28" s="22" t="s">
        <v>44</v>
      </c>
      <c r="C28" s="22"/>
      <c r="D28" s="22">
        <v>1960</v>
      </c>
      <c r="J28" s="31">
        <v>1991</v>
      </c>
      <c r="K28" s="49">
        <v>2153454000</v>
      </c>
    </row>
    <row r="29" spans="1:11" ht="19.95" customHeight="1" x14ac:dyDescent="0.25">
      <c r="A29" s="21" t="s">
        <v>37</v>
      </c>
      <c r="B29" s="22" t="s">
        <v>44</v>
      </c>
      <c r="C29" s="22"/>
      <c r="D29" s="22">
        <v>1960</v>
      </c>
      <c r="J29" s="31">
        <v>1992</v>
      </c>
      <c r="K29" s="49">
        <v>2066801000</v>
      </c>
    </row>
    <row r="30" spans="1:11" ht="19.95" customHeight="1" x14ac:dyDescent="0.25">
      <c r="A30" s="21" t="s">
        <v>38</v>
      </c>
      <c r="B30" s="22" t="s">
        <v>44</v>
      </c>
      <c r="C30" s="22"/>
      <c r="D30" s="22">
        <v>1960</v>
      </c>
      <c r="J30" s="31">
        <v>1993</v>
      </c>
      <c r="K30" s="49">
        <v>2197331000</v>
      </c>
    </row>
    <row r="31" spans="1:11" ht="19.95" customHeight="1" x14ac:dyDescent="0.25">
      <c r="A31" s="21" t="s">
        <v>39</v>
      </c>
      <c r="B31" s="22" t="s">
        <v>44</v>
      </c>
      <c r="C31" s="22"/>
      <c r="D31" s="22">
        <v>1960</v>
      </c>
      <c r="J31" s="31">
        <v>1994</v>
      </c>
      <c r="K31" s="49">
        <v>2290075000</v>
      </c>
    </row>
    <row r="32" spans="1:11" ht="19.95" customHeight="1" x14ac:dyDescent="0.25">
      <c r="A32" s="21" t="s">
        <v>40</v>
      </c>
      <c r="B32" s="22" t="s">
        <v>44</v>
      </c>
      <c r="C32" s="22"/>
      <c r="D32" s="22">
        <v>1960</v>
      </c>
      <c r="J32" s="31">
        <v>1995</v>
      </c>
      <c r="K32" s="49">
        <v>2411887000</v>
      </c>
    </row>
    <row r="33" spans="1:11" ht="19.95" customHeight="1" x14ac:dyDescent="0.25">
      <c r="A33" s="17" t="s">
        <v>10</v>
      </c>
      <c r="B33" s="18" t="s">
        <v>44</v>
      </c>
      <c r="C33" s="18"/>
      <c r="D33" s="18">
        <v>1961</v>
      </c>
      <c r="J33" s="31">
        <v>1996</v>
      </c>
      <c r="K33" s="49">
        <v>2374843000</v>
      </c>
    </row>
    <row r="34" spans="1:11" ht="19.95" customHeight="1" x14ac:dyDescent="0.25">
      <c r="A34" s="17" t="s">
        <v>13</v>
      </c>
      <c r="B34" s="18" t="s">
        <v>44</v>
      </c>
      <c r="C34" s="18"/>
      <c r="D34" s="18">
        <v>1961</v>
      </c>
      <c r="J34" s="31">
        <v>1997</v>
      </c>
      <c r="K34" s="49">
        <v>2245323000</v>
      </c>
    </row>
    <row r="35" spans="1:11" ht="19.95" customHeight="1" x14ac:dyDescent="0.25">
      <c r="A35" s="17" t="s">
        <v>16</v>
      </c>
      <c r="B35" s="18" t="s">
        <v>44</v>
      </c>
      <c r="C35" s="18"/>
      <c r="D35" s="18">
        <v>1961</v>
      </c>
      <c r="J35" s="31">
        <v>1998</v>
      </c>
      <c r="K35" s="49">
        <v>2364431000</v>
      </c>
    </row>
    <row r="36" spans="1:11" ht="22.2" customHeight="1" x14ac:dyDescent="0.25">
      <c r="A36" s="17" t="s">
        <v>15</v>
      </c>
      <c r="B36" s="18" t="s">
        <v>44</v>
      </c>
      <c r="C36" s="18"/>
      <c r="D36" s="18">
        <v>1961</v>
      </c>
      <c r="J36" s="31">
        <v>1999</v>
      </c>
      <c r="K36" s="49">
        <v>2310621000</v>
      </c>
    </row>
    <row r="37" spans="1:11" ht="19.95" customHeight="1" x14ac:dyDescent="0.25">
      <c r="A37" s="17" t="s">
        <v>17</v>
      </c>
      <c r="B37" s="18" t="s">
        <v>44</v>
      </c>
      <c r="C37" s="18"/>
      <c r="D37" s="18">
        <v>1961</v>
      </c>
      <c r="J37" s="31">
        <v>2000</v>
      </c>
      <c r="K37" s="49">
        <v>2309409000</v>
      </c>
    </row>
    <row r="38" spans="1:11" ht="19.95" customHeight="1" x14ac:dyDescent="0.25">
      <c r="A38" s="17" t="s">
        <v>18</v>
      </c>
      <c r="B38" s="18" t="s">
        <v>44</v>
      </c>
      <c r="C38" s="18"/>
      <c r="D38" s="18">
        <v>1961</v>
      </c>
      <c r="J38" s="31">
        <v>2001</v>
      </c>
      <c r="K38" s="49">
        <v>2286842000</v>
      </c>
    </row>
    <row r="39" spans="1:11" ht="19.95" customHeight="1" x14ac:dyDescent="0.25">
      <c r="A39" s="17" t="s">
        <v>19</v>
      </c>
      <c r="B39" s="18" t="s">
        <v>44</v>
      </c>
      <c r="C39" s="18"/>
      <c r="D39" s="18">
        <v>1961</v>
      </c>
      <c r="J39" s="31">
        <v>2002</v>
      </c>
      <c r="K39" s="49">
        <v>2459856000</v>
      </c>
    </row>
    <row r="40" spans="1:11" ht="19.95" customHeight="1" x14ac:dyDescent="0.25">
      <c r="A40" s="17" t="s">
        <v>20</v>
      </c>
      <c r="B40" s="18" t="s">
        <v>44</v>
      </c>
      <c r="C40" s="18"/>
      <c r="D40" s="18">
        <v>1961</v>
      </c>
      <c r="J40" s="31">
        <v>2003</v>
      </c>
      <c r="K40" s="49">
        <v>2741964000</v>
      </c>
    </row>
    <row r="41" spans="1:11" ht="19.95" customHeight="1" x14ac:dyDescent="0.25">
      <c r="A41" s="17" t="s">
        <v>21</v>
      </c>
      <c r="B41" s="18" t="s">
        <v>44</v>
      </c>
      <c r="C41" s="18"/>
      <c r="D41" s="18">
        <v>1961</v>
      </c>
      <c r="J41" s="31">
        <v>2004</v>
      </c>
      <c r="K41" s="49">
        <v>2882726000</v>
      </c>
    </row>
    <row r="42" spans="1:11" ht="19.95" customHeight="1" x14ac:dyDescent="0.25">
      <c r="A42" s="17" t="s">
        <v>22</v>
      </c>
      <c r="B42" s="18" t="s">
        <v>44</v>
      </c>
      <c r="C42" s="18"/>
      <c r="D42" s="18">
        <v>1961</v>
      </c>
      <c r="J42" s="31">
        <v>2005</v>
      </c>
      <c r="K42" s="49">
        <v>2663224000</v>
      </c>
    </row>
    <row r="43" spans="1:11" ht="19.95" customHeight="1" x14ac:dyDescent="0.25">
      <c r="A43" s="17" t="s">
        <v>23</v>
      </c>
      <c r="B43" s="18" t="s">
        <v>44</v>
      </c>
      <c r="C43" s="18"/>
      <c r="D43" s="18">
        <v>1961</v>
      </c>
      <c r="J43" s="31">
        <v>2006</v>
      </c>
      <c r="K43" s="49">
        <v>2764089000</v>
      </c>
    </row>
    <row r="44" spans="1:11" ht="19.95" customHeight="1" x14ac:dyDescent="0.25">
      <c r="A44" s="17" t="s">
        <v>24</v>
      </c>
      <c r="B44" s="18" t="s">
        <v>44</v>
      </c>
      <c r="C44" s="18"/>
      <c r="D44" s="18">
        <v>1961</v>
      </c>
      <c r="J44" s="31">
        <v>2007</v>
      </c>
      <c r="K44" s="49">
        <v>2968119000</v>
      </c>
    </row>
    <row r="45" spans="1:11" ht="19.95" customHeight="1" x14ac:dyDescent="0.25">
      <c r="A45" s="17" t="s">
        <v>25</v>
      </c>
      <c r="B45" s="18" t="s">
        <v>44</v>
      </c>
      <c r="C45" s="18"/>
      <c r="D45" s="18">
        <v>1961</v>
      </c>
      <c r="J45" s="31">
        <v>2008</v>
      </c>
      <c r="K45" s="49">
        <v>3050475000</v>
      </c>
    </row>
    <row r="46" spans="1:11" ht="19.95" customHeight="1" x14ac:dyDescent="0.25">
      <c r="A46" s="17" t="s">
        <v>26</v>
      </c>
      <c r="B46" s="18" t="s">
        <v>44</v>
      </c>
      <c r="C46" s="18"/>
      <c r="D46" s="18">
        <v>1961</v>
      </c>
      <c r="J46" s="31">
        <v>2009</v>
      </c>
      <c r="K46" s="49">
        <v>3156096000</v>
      </c>
    </row>
    <row r="47" spans="1:11" ht="19.95" customHeight="1" x14ac:dyDescent="0.25">
      <c r="A47" s="17" t="s">
        <v>27</v>
      </c>
      <c r="B47" s="18" t="s">
        <v>44</v>
      </c>
      <c r="C47" s="18"/>
      <c r="D47" s="18">
        <v>1961</v>
      </c>
      <c r="J47" s="31">
        <v>2010</v>
      </c>
      <c r="K47" s="49">
        <v>3237614000</v>
      </c>
    </row>
    <row r="48" spans="1:11" ht="19.95" customHeight="1" x14ac:dyDescent="0.25">
      <c r="A48" s="17" t="s">
        <v>28</v>
      </c>
      <c r="B48" s="18" t="s">
        <v>44</v>
      </c>
      <c r="C48" s="18"/>
      <c r="D48" s="18">
        <v>1961</v>
      </c>
      <c r="J48" s="31">
        <v>2011</v>
      </c>
      <c r="K48" s="49">
        <v>3388428000</v>
      </c>
    </row>
    <row r="49" spans="1:11" ht="19.95" customHeight="1" x14ac:dyDescent="0.25">
      <c r="A49" s="17" t="s">
        <v>29</v>
      </c>
      <c r="B49" s="18" t="s">
        <v>44</v>
      </c>
      <c r="C49" s="18"/>
      <c r="D49" s="18">
        <v>1961</v>
      </c>
      <c r="J49" s="31">
        <v>2012</v>
      </c>
      <c r="K49" s="49">
        <v>3585785000</v>
      </c>
    </row>
    <row r="50" spans="1:11" ht="19.95" customHeight="1" x14ac:dyDescent="0.25">
      <c r="A50" s="17" t="s">
        <v>31</v>
      </c>
      <c r="B50" s="18" t="s">
        <v>44</v>
      </c>
      <c r="C50" s="18"/>
      <c r="D50" s="18">
        <v>1961</v>
      </c>
      <c r="J50" s="31">
        <v>2013</v>
      </c>
      <c r="K50" s="49">
        <v>3982522000</v>
      </c>
    </row>
    <row r="51" spans="1:11" ht="19.95" customHeight="1" x14ac:dyDescent="0.25">
      <c r="A51" s="17" t="s">
        <v>32</v>
      </c>
      <c r="B51" s="18" t="s">
        <v>44</v>
      </c>
      <c r="C51" s="18"/>
      <c r="D51" s="18">
        <v>1961</v>
      </c>
      <c r="J51" s="31">
        <v>2014</v>
      </c>
      <c r="K51" s="49">
        <v>4199127000</v>
      </c>
    </row>
    <row r="52" spans="1:11" ht="19.95" customHeight="1" x14ac:dyDescent="0.25">
      <c r="A52" s="17" t="s">
        <v>33</v>
      </c>
      <c r="B52" s="18" t="s">
        <v>44</v>
      </c>
      <c r="C52" s="18"/>
      <c r="D52" s="18">
        <v>1961</v>
      </c>
      <c r="J52" s="31">
        <v>2015</v>
      </c>
      <c r="K52" s="49">
        <v>4381759000</v>
      </c>
    </row>
    <row r="53" spans="1:11" ht="19.95" customHeight="1" x14ac:dyDescent="0.25">
      <c r="A53" s="17" t="s">
        <v>34</v>
      </c>
      <c r="B53" s="18" t="s">
        <v>44</v>
      </c>
      <c r="C53" s="18"/>
      <c r="D53" s="18">
        <v>1961</v>
      </c>
      <c r="J53" s="32">
        <v>2016</v>
      </c>
      <c r="K53" s="50">
        <v>4567712000</v>
      </c>
    </row>
    <row r="54" spans="1:11" ht="19.95" customHeight="1" x14ac:dyDescent="0.25">
      <c r="A54" s="17" t="s">
        <v>35</v>
      </c>
      <c r="B54" s="18" t="s">
        <v>44</v>
      </c>
      <c r="C54" s="18"/>
      <c r="D54" s="18">
        <v>1961</v>
      </c>
    </row>
    <row r="55" spans="1:11" ht="19.95" customHeight="1" x14ac:dyDescent="0.25">
      <c r="A55" s="17" t="s">
        <v>2</v>
      </c>
      <c r="B55" s="18" t="s">
        <v>44</v>
      </c>
      <c r="C55" s="18"/>
      <c r="D55" s="18">
        <v>1961</v>
      </c>
    </row>
    <row r="56" spans="1:11" ht="19.95" customHeight="1" x14ac:dyDescent="0.25">
      <c r="A56" s="17" t="s">
        <v>36</v>
      </c>
      <c r="B56" s="18" t="s">
        <v>44</v>
      </c>
      <c r="C56" s="18"/>
      <c r="D56" s="18">
        <v>1961</v>
      </c>
    </row>
    <row r="57" spans="1:11" ht="19.95" customHeight="1" x14ac:dyDescent="0.25">
      <c r="A57" s="17" t="s">
        <v>37</v>
      </c>
      <c r="B57" s="18" t="s">
        <v>44</v>
      </c>
      <c r="C57" s="18"/>
      <c r="D57" s="18">
        <v>1961</v>
      </c>
    </row>
    <row r="58" spans="1:11" ht="19.95" customHeight="1" x14ac:dyDescent="0.25">
      <c r="A58" s="17" t="s">
        <v>38</v>
      </c>
      <c r="B58" s="18" t="s">
        <v>44</v>
      </c>
      <c r="C58" s="18"/>
      <c r="D58" s="18">
        <v>1961</v>
      </c>
    </row>
    <row r="59" spans="1:11" ht="19.95" customHeight="1" x14ac:dyDescent="0.25">
      <c r="A59" s="17" t="s">
        <v>39</v>
      </c>
      <c r="B59" s="18" t="s">
        <v>44</v>
      </c>
      <c r="C59" s="18"/>
      <c r="D59" s="18">
        <v>1961</v>
      </c>
    </row>
    <row r="60" spans="1:11" ht="19.95" customHeight="1" x14ac:dyDescent="0.25">
      <c r="A60" s="17" t="s">
        <v>40</v>
      </c>
      <c r="B60" s="18" t="s">
        <v>44</v>
      </c>
      <c r="C60" s="18"/>
      <c r="D60" s="18">
        <v>1961</v>
      </c>
    </row>
    <row r="61" spans="1:11" ht="19.95" customHeight="1" x14ac:dyDescent="0.25">
      <c r="A61" s="17" t="s">
        <v>10</v>
      </c>
      <c r="B61" s="18" t="s">
        <v>44</v>
      </c>
      <c r="C61" s="18"/>
      <c r="D61" s="18">
        <v>1962</v>
      </c>
    </row>
    <row r="62" spans="1:11" ht="19.95" customHeight="1" x14ac:dyDescent="0.25">
      <c r="A62" s="17" t="s">
        <v>13</v>
      </c>
      <c r="B62" s="18" t="s">
        <v>44</v>
      </c>
      <c r="C62" s="18"/>
      <c r="D62" s="18">
        <v>1962</v>
      </c>
    </row>
    <row r="63" spans="1:11" ht="19.95" customHeight="1" x14ac:dyDescent="0.25">
      <c r="A63" s="17" t="s">
        <v>16</v>
      </c>
      <c r="B63" s="18" t="s">
        <v>44</v>
      </c>
      <c r="C63" s="18"/>
      <c r="D63" s="18">
        <v>1962</v>
      </c>
    </row>
    <row r="64" spans="1:11" ht="19.95" customHeight="1" x14ac:dyDescent="0.25">
      <c r="A64" s="17" t="s">
        <v>15</v>
      </c>
      <c r="B64" s="18" t="s">
        <v>44</v>
      </c>
      <c r="C64" s="18"/>
      <c r="D64" s="18">
        <v>1962</v>
      </c>
    </row>
    <row r="65" spans="1:4" ht="19.95" customHeight="1" x14ac:dyDescent="0.25">
      <c r="A65" s="17" t="s">
        <v>17</v>
      </c>
      <c r="B65" s="18" t="s">
        <v>44</v>
      </c>
      <c r="C65" s="18"/>
      <c r="D65" s="18">
        <v>1962</v>
      </c>
    </row>
    <row r="66" spans="1:4" ht="19.95" customHeight="1" x14ac:dyDescent="0.25">
      <c r="A66" s="17" t="s">
        <v>18</v>
      </c>
      <c r="B66" s="18" t="s">
        <v>44</v>
      </c>
      <c r="C66" s="18"/>
      <c r="D66" s="18">
        <v>1962</v>
      </c>
    </row>
    <row r="67" spans="1:4" ht="19.95" customHeight="1" x14ac:dyDescent="0.25">
      <c r="A67" s="17" t="s">
        <v>19</v>
      </c>
      <c r="B67" s="18" t="s">
        <v>44</v>
      </c>
      <c r="C67" s="18"/>
      <c r="D67" s="18">
        <v>1962</v>
      </c>
    </row>
    <row r="68" spans="1:4" ht="19.95" customHeight="1" x14ac:dyDescent="0.25">
      <c r="A68" s="17" t="s">
        <v>20</v>
      </c>
      <c r="B68" s="18" t="s">
        <v>44</v>
      </c>
      <c r="C68" s="18"/>
      <c r="D68" s="18">
        <v>1962</v>
      </c>
    </row>
    <row r="69" spans="1:4" ht="19.95" customHeight="1" x14ac:dyDescent="0.25">
      <c r="A69" s="17" t="s">
        <v>21</v>
      </c>
      <c r="B69" s="18" t="s">
        <v>44</v>
      </c>
      <c r="C69" s="18"/>
      <c r="D69" s="18">
        <v>1962</v>
      </c>
    </row>
    <row r="70" spans="1:4" ht="19.95" customHeight="1" x14ac:dyDescent="0.25">
      <c r="A70" s="17" t="s">
        <v>22</v>
      </c>
      <c r="B70" s="18" t="s">
        <v>44</v>
      </c>
      <c r="C70" s="18"/>
      <c r="D70" s="18">
        <v>1962</v>
      </c>
    </row>
    <row r="71" spans="1:4" ht="19.95" customHeight="1" x14ac:dyDescent="0.25">
      <c r="A71" s="17" t="s">
        <v>23</v>
      </c>
      <c r="B71" s="18" t="s">
        <v>44</v>
      </c>
      <c r="C71" s="18"/>
      <c r="D71" s="18">
        <v>1962</v>
      </c>
    </row>
    <row r="72" spans="1:4" ht="19.95" customHeight="1" x14ac:dyDescent="0.25">
      <c r="A72" s="17" t="s">
        <v>24</v>
      </c>
      <c r="B72" s="18" t="s">
        <v>44</v>
      </c>
      <c r="C72" s="18"/>
      <c r="D72" s="18">
        <v>1962</v>
      </c>
    </row>
    <row r="73" spans="1:4" ht="19.95" customHeight="1" x14ac:dyDescent="0.25">
      <c r="A73" s="17" t="s">
        <v>25</v>
      </c>
      <c r="B73" s="18" t="s">
        <v>44</v>
      </c>
      <c r="C73" s="18"/>
      <c r="D73" s="18">
        <v>1962</v>
      </c>
    </row>
    <row r="74" spans="1:4" ht="19.95" customHeight="1" x14ac:dyDescent="0.25">
      <c r="A74" s="17" t="s">
        <v>26</v>
      </c>
      <c r="B74" s="18" t="s">
        <v>44</v>
      </c>
      <c r="C74" s="18"/>
      <c r="D74" s="18">
        <v>1962</v>
      </c>
    </row>
    <row r="75" spans="1:4" ht="19.95" customHeight="1" x14ac:dyDescent="0.25">
      <c r="A75" s="17" t="s">
        <v>27</v>
      </c>
      <c r="B75" s="18" t="s">
        <v>44</v>
      </c>
      <c r="C75" s="18"/>
      <c r="D75" s="18">
        <v>1962</v>
      </c>
    </row>
    <row r="76" spans="1:4" ht="19.95" customHeight="1" x14ac:dyDescent="0.25">
      <c r="A76" s="17" t="s">
        <v>28</v>
      </c>
      <c r="B76" s="18" t="s">
        <v>44</v>
      </c>
      <c r="C76" s="18"/>
      <c r="D76" s="18">
        <v>1962</v>
      </c>
    </row>
    <row r="77" spans="1:4" ht="19.95" customHeight="1" x14ac:dyDescent="0.25">
      <c r="A77" s="17" t="s">
        <v>29</v>
      </c>
      <c r="B77" s="18" t="s">
        <v>44</v>
      </c>
      <c r="C77" s="18"/>
      <c r="D77" s="18">
        <v>1962</v>
      </c>
    </row>
    <row r="78" spans="1:4" ht="19.95" customHeight="1" x14ac:dyDescent="0.25">
      <c r="A78" s="17" t="s">
        <v>31</v>
      </c>
      <c r="B78" s="18" t="s">
        <v>44</v>
      </c>
      <c r="C78" s="18"/>
      <c r="D78" s="18">
        <v>1962</v>
      </c>
    </row>
    <row r="79" spans="1:4" ht="19.95" customHeight="1" x14ac:dyDescent="0.25">
      <c r="A79" s="17" t="s">
        <v>32</v>
      </c>
      <c r="B79" s="18" t="s">
        <v>44</v>
      </c>
      <c r="C79" s="18"/>
      <c r="D79" s="18">
        <v>1962</v>
      </c>
    </row>
    <row r="80" spans="1:4" ht="19.95" customHeight="1" x14ac:dyDescent="0.25">
      <c r="A80" s="17" t="s">
        <v>33</v>
      </c>
      <c r="B80" s="18" t="s">
        <v>44</v>
      </c>
      <c r="C80" s="18"/>
      <c r="D80" s="18">
        <v>1962</v>
      </c>
    </row>
    <row r="81" spans="1:4" ht="19.95" customHeight="1" x14ac:dyDescent="0.25">
      <c r="A81" s="17" t="s">
        <v>34</v>
      </c>
      <c r="B81" s="18" t="s">
        <v>44</v>
      </c>
      <c r="C81" s="18"/>
      <c r="D81" s="18">
        <v>1962</v>
      </c>
    </row>
    <row r="82" spans="1:4" ht="19.95" customHeight="1" x14ac:dyDescent="0.25">
      <c r="A82" s="17" t="s">
        <v>35</v>
      </c>
      <c r="B82" s="18" t="s">
        <v>44</v>
      </c>
      <c r="C82" s="18"/>
      <c r="D82" s="18">
        <v>1962</v>
      </c>
    </row>
    <row r="83" spans="1:4" ht="19.95" customHeight="1" x14ac:dyDescent="0.25">
      <c r="A83" s="17" t="s">
        <v>2</v>
      </c>
      <c r="B83" s="18" t="s">
        <v>44</v>
      </c>
      <c r="C83" s="18"/>
      <c r="D83" s="18">
        <v>1962</v>
      </c>
    </row>
    <row r="84" spans="1:4" ht="19.95" customHeight="1" x14ac:dyDescent="0.25">
      <c r="A84" s="17" t="s">
        <v>36</v>
      </c>
      <c r="B84" s="18" t="s">
        <v>44</v>
      </c>
      <c r="C84" s="18"/>
      <c r="D84" s="18">
        <v>1962</v>
      </c>
    </row>
    <row r="85" spans="1:4" ht="19.95" customHeight="1" x14ac:dyDescent="0.25">
      <c r="A85" s="17" t="s">
        <v>37</v>
      </c>
      <c r="B85" s="18" t="s">
        <v>44</v>
      </c>
      <c r="C85" s="18"/>
      <c r="D85" s="18">
        <v>1962</v>
      </c>
    </row>
    <row r="86" spans="1:4" ht="19.95" customHeight="1" x14ac:dyDescent="0.25">
      <c r="A86" s="17" t="s">
        <v>38</v>
      </c>
      <c r="B86" s="18" t="s">
        <v>44</v>
      </c>
      <c r="C86" s="18"/>
      <c r="D86" s="18">
        <v>1962</v>
      </c>
    </row>
    <row r="87" spans="1:4" ht="19.95" customHeight="1" x14ac:dyDescent="0.25">
      <c r="A87" s="17" t="s">
        <v>39</v>
      </c>
      <c r="B87" s="18" t="s">
        <v>44</v>
      </c>
      <c r="C87" s="18"/>
      <c r="D87" s="18">
        <v>1962</v>
      </c>
    </row>
    <row r="88" spans="1:4" ht="19.95" customHeight="1" x14ac:dyDescent="0.25">
      <c r="A88" s="17" t="s">
        <v>40</v>
      </c>
      <c r="B88" s="18" t="s">
        <v>44</v>
      </c>
      <c r="C88" s="18"/>
      <c r="D88" s="18">
        <v>1962</v>
      </c>
    </row>
    <row r="89" spans="1:4" ht="19.95" customHeight="1" x14ac:dyDescent="0.25">
      <c r="A89" s="17" t="s">
        <v>10</v>
      </c>
      <c r="B89" s="18" t="s">
        <v>44</v>
      </c>
      <c r="C89" s="18"/>
      <c r="D89" s="18">
        <v>1963</v>
      </c>
    </row>
    <row r="90" spans="1:4" ht="19.95" customHeight="1" x14ac:dyDescent="0.25">
      <c r="A90" s="17" t="s">
        <v>13</v>
      </c>
      <c r="B90" s="18" t="s">
        <v>44</v>
      </c>
      <c r="C90" s="18"/>
      <c r="D90" s="18">
        <v>1963</v>
      </c>
    </row>
    <row r="91" spans="1:4" ht="19.95" customHeight="1" x14ac:dyDescent="0.25">
      <c r="A91" s="17" t="s">
        <v>16</v>
      </c>
      <c r="B91" s="18" t="s">
        <v>44</v>
      </c>
      <c r="C91" s="18"/>
      <c r="D91" s="18">
        <v>1963</v>
      </c>
    </row>
    <row r="92" spans="1:4" ht="19.95" customHeight="1" x14ac:dyDescent="0.25">
      <c r="A92" s="17" t="s">
        <v>15</v>
      </c>
      <c r="B92" s="18" t="s">
        <v>44</v>
      </c>
      <c r="C92" s="18"/>
      <c r="D92" s="18">
        <v>1963</v>
      </c>
    </row>
    <row r="93" spans="1:4" ht="19.95" customHeight="1" x14ac:dyDescent="0.25">
      <c r="A93" s="17" t="s">
        <v>17</v>
      </c>
      <c r="B93" s="18" t="s">
        <v>44</v>
      </c>
      <c r="C93" s="18"/>
      <c r="D93" s="18">
        <v>1963</v>
      </c>
    </row>
    <row r="94" spans="1:4" ht="19.95" customHeight="1" x14ac:dyDescent="0.25">
      <c r="A94" s="17" t="s">
        <v>18</v>
      </c>
      <c r="B94" s="18" t="s">
        <v>44</v>
      </c>
      <c r="C94" s="18"/>
      <c r="D94" s="18">
        <v>1963</v>
      </c>
    </row>
    <row r="95" spans="1:4" ht="19.95" customHeight="1" x14ac:dyDescent="0.25">
      <c r="A95" s="17" t="s">
        <v>19</v>
      </c>
      <c r="B95" s="18" t="s">
        <v>44</v>
      </c>
      <c r="C95" s="18"/>
      <c r="D95" s="18">
        <v>1963</v>
      </c>
    </row>
    <row r="96" spans="1:4" ht="19.95" customHeight="1" x14ac:dyDescent="0.25">
      <c r="A96" s="17" t="s">
        <v>20</v>
      </c>
      <c r="B96" s="18" t="s">
        <v>44</v>
      </c>
      <c r="C96" s="18"/>
      <c r="D96" s="18">
        <v>1963</v>
      </c>
    </row>
    <row r="97" spans="1:4" ht="19.95" customHeight="1" x14ac:dyDescent="0.25">
      <c r="A97" s="17" t="s">
        <v>21</v>
      </c>
      <c r="B97" s="18" t="s">
        <v>44</v>
      </c>
      <c r="C97" s="18"/>
      <c r="D97" s="18">
        <v>1963</v>
      </c>
    </row>
    <row r="98" spans="1:4" ht="19.95" customHeight="1" x14ac:dyDescent="0.25">
      <c r="A98" s="17" t="s">
        <v>22</v>
      </c>
      <c r="B98" s="18" t="s">
        <v>44</v>
      </c>
      <c r="C98" s="18"/>
      <c r="D98" s="18">
        <v>1963</v>
      </c>
    </row>
    <row r="99" spans="1:4" ht="19.95" customHeight="1" x14ac:dyDescent="0.25">
      <c r="A99" s="17" t="s">
        <v>23</v>
      </c>
      <c r="B99" s="18" t="s">
        <v>44</v>
      </c>
      <c r="C99" s="18"/>
      <c r="D99" s="18">
        <v>1963</v>
      </c>
    </row>
    <row r="100" spans="1:4" ht="19.95" customHeight="1" x14ac:dyDescent="0.25">
      <c r="A100" s="17" t="s">
        <v>24</v>
      </c>
      <c r="B100" s="18" t="s">
        <v>44</v>
      </c>
      <c r="C100" s="18"/>
      <c r="D100" s="18">
        <v>1963</v>
      </c>
    </row>
    <row r="101" spans="1:4" ht="19.95" customHeight="1" x14ac:dyDescent="0.25">
      <c r="A101" s="17" t="s">
        <v>25</v>
      </c>
      <c r="B101" s="18" t="s">
        <v>44</v>
      </c>
      <c r="C101" s="18"/>
      <c r="D101" s="18">
        <v>1963</v>
      </c>
    </row>
    <row r="102" spans="1:4" ht="19.95" customHeight="1" x14ac:dyDescent="0.25">
      <c r="A102" s="17" t="s">
        <v>26</v>
      </c>
      <c r="B102" s="18" t="s">
        <v>44</v>
      </c>
      <c r="C102" s="18"/>
      <c r="D102" s="18">
        <v>1963</v>
      </c>
    </row>
    <row r="103" spans="1:4" ht="19.95" customHeight="1" x14ac:dyDescent="0.25">
      <c r="A103" s="17" t="s">
        <v>27</v>
      </c>
      <c r="B103" s="18" t="s">
        <v>44</v>
      </c>
      <c r="C103" s="18"/>
      <c r="D103" s="18">
        <v>1963</v>
      </c>
    </row>
    <row r="104" spans="1:4" ht="19.95" customHeight="1" x14ac:dyDescent="0.25">
      <c r="A104" s="17" t="s">
        <v>28</v>
      </c>
      <c r="B104" s="18" t="s">
        <v>44</v>
      </c>
      <c r="C104" s="18"/>
      <c r="D104" s="18">
        <v>1963</v>
      </c>
    </row>
    <row r="105" spans="1:4" ht="19.95" customHeight="1" x14ac:dyDescent="0.25">
      <c r="A105" s="17" t="s">
        <v>29</v>
      </c>
      <c r="B105" s="18" t="s">
        <v>44</v>
      </c>
      <c r="C105" s="18"/>
      <c r="D105" s="18">
        <v>1963</v>
      </c>
    </row>
    <row r="106" spans="1:4" ht="19.95" customHeight="1" x14ac:dyDescent="0.25">
      <c r="A106" s="17" t="s">
        <v>31</v>
      </c>
      <c r="B106" s="18" t="s">
        <v>44</v>
      </c>
      <c r="C106" s="18"/>
      <c r="D106" s="18">
        <v>1963</v>
      </c>
    </row>
    <row r="107" spans="1:4" ht="19.95" customHeight="1" x14ac:dyDescent="0.25">
      <c r="A107" s="17" t="s">
        <v>32</v>
      </c>
      <c r="B107" s="18" t="s">
        <v>44</v>
      </c>
      <c r="C107" s="18"/>
      <c r="D107" s="18">
        <v>1963</v>
      </c>
    </row>
    <row r="108" spans="1:4" ht="19.95" customHeight="1" x14ac:dyDescent="0.25">
      <c r="A108" s="17" t="s">
        <v>33</v>
      </c>
      <c r="B108" s="18" t="s">
        <v>44</v>
      </c>
      <c r="C108" s="18"/>
      <c r="D108" s="18">
        <v>1963</v>
      </c>
    </row>
    <row r="109" spans="1:4" ht="19.95" customHeight="1" x14ac:dyDescent="0.25">
      <c r="A109" s="17" t="s">
        <v>34</v>
      </c>
      <c r="B109" s="18" t="s">
        <v>44</v>
      </c>
      <c r="C109" s="18"/>
      <c r="D109" s="18">
        <v>1963</v>
      </c>
    </row>
    <row r="110" spans="1:4" ht="19.95" customHeight="1" x14ac:dyDescent="0.25">
      <c r="A110" s="17" t="s">
        <v>35</v>
      </c>
      <c r="B110" s="18" t="s">
        <v>44</v>
      </c>
      <c r="C110" s="18"/>
      <c r="D110" s="18">
        <v>1963</v>
      </c>
    </row>
    <row r="111" spans="1:4" ht="19.95" customHeight="1" x14ac:dyDescent="0.25">
      <c r="A111" s="17" t="s">
        <v>2</v>
      </c>
      <c r="B111" s="18" t="s">
        <v>44</v>
      </c>
      <c r="C111" s="18"/>
      <c r="D111" s="18">
        <v>1963</v>
      </c>
    </row>
    <row r="112" spans="1:4" ht="19.95" customHeight="1" x14ac:dyDescent="0.25">
      <c r="A112" s="17" t="s">
        <v>36</v>
      </c>
      <c r="B112" s="18" t="s">
        <v>44</v>
      </c>
      <c r="C112" s="18"/>
      <c r="D112" s="18">
        <v>1963</v>
      </c>
    </row>
    <row r="113" spans="1:4" ht="19.95" customHeight="1" x14ac:dyDescent="0.25">
      <c r="A113" s="17" t="s">
        <v>37</v>
      </c>
      <c r="B113" s="18" t="s">
        <v>44</v>
      </c>
      <c r="C113" s="18"/>
      <c r="D113" s="18">
        <v>1963</v>
      </c>
    </row>
    <row r="114" spans="1:4" ht="19.95" customHeight="1" x14ac:dyDescent="0.25">
      <c r="A114" s="17" t="s">
        <v>38</v>
      </c>
      <c r="B114" s="18" t="s">
        <v>44</v>
      </c>
      <c r="C114" s="18"/>
      <c r="D114" s="18">
        <v>1963</v>
      </c>
    </row>
    <row r="115" spans="1:4" ht="19.95" customHeight="1" x14ac:dyDescent="0.25">
      <c r="A115" s="17" t="s">
        <v>39</v>
      </c>
      <c r="B115" s="18" t="s">
        <v>44</v>
      </c>
      <c r="C115" s="18"/>
      <c r="D115" s="18">
        <v>1963</v>
      </c>
    </row>
    <row r="116" spans="1:4" ht="19.95" customHeight="1" x14ac:dyDescent="0.25">
      <c r="A116" s="17" t="s">
        <v>40</v>
      </c>
      <c r="B116" s="18" t="s">
        <v>44</v>
      </c>
      <c r="C116" s="18"/>
      <c r="D116" s="18">
        <v>1963</v>
      </c>
    </row>
    <row r="117" spans="1:4" ht="19.95" customHeight="1" x14ac:dyDescent="0.25">
      <c r="A117" s="17" t="s">
        <v>10</v>
      </c>
      <c r="B117" s="18" t="s">
        <v>44</v>
      </c>
      <c r="C117" s="18"/>
      <c r="D117" s="18">
        <v>1964</v>
      </c>
    </row>
    <row r="118" spans="1:4" ht="19.95" customHeight="1" x14ac:dyDescent="0.25">
      <c r="A118" s="17" t="s">
        <v>13</v>
      </c>
      <c r="B118" s="18" t="s">
        <v>44</v>
      </c>
      <c r="C118" s="18"/>
      <c r="D118" s="18">
        <v>1964</v>
      </c>
    </row>
    <row r="119" spans="1:4" ht="19.95" customHeight="1" x14ac:dyDescent="0.25">
      <c r="A119" s="17" t="s">
        <v>16</v>
      </c>
      <c r="B119" s="18" t="s">
        <v>44</v>
      </c>
      <c r="C119" s="18"/>
      <c r="D119" s="18">
        <v>1964</v>
      </c>
    </row>
    <row r="120" spans="1:4" ht="19.95" customHeight="1" x14ac:dyDescent="0.25">
      <c r="A120" s="17" t="s">
        <v>15</v>
      </c>
      <c r="B120" s="18" t="s">
        <v>44</v>
      </c>
      <c r="C120" s="18"/>
      <c r="D120" s="18">
        <v>1964</v>
      </c>
    </row>
    <row r="121" spans="1:4" ht="19.95" customHeight="1" x14ac:dyDescent="0.25">
      <c r="A121" s="17" t="s">
        <v>17</v>
      </c>
      <c r="B121" s="18" t="s">
        <v>44</v>
      </c>
      <c r="C121" s="18"/>
      <c r="D121" s="18">
        <v>1964</v>
      </c>
    </row>
    <row r="122" spans="1:4" ht="19.95" customHeight="1" x14ac:dyDescent="0.25">
      <c r="A122" s="17" t="s">
        <v>18</v>
      </c>
      <c r="B122" s="18" t="s">
        <v>44</v>
      </c>
      <c r="C122" s="18"/>
      <c r="D122" s="18">
        <v>1964</v>
      </c>
    </row>
    <row r="123" spans="1:4" ht="19.95" customHeight="1" x14ac:dyDescent="0.25">
      <c r="A123" s="17" t="s">
        <v>19</v>
      </c>
      <c r="B123" s="18" t="s">
        <v>44</v>
      </c>
      <c r="C123" s="18"/>
      <c r="D123" s="18">
        <v>1964</v>
      </c>
    </row>
    <row r="124" spans="1:4" ht="19.95" customHeight="1" x14ac:dyDescent="0.25">
      <c r="A124" s="17" t="s">
        <v>20</v>
      </c>
      <c r="B124" s="18" t="s">
        <v>44</v>
      </c>
      <c r="C124" s="18"/>
      <c r="D124" s="18">
        <v>1964</v>
      </c>
    </row>
    <row r="125" spans="1:4" ht="19.95" customHeight="1" x14ac:dyDescent="0.25">
      <c r="A125" s="17" t="s">
        <v>21</v>
      </c>
      <c r="B125" s="18" t="s">
        <v>44</v>
      </c>
      <c r="C125" s="18"/>
      <c r="D125" s="18">
        <v>1964</v>
      </c>
    </row>
    <row r="126" spans="1:4" ht="19.95" customHeight="1" x14ac:dyDescent="0.25">
      <c r="A126" s="17" t="s">
        <v>22</v>
      </c>
      <c r="B126" s="18" t="s">
        <v>44</v>
      </c>
      <c r="C126" s="18"/>
      <c r="D126" s="18">
        <v>1964</v>
      </c>
    </row>
    <row r="127" spans="1:4" ht="19.95" customHeight="1" x14ac:dyDescent="0.25">
      <c r="A127" s="17" t="s">
        <v>23</v>
      </c>
      <c r="B127" s="18" t="s">
        <v>44</v>
      </c>
      <c r="C127" s="18"/>
      <c r="D127" s="18">
        <v>1964</v>
      </c>
    </row>
    <row r="128" spans="1:4" ht="19.95" customHeight="1" x14ac:dyDescent="0.25">
      <c r="A128" s="17" t="s">
        <v>24</v>
      </c>
      <c r="B128" s="18" t="s">
        <v>44</v>
      </c>
      <c r="C128" s="18"/>
      <c r="D128" s="18">
        <v>1964</v>
      </c>
    </row>
    <row r="129" spans="1:4" ht="19.95" customHeight="1" x14ac:dyDescent="0.25">
      <c r="A129" s="17" t="s">
        <v>25</v>
      </c>
      <c r="B129" s="18" t="s">
        <v>44</v>
      </c>
      <c r="C129" s="18"/>
      <c r="D129" s="18">
        <v>1964</v>
      </c>
    </row>
    <row r="130" spans="1:4" ht="19.95" customHeight="1" x14ac:dyDescent="0.25">
      <c r="A130" s="17" t="s">
        <v>26</v>
      </c>
      <c r="B130" s="18" t="s">
        <v>44</v>
      </c>
      <c r="C130" s="18"/>
      <c r="D130" s="18">
        <v>1964</v>
      </c>
    </row>
    <row r="131" spans="1:4" ht="19.95" customHeight="1" x14ac:dyDescent="0.25">
      <c r="A131" s="17" t="s">
        <v>27</v>
      </c>
      <c r="B131" s="18" t="s">
        <v>44</v>
      </c>
      <c r="C131" s="18"/>
      <c r="D131" s="18">
        <v>1964</v>
      </c>
    </row>
    <row r="132" spans="1:4" ht="19.95" customHeight="1" x14ac:dyDescent="0.25">
      <c r="A132" s="17" t="s">
        <v>28</v>
      </c>
      <c r="B132" s="18" t="s">
        <v>44</v>
      </c>
      <c r="C132" s="18"/>
      <c r="D132" s="18">
        <v>1964</v>
      </c>
    </row>
    <row r="133" spans="1:4" ht="19.95" customHeight="1" x14ac:dyDescent="0.25">
      <c r="A133" s="17" t="s">
        <v>29</v>
      </c>
      <c r="B133" s="18" t="s">
        <v>44</v>
      </c>
      <c r="C133" s="18"/>
      <c r="D133" s="18">
        <v>1964</v>
      </c>
    </row>
    <row r="134" spans="1:4" ht="19.95" customHeight="1" x14ac:dyDescent="0.25">
      <c r="A134" s="17" t="s">
        <v>31</v>
      </c>
      <c r="B134" s="18" t="s">
        <v>44</v>
      </c>
      <c r="C134" s="18"/>
      <c r="D134" s="18">
        <v>1964</v>
      </c>
    </row>
    <row r="135" spans="1:4" ht="19.95" customHeight="1" x14ac:dyDescent="0.25">
      <c r="A135" s="17" t="s">
        <v>32</v>
      </c>
      <c r="B135" s="18" t="s">
        <v>44</v>
      </c>
      <c r="C135" s="18"/>
      <c r="D135" s="18">
        <v>1964</v>
      </c>
    </row>
    <row r="136" spans="1:4" ht="19.95" customHeight="1" x14ac:dyDescent="0.25">
      <c r="A136" s="17" t="s">
        <v>33</v>
      </c>
      <c r="B136" s="18" t="s">
        <v>44</v>
      </c>
      <c r="C136" s="18"/>
      <c r="D136" s="18">
        <v>1964</v>
      </c>
    </row>
    <row r="137" spans="1:4" ht="19.95" customHeight="1" x14ac:dyDescent="0.25">
      <c r="A137" s="17" t="s">
        <v>34</v>
      </c>
      <c r="B137" s="18" t="s">
        <v>44</v>
      </c>
      <c r="C137" s="18"/>
      <c r="D137" s="18">
        <v>1964</v>
      </c>
    </row>
    <row r="138" spans="1:4" ht="19.95" customHeight="1" x14ac:dyDescent="0.25">
      <c r="A138" s="17" t="s">
        <v>35</v>
      </c>
      <c r="B138" s="18" t="s">
        <v>44</v>
      </c>
      <c r="C138" s="18"/>
      <c r="D138" s="18">
        <v>1964</v>
      </c>
    </row>
    <row r="139" spans="1:4" ht="19.95" customHeight="1" x14ac:dyDescent="0.25">
      <c r="A139" s="17" t="s">
        <v>2</v>
      </c>
      <c r="B139" s="18" t="s">
        <v>44</v>
      </c>
      <c r="C139" s="18"/>
      <c r="D139" s="18">
        <v>1964</v>
      </c>
    </row>
    <row r="140" spans="1:4" ht="19.95" customHeight="1" x14ac:dyDescent="0.25">
      <c r="A140" s="17" t="s">
        <v>36</v>
      </c>
      <c r="B140" s="18" t="s">
        <v>44</v>
      </c>
      <c r="C140" s="18"/>
      <c r="D140" s="18">
        <v>1964</v>
      </c>
    </row>
    <row r="141" spans="1:4" ht="19.95" customHeight="1" x14ac:dyDescent="0.25">
      <c r="A141" s="17" t="s">
        <v>37</v>
      </c>
      <c r="B141" s="18" t="s">
        <v>44</v>
      </c>
      <c r="C141" s="18"/>
      <c r="D141" s="18">
        <v>1964</v>
      </c>
    </row>
    <row r="142" spans="1:4" ht="19.95" customHeight="1" x14ac:dyDescent="0.25">
      <c r="A142" s="17" t="s">
        <v>38</v>
      </c>
      <c r="B142" s="18" t="s">
        <v>44</v>
      </c>
      <c r="C142" s="18"/>
      <c r="D142" s="18">
        <v>1964</v>
      </c>
    </row>
    <row r="143" spans="1:4" ht="19.95" customHeight="1" x14ac:dyDescent="0.25">
      <c r="A143" s="17" t="s">
        <v>39</v>
      </c>
      <c r="B143" s="18" t="s">
        <v>44</v>
      </c>
      <c r="C143" s="18"/>
      <c r="D143" s="18">
        <v>1964</v>
      </c>
    </row>
    <row r="144" spans="1:4" ht="19.95" customHeight="1" x14ac:dyDescent="0.25">
      <c r="A144" s="17" t="s">
        <v>40</v>
      </c>
      <c r="B144" s="18" t="s">
        <v>44</v>
      </c>
      <c r="C144" s="18"/>
      <c r="D144" s="18">
        <v>1964</v>
      </c>
    </row>
    <row r="145" spans="1:4" ht="19.95" customHeight="1" x14ac:dyDescent="0.25">
      <c r="A145" s="17" t="s">
        <v>10</v>
      </c>
      <c r="B145" s="18" t="s">
        <v>44</v>
      </c>
      <c r="C145" s="18"/>
      <c r="D145" s="18">
        <v>1965</v>
      </c>
    </row>
    <row r="146" spans="1:4" ht="19.95" customHeight="1" x14ac:dyDescent="0.25">
      <c r="A146" s="17" t="s">
        <v>13</v>
      </c>
      <c r="B146" s="18" t="s">
        <v>44</v>
      </c>
      <c r="C146" s="18"/>
      <c r="D146" s="18">
        <v>1965</v>
      </c>
    </row>
    <row r="147" spans="1:4" ht="19.95" customHeight="1" x14ac:dyDescent="0.25">
      <c r="A147" s="17" t="s">
        <v>16</v>
      </c>
      <c r="B147" s="18" t="s">
        <v>44</v>
      </c>
      <c r="C147" s="18"/>
      <c r="D147" s="18">
        <v>1965</v>
      </c>
    </row>
    <row r="148" spans="1:4" ht="19.95" customHeight="1" x14ac:dyDescent="0.25">
      <c r="A148" s="17" t="s">
        <v>15</v>
      </c>
      <c r="B148" s="18" t="s">
        <v>44</v>
      </c>
      <c r="C148" s="18"/>
      <c r="D148" s="18">
        <v>1965</v>
      </c>
    </row>
    <row r="149" spans="1:4" ht="19.95" customHeight="1" x14ac:dyDescent="0.25">
      <c r="A149" s="17" t="s">
        <v>17</v>
      </c>
      <c r="B149" s="18" t="s">
        <v>44</v>
      </c>
      <c r="C149" s="18"/>
      <c r="D149" s="18">
        <v>1965</v>
      </c>
    </row>
    <row r="150" spans="1:4" ht="19.95" customHeight="1" x14ac:dyDescent="0.25">
      <c r="A150" s="17" t="s">
        <v>18</v>
      </c>
      <c r="B150" s="18" t="s">
        <v>44</v>
      </c>
      <c r="C150" s="18"/>
      <c r="D150" s="18">
        <v>1965</v>
      </c>
    </row>
    <row r="151" spans="1:4" ht="19.95" customHeight="1" x14ac:dyDescent="0.25">
      <c r="A151" s="17" t="s">
        <v>19</v>
      </c>
      <c r="B151" s="18" t="s">
        <v>44</v>
      </c>
      <c r="C151" s="18"/>
      <c r="D151" s="18">
        <v>1965</v>
      </c>
    </row>
    <row r="152" spans="1:4" ht="19.95" customHeight="1" x14ac:dyDescent="0.25">
      <c r="A152" s="17" t="s">
        <v>20</v>
      </c>
      <c r="B152" s="18" t="s">
        <v>44</v>
      </c>
      <c r="C152" s="18"/>
      <c r="D152" s="18">
        <v>1965</v>
      </c>
    </row>
    <row r="153" spans="1:4" ht="19.95" customHeight="1" x14ac:dyDescent="0.25">
      <c r="A153" s="17" t="s">
        <v>21</v>
      </c>
      <c r="B153" s="18" t="s">
        <v>44</v>
      </c>
      <c r="C153" s="18"/>
      <c r="D153" s="18">
        <v>1965</v>
      </c>
    </row>
    <row r="154" spans="1:4" ht="19.95" customHeight="1" x14ac:dyDescent="0.25">
      <c r="A154" s="17" t="s">
        <v>22</v>
      </c>
      <c r="B154" s="18" t="s">
        <v>44</v>
      </c>
      <c r="C154" s="18"/>
      <c r="D154" s="18">
        <v>1965</v>
      </c>
    </row>
    <row r="155" spans="1:4" ht="19.95" customHeight="1" x14ac:dyDescent="0.25">
      <c r="A155" s="17" t="s">
        <v>23</v>
      </c>
      <c r="B155" s="18" t="s">
        <v>44</v>
      </c>
      <c r="C155" s="18"/>
      <c r="D155" s="18">
        <v>1965</v>
      </c>
    </row>
    <row r="156" spans="1:4" ht="19.95" customHeight="1" x14ac:dyDescent="0.25">
      <c r="A156" s="17" t="s">
        <v>24</v>
      </c>
      <c r="B156" s="18" t="s">
        <v>44</v>
      </c>
      <c r="C156" s="18"/>
      <c r="D156" s="18">
        <v>1965</v>
      </c>
    </row>
    <row r="157" spans="1:4" ht="19.95" customHeight="1" x14ac:dyDescent="0.25">
      <c r="A157" s="17" t="s">
        <v>25</v>
      </c>
      <c r="B157" s="18" t="s">
        <v>44</v>
      </c>
      <c r="C157" s="18"/>
      <c r="D157" s="18">
        <v>1965</v>
      </c>
    </row>
    <row r="158" spans="1:4" ht="19.95" customHeight="1" x14ac:dyDescent="0.25">
      <c r="A158" s="17" t="s">
        <v>26</v>
      </c>
      <c r="B158" s="18" t="s">
        <v>44</v>
      </c>
      <c r="C158" s="18"/>
      <c r="D158" s="18">
        <v>1965</v>
      </c>
    </row>
    <row r="159" spans="1:4" ht="19.95" customHeight="1" x14ac:dyDescent="0.25">
      <c r="A159" s="17" t="s">
        <v>27</v>
      </c>
      <c r="B159" s="18" t="s">
        <v>44</v>
      </c>
      <c r="C159" s="18"/>
      <c r="D159" s="18">
        <v>1965</v>
      </c>
    </row>
    <row r="160" spans="1:4" ht="19.95" customHeight="1" x14ac:dyDescent="0.25">
      <c r="A160" s="17" t="s">
        <v>28</v>
      </c>
      <c r="B160" s="18" t="s">
        <v>44</v>
      </c>
      <c r="C160" s="18"/>
      <c r="D160" s="18">
        <v>1965</v>
      </c>
    </row>
    <row r="161" spans="1:4" ht="19.95" customHeight="1" x14ac:dyDescent="0.25">
      <c r="A161" s="17" t="s">
        <v>29</v>
      </c>
      <c r="B161" s="18" t="s">
        <v>44</v>
      </c>
      <c r="C161" s="18"/>
      <c r="D161" s="18">
        <v>1965</v>
      </c>
    </row>
    <row r="162" spans="1:4" ht="19.95" customHeight="1" x14ac:dyDescent="0.25">
      <c r="A162" s="17" t="s">
        <v>31</v>
      </c>
      <c r="B162" s="18" t="s">
        <v>44</v>
      </c>
      <c r="C162" s="18"/>
      <c r="D162" s="18">
        <v>1965</v>
      </c>
    </row>
    <row r="163" spans="1:4" ht="19.95" customHeight="1" x14ac:dyDescent="0.25">
      <c r="A163" s="17" t="s">
        <v>32</v>
      </c>
      <c r="B163" s="18" t="s">
        <v>44</v>
      </c>
      <c r="C163" s="18"/>
      <c r="D163" s="18">
        <v>1965</v>
      </c>
    </row>
    <row r="164" spans="1:4" ht="19.95" customHeight="1" x14ac:dyDescent="0.25">
      <c r="A164" s="17" t="s">
        <v>33</v>
      </c>
      <c r="B164" s="18" t="s">
        <v>44</v>
      </c>
      <c r="C164" s="18"/>
      <c r="D164" s="18">
        <v>1965</v>
      </c>
    </row>
    <row r="165" spans="1:4" ht="19.95" customHeight="1" x14ac:dyDescent="0.25">
      <c r="A165" s="17" t="s">
        <v>34</v>
      </c>
      <c r="B165" s="18" t="s">
        <v>44</v>
      </c>
      <c r="C165" s="18"/>
      <c r="D165" s="18">
        <v>1965</v>
      </c>
    </row>
    <row r="166" spans="1:4" ht="19.95" customHeight="1" x14ac:dyDescent="0.25">
      <c r="A166" s="17" t="s">
        <v>35</v>
      </c>
      <c r="B166" s="18" t="s">
        <v>44</v>
      </c>
      <c r="C166" s="18"/>
      <c r="D166" s="18">
        <v>1965</v>
      </c>
    </row>
    <row r="167" spans="1:4" ht="19.95" customHeight="1" x14ac:dyDescent="0.25">
      <c r="A167" s="17" t="s">
        <v>2</v>
      </c>
      <c r="B167" s="18" t="s">
        <v>44</v>
      </c>
      <c r="C167" s="18"/>
      <c r="D167" s="18">
        <v>1965</v>
      </c>
    </row>
    <row r="168" spans="1:4" ht="19.95" customHeight="1" x14ac:dyDescent="0.25">
      <c r="A168" s="17" t="s">
        <v>36</v>
      </c>
      <c r="B168" s="18" t="s">
        <v>44</v>
      </c>
      <c r="C168" s="18"/>
      <c r="D168" s="18">
        <v>1965</v>
      </c>
    </row>
    <row r="169" spans="1:4" ht="19.95" customHeight="1" x14ac:dyDescent="0.25">
      <c r="A169" s="17" t="s">
        <v>37</v>
      </c>
      <c r="B169" s="18" t="s">
        <v>44</v>
      </c>
      <c r="C169" s="18"/>
      <c r="D169" s="18">
        <v>1965</v>
      </c>
    </row>
    <row r="170" spans="1:4" ht="19.95" customHeight="1" x14ac:dyDescent="0.25">
      <c r="A170" s="17" t="s">
        <v>38</v>
      </c>
      <c r="B170" s="18" t="s">
        <v>44</v>
      </c>
      <c r="C170" s="18"/>
      <c r="D170" s="18">
        <v>1965</v>
      </c>
    </row>
    <row r="171" spans="1:4" ht="19.95" customHeight="1" x14ac:dyDescent="0.25">
      <c r="A171" s="17" t="s">
        <v>39</v>
      </c>
      <c r="B171" s="18" t="s">
        <v>44</v>
      </c>
      <c r="C171" s="18"/>
      <c r="D171" s="18">
        <v>1965</v>
      </c>
    </row>
    <row r="172" spans="1:4" ht="19.95" customHeight="1" x14ac:dyDescent="0.25">
      <c r="A172" s="17" t="s">
        <v>40</v>
      </c>
      <c r="B172" s="18" t="s">
        <v>44</v>
      </c>
      <c r="C172" s="18"/>
      <c r="D172" s="18">
        <v>1965</v>
      </c>
    </row>
    <row r="173" spans="1:4" ht="19.95" customHeight="1" x14ac:dyDescent="0.25">
      <c r="A173" s="17" t="s">
        <v>10</v>
      </c>
      <c r="B173" s="18" t="s">
        <v>44</v>
      </c>
      <c r="C173" s="18"/>
      <c r="D173" s="18">
        <v>1966</v>
      </c>
    </row>
    <row r="174" spans="1:4" ht="19.95" customHeight="1" x14ac:dyDescent="0.25">
      <c r="A174" s="17" t="s">
        <v>13</v>
      </c>
      <c r="B174" s="18" t="s">
        <v>44</v>
      </c>
      <c r="C174" s="18"/>
      <c r="D174" s="18">
        <v>1966</v>
      </c>
    </row>
    <row r="175" spans="1:4" ht="19.95" customHeight="1" x14ac:dyDescent="0.25">
      <c r="A175" s="17" t="s">
        <v>16</v>
      </c>
      <c r="B175" s="18" t="s">
        <v>44</v>
      </c>
      <c r="C175" s="18"/>
      <c r="D175" s="18">
        <v>1966</v>
      </c>
    </row>
    <row r="176" spans="1:4" ht="19.95" customHeight="1" x14ac:dyDescent="0.25">
      <c r="A176" s="17" t="s">
        <v>15</v>
      </c>
      <c r="B176" s="18" t="s">
        <v>44</v>
      </c>
      <c r="C176" s="18"/>
      <c r="D176" s="18">
        <v>1966</v>
      </c>
    </row>
    <row r="177" spans="1:4" ht="19.95" customHeight="1" x14ac:dyDescent="0.25">
      <c r="A177" s="17" t="s">
        <v>17</v>
      </c>
      <c r="B177" s="18" t="s">
        <v>44</v>
      </c>
      <c r="C177" s="18"/>
      <c r="D177" s="18">
        <v>1966</v>
      </c>
    </row>
    <row r="178" spans="1:4" ht="19.95" customHeight="1" x14ac:dyDescent="0.25">
      <c r="A178" s="17" t="s">
        <v>18</v>
      </c>
      <c r="B178" s="18" t="s">
        <v>44</v>
      </c>
      <c r="C178" s="18"/>
      <c r="D178" s="18">
        <v>1966</v>
      </c>
    </row>
    <row r="179" spans="1:4" ht="19.95" customHeight="1" x14ac:dyDescent="0.25">
      <c r="A179" s="17" t="s">
        <v>19</v>
      </c>
      <c r="B179" s="18" t="s">
        <v>44</v>
      </c>
      <c r="C179" s="18"/>
      <c r="D179" s="18">
        <v>1966</v>
      </c>
    </row>
    <row r="180" spans="1:4" ht="19.95" customHeight="1" x14ac:dyDescent="0.25">
      <c r="A180" s="17" t="s">
        <v>20</v>
      </c>
      <c r="B180" s="18" t="s">
        <v>44</v>
      </c>
      <c r="C180" s="18"/>
      <c r="D180" s="18">
        <v>1966</v>
      </c>
    </row>
    <row r="181" spans="1:4" ht="19.95" customHeight="1" x14ac:dyDescent="0.25">
      <c r="A181" s="17" t="s">
        <v>21</v>
      </c>
      <c r="B181" s="18" t="s">
        <v>44</v>
      </c>
      <c r="C181" s="18"/>
      <c r="D181" s="18">
        <v>1966</v>
      </c>
    </row>
    <row r="182" spans="1:4" ht="19.95" customHeight="1" x14ac:dyDescent="0.25">
      <c r="A182" s="17" t="s">
        <v>22</v>
      </c>
      <c r="B182" s="18" t="s">
        <v>44</v>
      </c>
      <c r="C182" s="18"/>
      <c r="D182" s="18">
        <v>1966</v>
      </c>
    </row>
    <row r="183" spans="1:4" ht="19.95" customHeight="1" x14ac:dyDescent="0.25">
      <c r="A183" s="17" t="s">
        <v>23</v>
      </c>
      <c r="B183" s="18" t="s">
        <v>44</v>
      </c>
      <c r="C183" s="18"/>
      <c r="D183" s="18">
        <v>1966</v>
      </c>
    </row>
    <row r="184" spans="1:4" ht="19.95" customHeight="1" x14ac:dyDescent="0.25">
      <c r="A184" s="17" t="s">
        <v>24</v>
      </c>
      <c r="B184" s="18" t="s">
        <v>44</v>
      </c>
      <c r="C184" s="18"/>
      <c r="D184" s="18">
        <v>1966</v>
      </c>
    </row>
    <row r="185" spans="1:4" ht="19.95" customHeight="1" x14ac:dyDescent="0.25">
      <c r="A185" s="17" t="s">
        <v>25</v>
      </c>
      <c r="B185" s="18" t="s">
        <v>44</v>
      </c>
      <c r="C185" s="18"/>
      <c r="D185" s="18">
        <v>1966</v>
      </c>
    </row>
    <row r="186" spans="1:4" ht="19.95" customHeight="1" x14ac:dyDescent="0.25">
      <c r="A186" s="17" t="s">
        <v>26</v>
      </c>
      <c r="B186" s="18" t="s">
        <v>44</v>
      </c>
      <c r="C186" s="18"/>
      <c r="D186" s="18">
        <v>1966</v>
      </c>
    </row>
    <row r="187" spans="1:4" ht="19.95" customHeight="1" x14ac:dyDescent="0.25">
      <c r="A187" s="17" t="s">
        <v>27</v>
      </c>
      <c r="B187" s="18" t="s">
        <v>44</v>
      </c>
      <c r="C187" s="18"/>
      <c r="D187" s="18">
        <v>1966</v>
      </c>
    </row>
    <row r="188" spans="1:4" ht="19.95" customHeight="1" x14ac:dyDescent="0.25">
      <c r="A188" s="17" t="s">
        <v>28</v>
      </c>
      <c r="B188" s="18" t="s">
        <v>44</v>
      </c>
      <c r="C188" s="18"/>
      <c r="D188" s="18">
        <v>1966</v>
      </c>
    </row>
    <row r="189" spans="1:4" ht="19.95" customHeight="1" x14ac:dyDescent="0.25">
      <c r="A189" s="17" t="s">
        <v>29</v>
      </c>
      <c r="B189" s="18" t="s">
        <v>44</v>
      </c>
      <c r="C189" s="18"/>
      <c r="D189" s="18">
        <v>1966</v>
      </c>
    </row>
    <row r="190" spans="1:4" ht="19.95" customHeight="1" x14ac:dyDescent="0.25">
      <c r="A190" s="17" t="s">
        <v>31</v>
      </c>
      <c r="B190" s="18" t="s">
        <v>44</v>
      </c>
      <c r="C190" s="18"/>
      <c r="D190" s="18">
        <v>1966</v>
      </c>
    </row>
    <row r="191" spans="1:4" ht="19.95" customHeight="1" x14ac:dyDescent="0.25">
      <c r="A191" s="17" t="s">
        <v>32</v>
      </c>
      <c r="B191" s="18" t="s">
        <v>44</v>
      </c>
      <c r="C191" s="18"/>
      <c r="D191" s="18">
        <v>1966</v>
      </c>
    </row>
    <row r="192" spans="1:4" ht="19.95" customHeight="1" x14ac:dyDescent="0.25">
      <c r="A192" s="17" t="s">
        <v>33</v>
      </c>
      <c r="B192" s="18" t="s">
        <v>44</v>
      </c>
      <c r="C192" s="18"/>
      <c r="D192" s="18">
        <v>1966</v>
      </c>
    </row>
    <row r="193" spans="1:4" ht="19.95" customHeight="1" x14ac:dyDescent="0.25">
      <c r="A193" s="17" t="s">
        <v>34</v>
      </c>
      <c r="B193" s="18" t="s">
        <v>44</v>
      </c>
      <c r="C193" s="18"/>
      <c r="D193" s="18">
        <v>1966</v>
      </c>
    </row>
    <row r="194" spans="1:4" ht="19.95" customHeight="1" x14ac:dyDescent="0.25">
      <c r="A194" s="17" t="s">
        <v>35</v>
      </c>
      <c r="B194" s="18" t="s">
        <v>44</v>
      </c>
      <c r="C194" s="18"/>
      <c r="D194" s="18">
        <v>1966</v>
      </c>
    </row>
    <row r="195" spans="1:4" ht="19.95" customHeight="1" x14ac:dyDescent="0.25">
      <c r="A195" s="17" t="s">
        <v>2</v>
      </c>
      <c r="B195" s="18" t="s">
        <v>44</v>
      </c>
      <c r="C195" s="18"/>
      <c r="D195" s="18">
        <v>1966</v>
      </c>
    </row>
    <row r="196" spans="1:4" ht="19.95" customHeight="1" x14ac:dyDescent="0.25">
      <c r="A196" s="17" t="s">
        <v>36</v>
      </c>
      <c r="B196" s="18" t="s">
        <v>44</v>
      </c>
      <c r="C196" s="18"/>
      <c r="D196" s="18">
        <v>1966</v>
      </c>
    </row>
    <row r="197" spans="1:4" ht="19.95" customHeight="1" x14ac:dyDescent="0.25">
      <c r="A197" s="17" t="s">
        <v>37</v>
      </c>
      <c r="B197" s="18" t="s">
        <v>44</v>
      </c>
      <c r="C197" s="18"/>
      <c r="D197" s="18">
        <v>1966</v>
      </c>
    </row>
    <row r="198" spans="1:4" ht="19.95" customHeight="1" x14ac:dyDescent="0.25">
      <c r="A198" s="17" t="s">
        <v>38</v>
      </c>
      <c r="B198" s="18" t="s">
        <v>44</v>
      </c>
      <c r="C198" s="18"/>
      <c r="D198" s="18">
        <v>1966</v>
      </c>
    </row>
    <row r="199" spans="1:4" ht="19.95" customHeight="1" x14ac:dyDescent="0.25">
      <c r="A199" s="17" t="s">
        <v>39</v>
      </c>
      <c r="B199" s="18" t="s">
        <v>44</v>
      </c>
      <c r="C199" s="18"/>
      <c r="D199" s="18">
        <v>1966</v>
      </c>
    </row>
    <row r="200" spans="1:4" ht="19.95" customHeight="1" x14ac:dyDescent="0.25">
      <c r="A200" s="17" t="s">
        <v>40</v>
      </c>
      <c r="B200" s="18" t="s">
        <v>44</v>
      </c>
      <c r="C200" s="18"/>
      <c r="D200" s="18">
        <v>1966</v>
      </c>
    </row>
    <row r="201" spans="1:4" ht="19.95" customHeight="1" x14ac:dyDescent="0.25">
      <c r="A201" s="17" t="s">
        <v>10</v>
      </c>
      <c r="B201" s="18" t="s">
        <v>44</v>
      </c>
      <c r="C201" s="18"/>
      <c r="D201" s="18">
        <v>1967</v>
      </c>
    </row>
    <row r="202" spans="1:4" ht="19.95" customHeight="1" x14ac:dyDescent="0.25">
      <c r="A202" s="17" t="s">
        <v>13</v>
      </c>
      <c r="B202" s="18" t="s">
        <v>44</v>
      </c>
      <c r="C202" s="18"/>
      <c r="D202" s="18">
        <v>1967</v>
      </c>
    </row>
    <row r="203" spans="1:4" ht="19.95" customHeight="1" x14ac:dyDescent="0.25">
      <c r="A203" s="17" t="s">
        <v>16</v>
      </c>
      <c r="B203" s="18" t="s">
        <v>44</v>
      </c>
      <c r="C203" s="18"/>
      <c r="D203" s="18">
        <v>1967</v>
      </c>
    </row>
    <row r="204" spans="1:4" ht="19.95" customHeight="1" x14ac:dyDescent="0.25">
      <c r="A204" s="17" t="s">
        <v>15</v>
      </c>
      <c r="B204" s="18" t="s">
        <v>44</v>
      </c>
      <c r="C204" s="18"/>
      <c r="D204" s="18">
        <v>1967</v>
      </c>
    </row>
    <row r="205" spans="1:4" ht="19.95" customHeight="1" x14ac:dyDescent="0.25">
      <c r="A205" s="17" t="s">
        <v>17</v>
      </c>
      <c r="B205" s="18" t="s">
        <v>44</v>
      </c>
      <c r="C205" s="18"/>
      <c r="D205" s="18">
        <v>1967</v>
      </c>
    </row>
    <row r="206" spans="1:4" ht="19.95" customHeight="1" x14ac:dyDescent="0.25">
      <c r="A206" s="17" t="s">
        <v>18</v>
      </c>
      <c r="B206" s="18" t="s">
        <v>44</v>
      </c>
      <c r="C206" s="18"/>
      <c r="D206" s="18">
        <v>1967</v>
      </c>
    </row>
    <row r="207" spans="1:4" ht="19.95" customHeight="1" x14ac:dyDescent="0.25">
      <c r="A207" s="17" t="s">
        <v>19</v>
      </c>
      <c r="B207" s="18" t="s">
        <v>44</v>
      </c>
      <c r="C207" s="18"/>
      <c r="D207" s="18">
        <v>1967</v>
      </c>
    </row>
    <row r="208" spans="1:4" ht="19.95" customHeight="1" x14ac:dyDescent="0.25">
      <c r="A208" s="17" t="s">
        <v>20</v>
      </c>
      <c r="B208" s="18" t="s">
        <v>44</v>
      </c>
      <c r="C208" s="18"/>
      <c r="D208" s="18">
        <v>1967</v>
      </c>
    </row>
    <row r="209" spans="1:4" ht="19.95" customHeight="1" x14ac:dyDescent="0.25">
      <c r="A209" s="17" t="s">
        <v>21</v>
      </c>
      <c r="B209" s="18" t="s">
        <v>44</v>
      </c>
      <c r="C209" s="18"/>
      <c r="D209" s="18">
        <v>1967</v>
      </c>
    </row>
    <row r="210" spans="1:4" ht="19.95" customHeight="1" x14ac:dyDescent="0.25">
      <c r="A210" s="17" t="s">
        <v>22</v>
      </c>
      <c r="B210" s="18" t="s">
        <v>44</v>
      </c>
      <c r="C210" s="18"/>
      <c r="D210" s="18">
        <v>1967</v>
      </c>
    </row>
    <row r="211" spans="1:4" ht="19.95" customHeight="1" x14ac:dyDescent="0.25">
      <c r="A211" s="17" t="s">
        <v>23</v>
      </c>
      <c r="B211" s="18" t="s">
        <v>44</v>
      </c>
      <c r="C211" s="18"/>
      <c r="D211" s="18">
        <v>1967</v>
      </c>
    </row>
    <row r="212" spans="1:4" ht="19.95" customHeight="1" x14ac:dyDescent="0.25">
      <c r="A212" s="17" t="s">
        <v>24</v>
      </c>
      <c r="B212" s="18" t="s">
        <v>44</v>
      </c>
      <c r="C212" s="18"/>
      <c r="D212" s="18">
        <v>1967</v>
      </c>
    </row>
    <row r="213" spans="1:4" ht="19.95" customHeight="1" x14ac:dyDescent="0.25">
      <c r="A213" s="17" t="s">
        <v>25</v>
      </c>
      <c r="B213" s="18" t="s">
        <v>44</v>
      </c>
      <c r="C213" s="18"/>
      <c r="D213" s="18">
        <v>1967</v>
      </c>
    </row>
    <row r="214" spans="1:4" ht="19.95" customHeight="1" x14ac:dyDescent="0.25">
      <c r="A214" s="17" t="s">
        <v>26</v>
      </c>
      <c r="B214" s="18" t="s">
        <v>44</v>
      </c>
      <c r="C214" s="18"/>
      <c r="D214" s="18">
        <v>1967</v>
      </c>
    </row>
    <row r="215" spans="1:4" ht="19.95" customHeight="1" x14ac:dyDescent="0.25">
      <c r="A215" s="17" t="s">
        <v>27</v>
      </c>
      <c r="B215" s="18" t="s">
        <v>44</v>
      </c>
      <c r="C215" s="18"/>
      <c r="D215" s="18">
        <v>1967</v>
      </c>
    </row>
    <row r="216" spans="1:4" ht="19.95" customHeight="1" x14ac:dyDescent="0.25">
      <c r="A216" s="17" t="s">
        <v>28</v>
      </c>
      <c r="B216" s="18" t="s">
        <v>44</v>
      </c>
      <c r="C216" s="18"/>
      <c r="D216" s="18">
        <v>1967</v>
      </c>
    </row>
    <row r="217" spans="1:4" ht="19.95" customHeight="1" x14ac:dyDescent="0.25">
      <c r="A217" s="17" t="s">
        <v>29</v>
      </c>
      <c r="B217" s="18" t="s">
        <v>44</v>
      </c>
      <c r="C217" s="18"/>
      <c r="D217" s="18">
        <v>1967</v>
      </c>
    </row>
    <row r="218" spans="1:4" ht="19.95" customHeight="1" x14ac:dyDescent="0.25">
      <c r="A218" s="17" t="s">
        <v>31</v>
      </c>
      <c r="B218" s="18" t="s">
        <v>44</v>
      </c>
      <c r="C218" s="18"/>
      <c r="D218" s="18">
        <v>1967</v>
      </c>
    </row>
    <row r="219" spans="1:4" ht="19.95" customHeight="1" x14ac:dyDescent="0.25">
      <c r="A219" s="17" t="s">
        <v>32</v>
      </c>
      <c r="B219" s="18" t="s">
        <v>44</v>
      </c>
      <c r="C219" s="18"/>
      <c r="D219" s="18">
        <v>1967</v>
      </c>
    </row>
    <row r="220" spans="1:4" ht="19.95" customHeight="1" x14ac:dyDescent="0.25">
      <c r="A220" s="17" t="s">
        <v>33</v>
      </c>
      <c r="B220" s="18" t="s">
        <v>44</v>
      </c>
      <c r="C220" s="18"/>
      <c r="D220" s="18">
        <v>1967</v>
      </c>
    </row>
    <row r="221" spans="1:4" ht="19.95" customHeight="1" x14ac:dyDescent="0.25">
      <c r="A221" s="17" t="s">
        <v>34</v>
      </c>
      <c r="B221" s="18" t="s">
        <v>44</v>
      </c>
      <c r="C221" s="18"/>
      <c r="D221" s="18">
        <v>1967</v>
      </c>
    </row>
    <row r="222" spans="1:4" ht="19.95" customHeight="1" x14ac:dyDescent="0.25">
      <c r="A222" s="17" t="s">
        <v>35</v>
      </c>
      <c r="B222" s="18" t="s">
        <v>44</v>
      </c>
      <c r="C222" s="18"/>
      <c r="D222" s="18">
        <v>1967</v>
      </c>
    </row>
    <row r="223" spans="1:4" ht="19.95" customHeight="1" x14ac:dyDescent="0.25">
      <c r="A223" s="17" t="s">
        <v>2</v>
      </c>
      <c r="B223" s="18" t="s">
        <v>44</v>
      </c>
      <c r="C223" s="18"/>
      <c r="D223" s="18">
        <v>1967</v>
      </c>
    </row>
    <row r="224" spans="1:4" ht="19.95" customHeight="1" x14ac:dyDescent="0.25">
      <c r="A224" s="17" t="s">
        <v>36</v>
      </c>
      <c r="B224" s="18" t="s">
        <v>44</v>
      </c>
      <c r="C224" s="18"/>
      <c r="D224" s="18">
        <v>1967</v>
      </c>
    </row>
    <row r="225" spans="1:4" ht="19.95" customHeight="1" x14ac:dyDescent="0.25">
      <c r="A225" s="17" t="s">
        <v>37</v>
      </c>
      <c r="B225" s="18" t="s">
        <v>44</v>
      </c>
      <c r="C225" s="18"/>
      <c r="D225" s="18">
        <v>1967</v>
      </c>
    </row>
    <row r="226" spans="1:4" ht="19.95" customHeight="1" x14ac:dyDescent="0.25">
      <c r="A226" s="17" t="s">
        <v>38</v>
      </c>
      <c r="B226" s="18" t="s">
        <v>44</v>
      </c>
      <c r="C226" s="18"/>
      <c r="D226" s="18">
        <v>1967</v>
      </c>
    </row>
    <row r="227" spans="1:4" ht="19.95" customHeight="1" x14ac:dyDescent="0.25">
      <c r="A227" s="17" t="s">
        <v>39</v>
      </c>
      <c r="B227" s="18" t="s">
        <v>44</v>
      </c>
      <c r="C227" s="18"/>
      <c r="D227" s="18">
        <v>1967</v>
      </c>
    </row>
    <row r="228" spans="1:4" ht="19.95" customHeight="1" x14ac:dyDescent="0.25">
      <c r="A228" s="17" t="s">
        <v>40</v>
      </c>
      <c r="B228" s="18" t="s">
        <v>44</v>
      </c>
      <c r="C228" s="18"/>
      <c r="D228" s="18">
        <v>1967</v>
      </c>
    </row>
    <row r="229" spans="1:4" ht="19.95" customHeight="1" x14ac:dyDescent="0.25">
      <c r="A229" s="17" t="s">
        <v>10</v>
      </c>
      <c r="B229" s="18" t="s">
        <v>44</v>
      </c>
      <c r="C229" s="18"/>
      <c r="D229" s="18">
        <v>1968</v>
      </c>
    </row>
    <row r="230" spans="1:4" ht="19.95" customHeight="1" x14ac:dyDescent="0.25">
      <c r="A230" s="17" t="s">
        <v>13</v>
      </c>
      <c r="B230" s="18" t="s">
        <v>44</v>
      </c>
      <c r="C230" s="18"/>
      <c r="D230" s="18">
        <v>1968</v>
      </c>
    </row>
    <row r="231" spans="1:4" ht="19.95" customHeight="1" x14ac:dyDescent="0.25">
      <c r="A231" s="17" t="s">
        <v>16</v>
      </c>
      <c r="B231" s="18" t="s">
        <v>44</v>
      </c>
      <c r="C231" s="18"/>
      <c r="D231" s="18">
        <v>1968</v>
      </c>
    </row>
    <row r="232" spans="1:4" ht="19.95" customHeight="1" x14ac:dyDescent="0.25">
      <c r="A232" s="17" t="s">
        <v>15</v>
      </c>
      <c r="B232" s="18" t="s">
        <v>44</v>
      </c>
      <c r="C232" s="18"/>
      <c r="D232" s="18">
        <v>1968</v>
      </c>
    </row>
    <row r="233" spans="1:4" ht="19.95" customHeight="1" x14ac:dyDescent="0.25">
      <c r="A233" s="17" t="s">
        <v>17</v>
      </c>
      <c r="B233" s="18" t="s">
        <v>44</v>
      </c>
      <c r="C233" s="18"/>
      <c r="D233" s="18">
        <v>1968</v>
      </c>
    </row>
    <row r="234" spans="1:4" ht="19.95" customHeight="1" x14ac:dyDescent="0.25">
      <c r="A234" s="17" t="s">
        <v>18</v>
      </c>
      <c r="B234" s="18" t="s">
        <v>44</v>
      </c>
      <c r="C234" s="18"/>
      <c r="D234" s="18">
        <v>1968</v>
      </c>
    </row>
    <row r="235" spans="1:4" ht="19.95" customHeight="1" x14ac:dyDescent="0.25">
      <c r="A235" s="17" t="s">
        <v>19</v>
      </c>
      <c r="B235" s="18" t="s">
        <v>44</v>
      </c>
      <c r="C235" s="18"/>
      <c r="D235" s="18">
        <v>1968</v>
      </c>
    </row>
    <row r="236" spans="1:4" ht="19.95" customHeight="1" x14ac:dyDescent="0.25">
      <c r="A236" s="17" t="s">
        <v>20</v>
      </c>
      <c r="B236" s="18" t="s">
        <v>44</v>
      </c>
      <c r="C236" s="18"/>
      <c r="D236" s="18">
        <v>1968</v>
      </c>
    </row>
    <row r="237" spans="1:4" ht="19.95" customHeight="1" x14ac:dyDescent="0.25">
      <c r="A237" s="17" t="s">
        <v>21</v>
      </c>
      <c r="B237" s="18" t="s">
        <v>44</v>
      </c>
      <c r="C237" s="18"/>
      <c r="D237" s="18">
        <v>1968</v>
      </c>
    </row>
    <row r="238" spans="1:4" ht="19.95" customHeight="1" x14ac:dyDescent="0.25">
      <c r="A238" s="17" t="s">
        <v>22</v>
      </c>
      <c r="B238" s="18" t="s">
        <v>44</v>
      </c>
      <c r="C238" s="18"/>
      <c r="D238" s="18">
        <v>1968</v>
      </c>
    </row>
    <row r="239" spans="1:4" ht="19.95" customHeight="1" x14ac:dyDescent="0.25">
      <c r="A239" s="17" t="s">
        <v>23</v>
      </c>
      <c r="B239" s="18" t="s">
        <v>44</v>
      </c>
      <c r="C239" s="18"/>
      <c r="D239" s="18">
        <v>1968</v>
      </c>
    </row>
    <row r="240" spans="1:4" ht="19.95" customHeight="1" x14ac:dyDescent="0.25">
      <c r="A240" s="17" t="s">
        <v>24</v>
      </c>
      <c r="B240" s="18" t="s">
        <v>44</v>
      </c>
      <c r="C240" s="18"/>
      <c r="D240" s="18">
        <v>1968</v>
      </c>
    </row>
    <row r="241" spans="1:4" ht="19.95" customHeight="1" x14ac:dyDescent="0.25">
      <c r="A241" s="17" t="s">
        <v>25</v>
      </c>
      <c r="B241" s="18" t="s">
        <v>44</v>
      </c>
      <c r="C241" s="18"/>
      <c r="D241" s="18">
        <v>1968</v>
      </c>
    </row>
    <row r="242" spans="1:4" ht="19.95" customHeight="1" x14ac:dyDescent="0.25">
      <c r="A242" s="17" t="s">
        <v>26</v>
      </c>
      <c r="B242" s="18" t="s">
        <v>44</v>
      </c>
      <c r="C242" s="18"/>
      <c r="D242" s="18">
        <v>1968</v>
      </c>
    </row>
    <row r="243" spans="1:4" ht="19.95" customHeight="1" x14ac:dyDescent="0.25">
      <c r="A243" s="17" t="s">
        <v>27</v>
      </c>
      <c r="B243" s="18" t="s">
        <v>44</v>
      </c>
      <c r="C243" s="18"/>
      <c r="D243" s="18">
        <v>1968</v>
      </c>
    </row>
    <row r="244" spans="1:4" ht="19.95" customHeight="1" x14ac:dyDescent="0.25">
      <c r="A244" s="17" t="s">
        <v>28</v>
      </c>
      <c r="B244" s="18" t="s">
        <v>44</v>
      </c>
      <c r="C244" s="18"/>
      <c r="D244" s="18">
        <v>1968</v>
      </c>
    </row>
    <row r="245" spans="1:4" ht="19.95" customHeight="1" x14ac:dyDescent="0.25">
      <c r="A245" s="17" t="s">
        <v>29</v>
      </c>
      <c r="B245" s="18" t="s">
        <v>44</v>
      </c>
      <c r="C245" s="18"/>
      <c r="D245" s="18">
        <v>1968</v>
      </c>
    </row>
    <row r="246" spans="1:4" ht="19.95" customHeight="1" x14ac:dyDescent="0.25">
      <c r="A246" s="17" t="s">
        <v>31</v>
      </c>
      <c r="B246" s="18" t="s">
        <v>44</v>
      </c>
      <c r="C246" s="18"/>
      <c r="D246" s="18">
        <v>1968</v>
      </c>
    </row>
    <row r="247" spans="1:4" ht="19.95" customHeight="1" x14ac:dyDescent="0.25">
      <c r="A247" s="17" t="s">
        <v>32</v>
      </c>
      <c r="B247" s="18" t="s">
        <v>44</v>
      </c>
      <c r="C247" s="18"/>
      <c r="D247" s="18">
        <v>1968</v>
      </c>
    </row>
    <row r="248" spans="1:4" ht="19.95" customHeight="1" x14ac:dyDescent="0.25">
      <c r="A248" s="17" t="s">
        <v>33</v>
      </c>
      <c r="B248" s="18" t="s">
        <v>44</v>
      </c>
      <c r="C248" s="18"/>
      <c r="D248" s="18">
        <v>1968</v>
      </c>
    </row>
    <row r="249" spans="1:4" ht="19.95" customHeight="1" x14ac:dyDescent="0.25">
      <c r="A249" s="17" t="s">
        <v>34</v>
      </c>
      <c r="B249" s="18" t="s">
        <v>44</v>
      </c>
      <c r="C249" s="18"/>
      <c r="D249" s="18">
        <v>1968</v>
      </c>
    </row>
    <row r="250" spans="1:4" ht="19.95" customHeight="1" x14ac:dyDescent="0.25">
      <c r="A250" s="17" t="s">
        <v>35</v>
      </c>
      <c r="B250" s="18" t="s">
        <v>44</v>
      </c>
      <c r="C250" s="18"/>
      <c r="D250" s="18">
        <v>1968</v>
      </c>
    </row>
    <row r="251" spans="1:4" ht="19.95" customHeight="1" x14ac:dyDescent="0.25">
      <c r="A251" s="17" t="s">
        <v>2</v>
      </c>
      <c r="B251" s="18" t="s">
        <v>44</v>
      </c>
      <c r="C251" s="18"/>
      <c r="D251" s="18">
        <v>1968</v>
      </c>
    </row>
    <row r="252" spans="1:4" ht="19.95" customHeight="1" x14ac:dyDescent="0.25">
      <c r="A252" s="17" t="s">
        <v>36</v>
      </c>
      <c r="B252" s="18" t="s">
        <v>44</v>
      </c>
      <c r="C252" s="18"/>
      <c r="D252" s="18">
        <v>1968</v>
      </c>
    </row>
    <row r="253" spans="1:4" ht="19.95" customHeight="1" x14ac:dyDescent="0.25">
      <c r="A253" s="17" t="s">
        <v>37</v>
      </c>
      <c r="B253" s="18" t="s">
        <v>44</v>
      </c>
      <c r="C253" s="18"/>
      <c r="D253" s="18">
        <v>1968</v>
      </c>
    </row>
    <row r="254" spans="1:4" ht="19.95" customHeight="1" x14ac:dyDescent="0.25">
      <c r="A254" s="17" t="s">
        <v>38</v>
      </c>
      <c r="B254" s="18" t="s">
        <v>44</v>
      </c>
      <c r="C254" s="18"/>
      <c r="D254" s="18">
        <v>1968</v>
      </c>
    </row>
    <row r="255" spans="1:4" ht="19.95" customHeight="1" x14ac:dyDescent="0.25">
      <c r="A255" s="17" t="s">
        <v>39</v>
      </c>
      <c r="B255" s="18" t="s">
        <v>44</v>
      </c>
      <c r="C255" s="18"/>
      <c r="D255" s="18">
        <v>1968</v>
      </c>
    </row>
    <row r="256" spans="1:4" ht="19.95" customHeight="1" x14ac:dyDescent="0.25">
      <c r="A256" s="17" t="s">
        <v>40</v>
      </c>
      <c r="B256" s="18" t="s">
        <v>44</v>
      </c>
      <c r="C256" s="18"/>
      <c r="D256" s="18">
        <v>1968</v>
      </c>
    </row>
    <row r="257" spans="1:4" ht="19.95" customHeight="1" x14ac:dyDescent="0.25">
      <c r="A257" s="17" t="s">
        <v>10</v>
      </c>
      <c r="B257" s="18" t="s">
        <v>44</v>
      </c>
      <c r="C257" s="18"/>
      <c r="D257" s="18">
        <v>1969</v>
      </c>
    </row>
    <row r="258" spans="1:4" ht="19.95" customHeight="1" x14ac:dyDescent="0.25">
      <c r="A258" s="17" t="s">
        <v>13</v>
      </c>
      <c r="B258" s="18" t="s">
        <v>44</v>
      </c>
      <c r="C258" s="18"/>
      <c r="D258" s="18">
        <v>1969</v>
      </c>
    </row>
    <row r="259" spans="1:4" ht="19.95" customHeight="1" x14ac:dyDescent="0.25">
      <c r="A259" s="17" t="s">
        <v>16</v>
      </c>
      <c r="B259" s="18" t="s">
        <v>44</v>
      </c>
      <c r="C259" s="18"/>
      <c r="D259" s="18">
        <v>1969</v>
      </c>
    </row>
    <row r="260" spans="1:4" ht="19.95" customHeight="1" x14ac:dyDescent="0.25">
      <c r="A260" s="17" t="s">
        <v>15</v>
      </c>
      <c r="B260" s="18" t="s">
        <v>44</v>
      </c>
      <c r="C260" s="18"/>
      <c r="D260" s="18">
        <v>1969</v>
      </c>
    </row>
    <row r="261" spans="1:4" ht="19.95" customHeight="1" x14ac:dyDescent="0.25">
      <c r="A261" s="17" t="s">
        <v>17</v>
      </c>
      <c r="B261" s="18" t="s">
        <v>44</v>
      </c>
      <c r="C261" s="18"/>
      <c r="D261" s="18">
        <v>1969</v>
      </c>
    </row>
    <row r="262" spans="1:4" ht="19.95" customHeight="1" x14ac:dyDescent="0.25">
      <c r="A262" s="17" t="s">
        <v>18</v>
      </c>
      <c r="B262" s="18" t="s">
        <v>44</v>
      </c>
      <c r="C262" s="18"/>
      <c r="D262" s="18">
        <v>1969</v>
      </c>
    </row>
    <row r="263" spans="1:4" ht="19.95" customHeight="1" x14ac:dyDescent="0.25">
      <c r="A263" s="17" t="s">
        <v>19</v>
      </c>
      <c r="B263" s="18" t="s">
        <v>44</v>
      </c>
      <c r="C263" s="18"/>
      <c r="D263" s="18">
        <v>1969</v>
      </c>
    </row>
    <row r="264" spans="1:4" ht="19.95" customHeight="1" x14ac:dyDescent="0.25">
      <c r="A264" s="17" t="s">
        <v>20</v>
      </c>
      <c r="B264" s="18" t="s">
        <v>44</v>
      </c>
      <c r="C264" s="18"/>
      <c r="D264" s="18">
        <v>1969</v>
      </c>
    </row>
    <row r="265" spans="1:4" ht="19.95" customHeight="1" x14ac:dyDescent="0.25">
      <c r="A265" s="17" t="s">
        <v>21</v>
      </c>
      <c r="B265" s="18" t="s">
        <v>44</v>
      </c>
      <c r="C265" s="18"/>
      <c r="D265" s="18">
        <v>1969</v>
      </c>
    </row>
    <row r="266" spans="1:4" ht="19.95" customHeight="1" x14ac:dyDescent="0.25">
      <c r="A266" s="17" t="s">
        <v>22</v>
      </c>
      <c r="B266" s="18" t="s">
        <v>44</v>
      </c>
      <c r="C266" s="18"/>
      <c r="D266" s="18">
        <v>1969</v>
      </c>
    </row>
    <row r="267" spans="1:4" ht="19.95" customHeight="1" x14ac:dyDescent="0.25">
      <c r="A267" s="17" t="s">
        <v>23</v>
      </c>
      <c r="B267" s="18" t="s">
        <v>44</v>
      </c>
      <c r="C267" s="18"/>
      <c r="D267" s="18">
        <v>1969</v>
      </c>
    </row>
    <row r="268" spans="1:4" ht="19.95" customHeight="1" x14ac:dyDescent="0.25">
      <c r="A268" s="17" t="s">
        <v>24</v>
      </c>
      <c r="B268" s="18" t="s">
        <v>44</v>
      </c>
      <c r="C268" s="18"/>
      <c r="D268" s="18">
        <v>1969</v>
      </c>
    </row>
    <row r="269" spans="1:4" ht="19.95" customHeight="1" x14ac:dyDescent="0.25">
      <c r="A269" s="17" t="s">
        <v>25</v>
      </c>
      <c r="B269" s="18" t="s">
        <v>44</v>
      </c>
      <c r="C269" s="18"/>
      <c r="D269" s="18">
        <v>1969</v>
      </c>
    </row>
    <row r="270" spans="1:4" ht="19.95" customHeight="1" x14ac:dyDescent="0.25">
      <c r="A270" s="17" t="s">
        <v>26</v>
      </c>
      <c r="B270" s="18" t="s">
        <v>44</v>
      </c>
      <c r="C270" s="18"/>
      <c r="D270" s="18">
        <v>1969</v>
      </c>
    </row>
    <row r="271" spans="1:4" ht="19.95" customHeight="1" x14ac:dyDescent="0.25">
      <c r="A271" s="17" t="s">
        <v>27</v>
      </c>
      <c r="B271" s="18" t="s">
        <v>44</v>
      </c>
      <c r="C271" s="18"/>
      <c r="D271" s="18">
        <v>1969</v>
      </c>
    </row>
    <row r="272" spans="1:4" ht="19.95" customHeight="1" x14ac:dyDescent="0.25">
      <c r="A272" s="17" t="s">
        <v>28</v>
      </c>
      <c r="B272" s="18" t="s">
        <v>44</v>
      </c>
      <c r="C272" s="18"/>
      <c r="D272" s="18">
        <v>1969</v>
      </c>
    </row>
    <row r="273" spans="1:4" ht="19.95" customHeight="1" x14ac:dyDescent="0.25">
      <c r="A273" s="17" t="s">
        <v>29</v>
      </c>
      <c r="B273" s="18" t="s">
        <v>44</v>
      </c>
      <c r="C273" s="18"/>
      <c r="D273" s="18">
        <v>1969</v>
      </c>
    </row>
    <row r="274" spans="1:4" ht="19.95" customHeight="1" x14ac:dyDescent="0.25">
      <c r="A274" s="17" t="s">
        <v>31</v>
      </c>
      <c r="B274" s="18" t="s">
        <v>44</v>
      </c>
      <c r="C274" s="18"/>
      <c r="D274" s="18">
        <v>1969</v>
      </c>
    </row>
    <row r="275" spans="1:4" ht="19.95" customHeight="1" x14ac:dyDescent="0.25">
      <c r="A275" s="17" t="s">
        <v>32</v>
      </c>
      <c r="B275" s="18" t="s">
        <v>44</v>
      </c>
      <c r="C275" s="18"/>
      <c r="D275" s="18">
        <v>1969</v>
      </c>
    </row>
    <row r="276" spans="1:4" ht="19.95" customHeight="1" x14ac:dyDescent="0.25">
      <c r="A276" s="17" t="s">
        <v>33</v>
      </c>
      <c r="B276" s="18" t="s">
        <v>44</v>
      </c>
      <c r="C276" s="18"/>
      <c r="D276" s="18">
        <v>1969</v>
      </c>
    </row>
    <row r="277" spans="1:4" ht="19.95" customHeight="1" x14ac:dyDescent="0.25">
      <c r="A277" s="17" t="s">
        <v>34</v>
      </c>
      <c r="B277" s="18" t="s">
        <v>44</v>
      </c>
      <c r="C277" s="18"/>
      <c r="D277" s="18">
        <v>1969</v>
      </c>
    </row>
    <row r="278" spans="1:4" ht="19.95" customHeight="1" x14ac:dyDescent="0.25">
      <c r="A278" s="17" t="s">
        <v>35</v>
      </c>
      <c r="B278" s="18" t="s">
        <v>44</v>
      </c>
      <c r="C278" s="18"/>
      <c r="D278" s="18">
        <v>1969</v>
      </c>
    </row>
    <row r="279" spans="1:4" ht="19.95" customHeight="1" x14ac:dyDescent="0.25">
      <c r="A279" s="17" t="s">
        <v>2</v>
      </c>
      <c r="B279" s="18" t="s">
        <v>44</v>
      </c>
      <c r="C279" s="18"/>
      <c r="D279" s="18">
        <v>1969</v>
      </c>
    </row>
    <row r="280" spans="1:4" ht="19.95" customHeight="1" x14ac:dyDescent="0.25">
      <c r="A280" s="17" t="s">
        <v>36</v>
      </c>
      <c r="B280" s="18" t="s">
        <v>44</v>
      </c>
      <c r="C280" s="18"/>
      <c r="D280" s="18">
        <v>1969</v>
      </c>
    </row>
    <row r="281" spans="1:4" ht="19.95" customHeight="1" x14ac:dyDescent="0.25">
      <c r="A281" s="17" t="s">
        <v>37</v>
      </c>
      <c r="B281" s="18" t="s">
        <v>44</v>
      </c>
      <c r="C281" s="18"/>
      <c r="D281" s="18">
        <v>1969</v>
      </c>
    </row>
    <row r="282" spans="1:4" ht="19.95" customHeight="1" x14ac:dyDescent="0.25">
      <c r="A282" s="17" t="s">
        <v>38</v>
      </c>
      <c r="B282" s="18" t="s">
        <v>44</v>
      </c>
      <c r="C282" s="18"/>
      <c r="D282" s="18">
        <v>1969</v>
      </c>
    </row>
    <row r="283" spans="1:4" ht="19.95" customHeight="1" x14ac:dyDescent="0.25">
      <c r="A283" s="17" t="s">
        <v>39</v>
      </c>
      <c r="B283" s="18" t="s">
        <v>44</v>
      </c>
      <c r="C283" s="18"/>
      <c r="D283" s="18">
        <v>1969</v>
      </c>
    </row>
    <row r="284" spans="1:4" ht="19.95" customHeight="1" x14ac:dyDescent="0.25">
      <c r="A284" s="17" t="s">
        <v>40</v>
      </c>
      <c r="B284" s="18" t="s">
        <v>44</v>
      </c>
      <c r="C284" s="18"/>
      <c r="D284" s="18">
        <v>1969</v>
      </c>
    </row>
    <row r="285" spans="1:4" ht="19.95" customHeight="1" x14ac:dyDescent="0.25">
      <c r="A285" s="17" t="s">
        <v>10</v>
      </c>
      <c r="B285" s="18" t="s">
        <v>44</v>
      </c>
      <c r="C285" s="18">
        <v>3674000</v>
      </c>
      <c r="D285" s="18">
        <v>1970</v>
      </c>
    </row>
    <row r="286" spans="1:4" ht="19.95" customHeight="1" x14ac:dyDescent="0.25">
      <c r="A286" s="17" t="s">
        <v>13</v>
      </c>
      <c r="B286" s="18" t="s">
        <v>44</v>
      </c>
      <c r="C286" s="18">
        <v>12313000</v>
      </c>
      <c r="D286" s="18">
        <v>1970</v>
      </c>
    </row>
    <row r="287" spans="1:4" ht="19.95" customHeight="1" x14ac:dyDescent="0.25">
      <c r="A287" s="17" t="s">
        <v>16</v>
      </c>
      <c r="B287" s="18" t="s">
        <v>44</v>
      </c>
      <c r="C287" s="18">
        <v>321000</v>
      </c>
      <c r="D287" s="18">
        <v>1970</v>
      </c>
    </row>
    <row r="288" spans="1:4" ht="19.95" customHeight="1" x14ac:dyDescent="0.25">
      <c r="A288" s="17" t="s">
        <v>15</v>
      </c>
      <c r="B288" s="18" t="s">
        <v>44</v>
      </c>
      <c r="C288" s="18">
        <v>0</v>
      </c>
      <c r="D288" s="18">
        <v>1970</v>
      </c>
    </row>
    <row r="289" spans="1:4" ht="19.95" customHeight="1" x14ac:dyDescent="0.25">
      <c r="A289" s="17" t="s">
        <v>17</v>
      </c>
      <c r="B289" s="18" t="s">
        <v>44</v>
      </c>
      <c r="C289" s="18">
        <v>0</v>
      </c>
      <c r="D289" s="18">
        <v>1970</v>
      </c>
    </row>
    <row r="290" spans="1:4" ht="19.95" customHeight="1" x14ac:dyDescent="0.25">
      <c r="A290" s="17" t="s">
        <v>18</v>
      </c>
      <c r="B290" s="18" t="s">
        <v>44</v>
      </c>
      <c r="C290" s="18">
        <v>70084000</v>
      </c>
      <c r="D290" s="18">
        <v>1970</v>
      </c>
    </row>
    <row r="291" spans="1:4" ht="19.95" customHeight="1" x14ac:dyDescent="0.25">
      <c r="A291" s="17" t="s">
        <v>19</v>
      </c>
      <c r="B291" s="18" t="s">
        <v>44</v>
      </c>
      <c r="C291" s="18">
        <v>20405000</v>
      </c>
      <c r="D291" s="18">
        <v>1970</v>
      </c>
    </row>
    <row r="292" spans="1:4" ht="19.95" customHeight="1" x14ac:dyDescent="0.25">
      <c r="A292" s="17" t="s">
        <v>20</v>
      </c>
      <c r="B292" s="18" t="s">
        <v>44</v>
      </c>
      <c r="C292" s="18">
        <v>350000</v>
      </c>
      <c r="D292" s="18">
        <v>1970</v>
      </c>
    </row>
    <row r="293" spans="1:4" ht="19.95" customHeight="1" x14ac:dyDescent="0.25">
      <c r="A293" s="17" t="s">
        <v>21</v>
      </c>
      <c r="B293" s="18" t="s">
        <v>44</v>
      </c>
      <c r="C293" s="18">
        <v>37239000</v>
      </c>
      <c r="D293" s="18">
        <v>1970</v>
      </c>
    </row>
    <row r="294" spans="1:4" ht="19.95" customHeight="1" x14ac:dyDescent="0.25">
      <c r="A294" s="17" t="s">
        <v>22</v>
      </c>
      <c r="B294" s="18" t="s">
        <v>44</v>
      </c>
      <c r="C294" s="18">
        <v>0</v>
      </c>
      <c r="D294" s="18">
        <v>1970</v>
      </c>
    </row>
    <row r="295" spans="1:4" ht="19.95" customHeight="1" x14ac:dyDescent="0.25">
      <c r="A295" s="17" t="s">
        <v>23</v>
      </c>
      <c r="B295" s="18" t="s">
        <v>44</v>
      </c>
      <c r="C295" s="18">
        <v>7361000</v>
      </c>
      <c r="D295" s="18">
        <v>1970</v>
      </c>
    </row>
    <row r="296" spans="1:4" ht="19.95" customHeight="1" x14ac:dyDescent="0.25">
      <c r="A296" s="17" t="s">
        <v>24</v>
      </c>
      <c r="B296" s="18" t="s">
        <v>44</v>
      </c>
      <c r="C296" s="18">
        <v>11445000</v>
      </c>
      <c r="D296" s="18">
        <v>1970</v>
      </c>
    </row>
    <row r="297" spans="1:4" ht="19.95" customHeight="1" x14ac:dyDescent="0.25">
      <c r="A297" s="17" t="s">
        <v>25</v>
      </c>
      <c r="B297" s="18" t="s">
        <v>44</v>
      </c>
      <c r="C297" s="18">
        <v>16891000</v>
      </c>
      <c r="D297" s="18">
        <v>1970</v>
      </c>
    </row>
    <row r="298" spans="1:4" ht="19.95" customHeight="1" x14ac:dyDescent="0.25">
      <c r="A298" s="17" t="s">
        <v>26</v>
      </c>
      <c r="B298" s="18" t="s">
        <v>44</v>
      </c>
      <c r="C298" s="18">
        <v>5977000</v>
      </c>
      <c r="D298" s="18">
        <v>1970</v>
      </c>
    </row>
    <row r="299" spans="1:4" ht="19.95" customHeight="1" x14ac:dyDescent="0.25">
      <c r="A299" s="17" t="s">
        <v>27</v>
      </c>
      <c r="B299" s="18" t="s">
        <v>44</v>
      </c>
      <c r="C299" s="18">
        <v>0</v>
      </c>
      <c r="D299" s="18">
        <v>1970</v>
      </c>
    </row>
    <row r="300" spans="1:4" ht="19.95" customHeight="1" x14ac:dyDescent="0.25">
      <c r="A300" s="17" t="s">
        <v>28</v>
      </c>
      <c r="B300" s="18" t="s">
        <v>44</v>
      </c>
      <c r="C300" s="18">
        <v>0</v>
      </c>
      <c r="D300" s="18">
        <v>1970</v>
      </c>
    </row>
    <row r="301" spans="1:4" ht="19.95" customHeight="1" x14ac:dyDescent="0.25">
      <c r="A301" s="17" t="s">
        <v>29</v>
      </c>
      <c r="B301" s="18" t="s">
        <v>44</v>
      </c>
      <c r="C301" s="18">
        <v>0</v>
      </c>
      <c r="D301" s="18">
        <v>1970</v>
      </c>
    </row>
    <row r="302" spans="1:4" ht="19.95" customHeight="1" x14ac:dyDescent="0.25">
      <c r="A302" s="17" t="s">
        <v>31</v>
      </c>
      <c r="B302" s="18" t="s">
        <v>44</v>
      </c>
      <c r="C302" s="18">
        <v>93000</v>
      </c>
      <c r="D302" s="18">
        <v>1970</v>
      </c>
    </row>
    <row r="303" spans="1:4" ht="19.95" customHeight="1" x14ac:dyDescent="0.25">
      <c r="A303" s="17" t="s">
        <v>32</v>
      </c>
      <c r="B303" s="18" t="s">
        <v>44</v>
      </c>
      <c r="C303" s="18">
        <v>29567000</v>
      </c>
      <c r="D303" s="18">
        <v>1970</v>
      </c>
    </row>
    <row r="304" spans="1:4" ht="19.95" customHeight="1" x14ac:dyDescent="0.25">
      <c r="A304" s="17" t="s">
        <v>33</v>
      </c>
      <c r="B304" s="18" t="s">
        <v>44</v>
      </c>
      <c r="C304" s="18">
        <v>4248000</v>
      </c>
      <c r="D304" s="18">
        <v>1970</v>
      </c>
    </row>
    <row r="305" spans="1:4" ht="19.95" customHeight="1" x14ac:dyDescent="0.25">
      <c r="A305" s="17" t="s">
        <v>34</v>
      </c>
      <c r="B305" s="18" t="s">
        <v>44</v>
      </c>
      <c r="C305" s="18">
        <v>63000</v>
      </c>
      <c r="D305" s="18">
        <v>1970</v>
      </c>
    </row>
    <row r="306" spans="1:4" ht="19.95" customHeight="1" x14ac:dyDescent="0.25">
      <c r="A306" s="17" t="s">
        <v>35</v>
      </c>
      <c r="B306" s="18" t="s">
        <v>44</v>
      </c>
      <c r="C306" s="18">
        <v>0</v>
      </c>
      <c r="D306" s="18">
        <v>1970</v>
      </c>
    </row>
    <row r="307" spans="1:4" ht="19.95" customHeight="1" x14ac:dyDescent="0.25">
      <c r="A307" s="17" t="s">
        <v>2</v>
      </c>
      <c r="B307" s="18" t="s">
        <v>44</v>
      </c>
      <c r="C307" s="18">
        <v>27194000</v>
      </c>
      <c r="D307" s="18">
        <v>1970</v>
      </c>
    </row>
    <row r="308" spans="1:4" ht="19.95" customHeight="1" x14ac:dyDescent="0.25">
      <c r="A308" s="17" t="s">
        <v>36</v>
      </c>
      <c r="B308" s="18" t="s">
        <v>44</v>
      </c>
      <c r="C308" s="18">
        <v>0</v>
      </c>
      <c r="D308" s="18">
        <v>1970</v>
      </c>
    </row>
    <row r="309" spans="1:4" ht="19.95" customHeight="1" x14ac:dyDescent="0.25">
      <c r="A309" s="17" t="s">
        <v>37</v>
      </c>
      <c r="B309" s="18" t="s">
        <v>44</v>
      </c>
      <c r="C309" s="18">
        <v>38337000</v>
      </c>
      <c r="D309" s="18">
        <v>1970</v>
      </c>
    </row>
    <row r="310" spans="1:4" ht="19.95" customHeight="1" x14ac:dyDescent="0.25">
      <c r="A310" s="17" t="s">
        <v>38</v>
      </c>
      <c r="B310" s="18" t="s">
        <v>44</v>
      </c>
      <c r="C310" s="18">
        <v>18969000</v>
      </c>
      <c r="D310" s="18">
        <v>1970</v>
      </c>
    </row>
    <row r="311" spans="1:4" ht="19.95" customHeight="1" x14ac:dyDescent="0.25">
      <c r="A311" s="17" t="s">
        <v>39</v>
      </c>
      <c r="B311" s="18" t="s">
        <v>44</v>
      </c>
      <c r="C311" s="18">
        <v>61433000</v>
      </c>
      <c r="D311" s="18">
        <v>1970</v>
      </c>
    </row>
    <row r="312" spans="1:4" ht="19.95" customHeight="1" x14ac:dyDescent="0.25">
      <c r="A312" s="17" t="s">
        <v>40</v>
      </c>
      <c r="B312" s="18" t="s">
        <v>44</v>
      </c>
      <c r="C312" s="18">
        <v>40589000</v>
      </c>
      <c r="D312" s="18">
        <v>1970</v>
      </c>
    </row>
    <row r="313" spans="1:4" ht="19.95" customHeight="1" x14ac:dyDescent="0.25">
      <c r="A313" s="17" t="s">
        <v>10</v>
      </c>
      <c r="B313" s="18" t="s">
        <v>44</v>
      </c>
      <c r="C313" s="18">
        <v>3875000</v>
      </c>
      <c r="D313" s="18">
        <v>1971</v>
      </c>
    </row>
    <row r="314" spans="1:4" ht="19.95" customHeight="1" x14ac:dyDescent="0.25">
      <c r="A314" s="17" t="s">
        <v>13</v>
      </c>
      <c r="B314" s="18" t="s">
        <v>44</v>
      </c>
      <c r="C314" s="18">
        <v>18705000</v>
      </c>
      <c r="D314" s="18">
        <v>1971</v>
      </c>
    </row>
    <row r="315" spans="1:4" ht="19.95" customHeight="1" x14ac:dyDescent="0.25">
      <c r="A315" s="17" t="s">
        <v>16</v>
      </c>
      <c r="B315" s="18" t="s">
        <v>44</v>
      </c>
      <c r="C315" s="18">
        <v>1851000</v>
      </c>
      <c r="D315" s="18">
        <v>1971</v>
      </c>
    </row>
    <row r="316" spans="1:4" ht="19.95" customHeight="1" x14ac:dyDescent="0.25">
      <c r="A316" s="17" t="s">
        <v>15</v>
      </c>
      <c r="B316" s="18" t="s">
        <v>44</v>
      </c>
      <c r="C316" s="18">
        <v>0</v>
      </c>
      <c r="D316" s="18">
        <v>1971</v>
      </c>
    </row>
    <row r="317" spans="1:4" ht="19.95" customHeight="1" x14ac:dyDescent="0.25">
      <c r="A317" s="17" t="s">
        <v>17</v>
      </c>
      <c r="B317" s="18" t="s">
        <v>44</v>
      </c>
      <c r="C317" s="18">
        <v>0</v>
      </c>
      <c r="D317" s="18">
        <v>1971</v>
      </c>
    </row>
    <row r="318" spans="1:4" ht="19.95" customHeight="1" x14ac:dyDescent="0.25">
      <c r="A318" s="17" t="s">
        <v>18</v>
      </c>
      <c r="B318" s="18" t="s">
        <v>44</v>
      </c>
      <c r="C318" s="18">
        <v>83485000</v>
      </c>
      <c r="D318" s="18">
        <v>1971</v>
      </c>
    </row>
    <row r="319" spans="1:4" ht="19.95" customHeight="1" x14ac:dyDescent="0.25">
      <c r="A319" s="17" t="s">
        <v>19</v>
      </c>
      <c r="B319" s="18" t="s">
        <v>44</v>
      </c>
      <c r="C319" s="18">
        <v>44564000</v>
      </c>
      <c r="D319" s="18">
        <v>1971</v>
      </c>
    </row>
    <row r="320" spans="1:4" ht="19.95" customHeight="1" x14ac:dyDescent="0.25">
      <c r="A320" s="17" t="s">
        <v>20</v>
      </c>
      <c r="B320" s="18" t="s">
        <v>44</v>
      </c>
      <c r="C320" s="18">
        <v>350000</v>
      </c>
      <c r="D320" s="18">
        <v>1971</v>
      </c>
    </row>
    <row r="321" spans="1:4" ht="19.95" customHeight="1" x14ac:dyDescent="0.25">
      <c r="A321" s="17" t="s">
        <v>21</v>
      </c>
      <c r="B321" s="18" t="s">
        <v>44</v>
      </c>
      <c r="C321" s="18">
        <v>46779000</v>
      </c>
      <c r="D321" s="18">
        <v>1971</v>
      </c>
    </row>
    <row r="322" spans="1:4" ht="19.95" customHeight="1" x14ac:dyDescent="0.25">
      <c r="A322" s="17" t="s">
        <v>22</v>
      </c>
      <c r="B322" s="18" t="s">
        <v>44</v>
      </c>
      <c r="C322" s="18">
        <v>0</v>
      </c>
      <c r="D322" s="18">
        <v>1971</v>
      </c>
    </row>
    <row r="323" spans="1:4" ht="19.95" customHeight="1" x14ac:dyDescent="0.25">
      <c r="A323" s="17" t="s">
        <v>23</v>
      </c>
      <c r="B323" s="18" t="s">
        <v>44</v>
      </c>
      <c r="C323" s="18">
        <v>9167000</v>
      </c>
      <c r="D323" s="18">
        <v>1971</v>
      </c>
    </row>
    <row r="324" spans="1:4" ht="19.95" customHeight="1" x14ac:dyDescent="0.25">
      <c r="A324" s="17" t="s">
        <v>24</v>
      </c>
      <c r="B324" s="18" t="s">
        <v>44</v>
      </c>
      <c r="C324" s="18">
        <v>17029000</v>
      </c>
      <c r="D324" s="18">
        <v>1971</v>
      </c>
    </row>
    <row r="325" spans="1:4" ht="19.95" customHeight="1" x14ac:dyDescent="0.25">
      <c r="A325" s="17" t="s">
        <v>25</v>
      </c>
      <c r="B325" s="18" t="s">
        <v>44</v>
      </c>
      <c r="C325" s="18">
        <v>24192000</v>
      </c>
      <c r="D325" s="18">
        <v>1971</v>
      </c>
    </row>
    <row r="326" spans="1:4" ht="19.95" customHeight="1" x14ac:dyDescent="0.25">
      <c r="A326" s="17" t="s">
        <v>26</v>
      </c>
      <c r="B326" s="18" t="s">
        <v>44</v>
      </c>
      <c r="C326" s="18">
        <v>9547000</v>
      </c>
      <c r="D326" s="18">
        <v>1971</v>
      </c>
    </row>
    <row r="327" spans="1:4" ht="19.95" customHeight="1" x14ac:dyDescent="0.25">
      <c r="A327" s="17" t="s">
        <v>27</v>
      </c>
      <c r="B327" s="18" t="s">
        <v>44</v>
      </c>
      <c r="C327" s="18">
        <v>0</v>
      </c>
      <c r="D327" s="18">
        <v>1971</v>
      </c>
    </row>
    <row r="328" spans="1:4" ht="19.95" customHeight="1" x14ac:dyDescent="0.25">
      <c r="A328" s="17" t="s">
        <v>28</v>
      </c>
      <c r="B328" s="18" t="s">
        <v>44</v>
      </c>
      <c r="C328" s="18">
        <v>0</v>
      </c>
      <c r="D328" s="18">
        <v>1971</v>
      </c>
    </row>
    <row r="329" spans="1:4" ht="19.95" customHeight="1" x14ac:dyDescent="0.25">
      <c r="A329" s="17" t="s">
        <v>29</v>
      </c>
      <c r="B329" s="18" t="s">
        <v>44</v>
      </c>
      <c r="C329" s="18">
        <v>0</v>
      </c>
      <c r="D329" s="18">
        <v>1971</v>
      </c>
    </row>
    <row r="330" spans="1:4" ht="19.95" customHeight="1" x14ac:dyDescent="0.25">
      <c r="A330" s="17" t="s">
        <v>31</v>
      </c>
      <c r="B330" s="18" t="s">
        <v>44</v>
      </c>
      <c r="C330" s="18">
        <v>286000</v>
      </c>
      <c r="D330" s="18">
        <v>1971</v>
      </c>
    </row>
    <row r="331" spans="1:4" ht="19.95" customHeight="1" x14ac:dyDescent="0.25">
      <c r="A331" s="17" t="s">
        <v>32</v>
      </c>
      <c r="B331" s="18" t="s">
        <v>44</v>
      </c>
      <c r="C331" s="18">
        <v>33913000</v>
      </c>
      <c r="D331" s="18">
        <v>1971</v>
      </c>
    </row>
    <row r="332" spans="1:4" ht="19.95" customHeight="1" x14ac:dyDescent="0.25">
      <c r="A332" s="17" t="s">
        <v>33</v>
      </c>
      <c r="B332" s="18" t="s">
        <v>44</v>
      </c>
      <c r="C332" s="18">
        <v>5993000</v>
      </c>
      <c r="D332" s="18">
        <v>1971</v>
      </c>
    </row>
    <row r="333" spans="1:4" ht="19.95" customHeight="1" x14ac:dyDescent="0.25">
      <c r="A333" s="17" t="s">
        <v>34</v>
      </c>
      <c r="B333" s="18" t="s">
        <v>44</v>
      </c>
      <c r="C333" s="18">
        <v>220000</v>
      </c>
      <c r="D333" s="18">
        <v>1971</v>
      </c>
    </row>
    <row r="334" spans="1:4" ht="19.95" customHeight="1" x14ac:dyDescent="0.25">
      <c r="A334" s="17" t="s">
        <v>35</v>
      </c>
      <c r="B334" s="18" t="s">
        <v>44</v>
      </c>
      <c r="C334" s="18">
        <v>0</v>
      </c>
      <c r="D334" s="18">
        <v>1971</v>
      </c>
    </row>
    <row r="335" spans="1:4" ht="19.95" customHeight="1" x14ac:dyDescent="0.25">
      <c r="A335" s="17" t="s">
        <v>2</v>
      </c>
      <c r="B335" s="18" t="s">
        <v>44</v>
      </c>
      <c r="C335" s="18">
        <v>32956000</v>
      </c>
      <c r="D335" s="18">
        <v>1971</v>
      </c>
    </row>
    <row r="336" spans="1:4" ht="19.95" customHeight="1" x14ac:dyDescent="0.25">
      <c r="A336" s="17" t="s">
        <v>36</v>
      </c>
      <c r="B336" s="18" t="s">
        <v>44</v>
      </c>
      <c r="C336" s="18">
        <v>0</v>
      </c>
      <c r="D336" s="18">
        <v>1971</v>
      </c>
    </row>
    <row r="337" spans="1:4" ht="19.95" customHeight="1" x14ac:dyDescent="0.25">
      <c r="A337" s="17" t="s">
        <v>37</v>
      </c>
      <c r="B337" s="18" t="s">
        <v>44</v>
      </c>
      <c r="C337" s="18">
        <v>53570000</v>
      </c>
      <c r="D337" s="18">
        <v>1971</v>
      </c>
    </row>
    <row r="338" spans="1:4" ht="19.95" customHeight="1" x14ac:dyDescent="0.25">
      <c r="A338" s="17" t="s">
        <v>38</v>
      </c>
      <c r="B338" s="18" t="s">
        <v>44</v>
      </c>
      <c r="C338" s="18">
        <v>26601000</v>
      </c>
      <c r="D338" s="18">
        <v>1971</v>
      </c>
    </row>
    <row r="339" spans="1:4" ht="19.95" customHeight="1" x14ac:dyDescent="0.25">
      <c r="A339" s="17" t="s">
        <v>39</v>
      </c>
      <c r="B339" s="18" t="s">
        <v>44</v>
      </c>
      <c r="C339" s="18">
        <v>64692000</v>
      </c>
      <c r="D339" s="18">
        <v>1971</v>
      </c>
    </row>
    <row r="340" spans="1:4" ht="19.95" customHeight="1" x14ac:dyDescent="0.25">
      <c r="A340" s="17" t="s">
        <v>40</v>
      </c>
      <c r="B340" s="18" t="s">
        <v>44</v>
      </c>
      <c r="C340" s="18">
        <v>37046000</v>
      </c>
      <c r="D340" s="18">
        <v>1971</v>
      </c>
    </row>
    <row r="341" spans="1:4" ht="19.95" customHeight="1" x14ac:dyDescent="0.25">
      <c r="A341" s="17" t="s">
        <v>10</v>
      </c>
      <c r="B341" s="18" t="s">
        <v>44</v>
      </c>
      <c r="C341" s="18">
        <v>4197000</v>
      </c>
      <c r="D341" s="18">
        <v>1972</v>
      </c>
    </row>
    <row r="342" spans="1:4" ht="19.95" customHeight="1" x14ac:dyDescent="0.25">
      <c r="A342" s="17" t="s">
        <v>13</v>
      </c>
      <c r="B342" s="18" t="s">
        <v>44</v>
      </c>
      <c r="C342" s="18">
        <v>32185000</v>
      </c>
      <c r="D342" s="18">
        <v>1972</v>
      </c>
    </row>
    <row r="343" spans="1:4" ht="19.95" customHeight="1" x14ac:dyDescent="0.25">
      <c r="A343" s="17" t="s">
        <v>16</v>
      </c>
      <c r="B343" s="18" t="s">
        <v>44</v>
      </c>
      <c r="C343" s="18">
        <v>2645000</v>
      </c>
      <c r="D343" s="18">
        <v>1972</v>
      </c>
    </row>
    <row r="344" spans="1:4" ht="19.95" customHeight="1" x14ac:dyDescent="0.25">
      <c r="A344" s="17" t="s">
        <v>15</v>
      </c>
      <c r="B344" s="18" t="s">
        <v>44</v>
      </c>
      <c r="C344" s="18">
        <v>0</v>
      </c>
      <c r="D344" s="18">
        <v>1972</v>
      </c>
    </row>
    <row r="345" spans="1:4" ht="19.95" customHeight="1" x14ac:dyDescent="0.25">
      <c r="A345" s="17" t="s">
        <v>17</v>
      </c>
      <c r="B345" s="18" t="s">
        <v>44</v>
      </c>
      <c r="C345" s="18">
        <v>0</v>
      </c>
      <c r="D345" s="18">
        <v>1972</v>
      </c>
    </row>
    <row r="346" spans="1:4" ht="19.95" customHeight="1" x14ac:dyDescent="0.25">
      <c r="A346" s="17" t="s">
        <v>18</v>
      </c>
      <c r="B346" s="18" t="s">
        <v>44</v>
      </c>
      <c r="C346" s="18">
        <v>97374000</v>
      </c>
      <c r="D346" s="18">
        <v>1972</v>
      </c>
    </row>
    <row r="347" spans="1:4" ht="19.95" customHeight="1" x14ac:dyDescent="0.25">
      <c r="A347" s="17" t="s">
        <v>19</v>
      </c>
      <c r="B347" s="18" t="s">
        <v>44</v>
      </c>
      <c r="C347" s="18">
        <v>66665000</v>
      </c>
      <c r="D347" s="18">
        <v>1972</v>
      </c>
    </row>
    <row r="348" spans="1:4" ht="19.95" customHeight="1" x14ac:dyDescent="0.25">
      <c r="A348" s="17" t="s">
        <v>20</v>
      </c>
      <c r="B348" s="18" t="s">
        <v>44</v>
      </c>
      <c r="C348" s="18">
        <v>378000</v>
      </c>
      <c r="D348" s="18">
        <v>1972</v>
      </c>
    </row>
    <row r="349" spans="1:4" ht="19.95" customHeight="1" x14ac:dyDescent="0.25">
      <c r="A349" s="17" t="s">
        <v>21</v>
      </c>
      <c r="B349" s="18" t="s">
        <v>44</v>
      </c>
      <c r="C349" s="18">
        <v>76419000</v>
      </c>
      <c r="D349" s="18">
        <v>1972</v>
      </c>
    </row>
    <row r="350" spans="1:4" ht="19.95" customHeight="1" x14ac:dyDescent="0.25">
      <c r="A350" s="17" t="s">
        <v>22</v>
      </c>
      <c r="B350" s="18" t="s">
        <v>44</v>
      </c>
      <c r="C350" s="18">
        <v>0</v>
      </c>
      <c r="D350" s="18">
        <v>1972</v>
      </c>
    </row>
    <row r="351" spans="1:4" ht="19.95" customHeight="1" x14ac:dyDescent="0.25">
      <c r="A351" s="17" t="s">
        <v>23</v>
      </c>
      <c r="B351" s="18" t="s">
        <v>44</v>
      </c>
      <c r="C351" s="18">
        <v>12474000</v>
      </c>
      <c r="D351" s="18">
        <v>1972</v>
      </c>
    </row>
    <row r="352" spans="1:4" ht="19.95" customHeight="1" x14ac:dyDescent="0.25">
      <c r="A352" s="17" t="s">
        <v>24</v>
      </c>
      <c r="B352" s="18" t="s">
        <v>44</v>
      </c>
      <c r="C352" s="18">
        <v>22467000</v>
      </c>
      <c r="D352" s="18">
        <v>1972</v>
      </c>
    </row>
    <row r="353" spans="1:4" ht="19.95" customHeight="1" x14ac:dyDescent="0.25">
      <c r="A353" s="17" t="s">
        <v>25</v>
      </c>
      <c r="B353" s="18" t="s">
        <v>44</v>
      </c>
      <c r="C353" s="18">
        <v>34233000</v>
      </c>
      <c r="D353" s="18">
        <v>1972</v>
      </c>
    </row>
    <row r="354" spans="1:4" ht="19.95" customHeight="1" x14ac:dyDescent="0.25">
      <c r="A354" s="17" t="s">
        <v>26</v>
      </c>
      <c r="B354" s="18" t="s">
        <v>44</v>
      </c>
      <c r="C354" s="18">
        <v>15438000</v>
      </c>
      <c r="D354" s="18">
        <v>1972</v>
      </c>
    </row>
    <row r="355" spans="1:4" ht="19.95" customHeight="1" x14ac:dyDescent="0.25">
      <c r="A355" s="17" t="s">
        <v>27</v>
      </c>
      <c r="B355" s="18" t="s">
        <v>44</v>
      </c>
      <c r="C355" s="18">
        <v>0</v>
      </c>
      <c r="D355" s="18">
        <v>1972</v>
      </c>
    </row>
    <row r="356" spans="1:4" ht="19.95" customHeight="1" x14ac:dyDescent="0.25">
      <c r="A356" s="17" t="s">
        <v>28</v>
      </c>
      <c r="B356" s="18" t="s">
        <v>44</v>
      </c>
      <c r="C356" s="18">
        <v>0</v>
      </c>
      <c r="D356" s="18">
        <v>1972</v>
      </c>
    </row>
    <row r="357" spans="1:4" ht="19.95" customHeight="1" x14ac:dyDescent="0.25">
      <c r="A357" s="17" t="s">
        <v>29</v>
      </c>
      <c r="B357" s="18" t="s">
        <v>44</v>
      </c>
      <c r="C357" s="18">
        <v>0</v>
      </c>
      <c r="D357" s="18">
        <v>1972</v>
      </c>
    </row>
    <row r="358" spans="1:4" ht="19.95" customHeight="1" x14ac:dyDescent="0.25">
      <c r="A358" s="17" t="s">
        <v>31</v>
      </c>
      <c r="B358" s="18" t="s">
        <v>44</v>
      </c>
      <c r="C358" s="18">
        <v>398000</v>
      </c>
      <c r="D358" s="18">
        <v>1972</v>
      </c>
    </row>
    <row r="359" spans="1:4" ht="19.95" customHeight="1" x14ac:dyDescent="0.25">
      <c r="A359" s="17" t="s">
        <v>32</v>
      </c>
      <c r="B359" s="18" t="s">
        <v>44</v>
      </c>
      <c r="C359" s="18">
        <v>35677000</v>
      </c>
      <c r="D359" s="18">
        <v>1972</v>
      </c>
    </row>
    <row r="360" spans="1:4" ht="19.95" customHeight="1" x14ac:dyDescent="0.25">
      <c r="A360" s="17" t="s">
        <v>33</v>
      </c>
      <c r="B360" s="18" t="s">
        <v>44</v>
      </c>
      <c r="C360" s="18">
        <v>9619000</v>
      </c>
      <c r="D360" s="18">
        <v>1972</v>
      </c>
    </row>
    <row r="361" spans="1:4" ht="19.95" customHeight="1" x14ac:dyDescent="0.25">
      <c r="A361" s="17" t="s">
        <v>34</v>
      </c>
      <c r="B361" s="18" t="s">
        <v>44</v>
      </c>
      <c r="C361" s="18">
        <v>1191000</v>
      </c>
      <c r="D361" s="18">
        <v>1972</v>
      </c>
    </row>
    <row r="362" spans="1:4" ht="19.95" customHeight="1" x14ac:dyDescent="0.25">
      <c r="A362" s="17" t="s">
        <v>35</v>
      </c>
      <c r="B362" s="18" t="s">
        <v>44</v>
      </c>
      <c r="C362" s="18">
        <v>0</v>
      </c>
      <c r="D362" s="18">
        <v>1972</v>
      </c>
    </row>
    <row r="363" spans="1:4" ht="19.95" customHeight="1" x14ac:dyDescent="0.25">
      <c r="A363" s="17" t="s">
        <v>2</v>
      </c>
      <c r="B363" s="18" t="s">
        <v>44</v>
      </c>
      <c r="C363" s="18">
        <v>36757000</v>
      </c>
      <c r="D363" s="18">
        <v>1972</v>
      </c>
    </row>
    <row r="364" spans="1:4" ht="19.95" customHeight="1" x14ac:dyDescent="0.25">
      <c r="A364" s="17" t="s">
        <v>36</v>
      </c>
      <c r="B364" s="18" t="s">
        <v>44</v>
      </c>
      <c r="C364" s="18">
        <v>0</v>
      </c>
      <c r="D364" s="18">
        <v>1972</v>
      </c>
    </row>
    <row r="365" spans="1:4" ht="19.95" customHeight="1" x14ac:dyDescent="0.25">
      <c r="A365" s="17" t="s">
        <v>37</v>
      </c>
      <c r="B365" s="18" t="s">
        <v>44</v>
      </c>
      <c r="C365" s="18">
        <v>73172000</v>
      </c>
      <c r="D365" s="18">
        <v>1972</v>
      </c>
    </row>
    <row r="366" spans="1:4" ht="19.95" customHeight="1" x14ac:dyDescent="0.25">
      <c r="A366" s="17" t="s">
        <v>38</v>
      </c>
      <c r="B366" s="18" t="s">
        <v>44</v>
      </c>
      <c r="C366" s="18">
        <v>34597000</v>
      </c>
      <c r="D366" s="18">
        <v>1972</v>
      </c>
    </row>
    <row r="367" spans="1:4" ht="19.95" customHeight="1" x14ac:dyDescent="0.25">
      <c r="A367" s="17" t="s">
        <v>39</v>
      </c>
      <c r="B367" s="18" t="s">
        <v>44</v>
      </c>
      <c r="C367" s="18">
        <v>73925000</v>
      </c>
      <c r="D367" s="18">
        <v>1972</v>
      </c>
    </row>
    <row r="368" spans="1:4" ht="19.95" customHeight="1" x14ac:dyDescent="0.25">
      <c r="A368" s="17" t="s">
        <v>40</v>
      </c>
      <c r="B368" s="18" t="s">
        <v>44</v>
      </c>
      <c r="C368" s="18">
        <v>32514000</v>
      </c>
      <c r="D368" s="18">
        <v>1972</v>
      </c>
    </row>
    <row r="369" spans="1:4" ht="19.95" customHeight="1" x14ac:dyDescent="0.25">
      <c r="A369" s="17" t="s">
        <v>10</v>
      </c>
      <c r="B369" s="18" t="s">
        <v>44</v>
      </c>
      <c r="C369" s="18">
        <v>4299000</v>
      </c>
      <c r="D369" s="18">
        <v>1973</v>
      </c>
    </row>
    <row r="370" spans="1:4" ht="19.95" customHeight="1" x14ac:dyDescent="0.25">
      <c r="A370" s="17" t="s">
        <v>13</v>
      </c>
      <c r="B370" s="18" t="s">
        <v>44</v>
      </c>
      <c r="C370" s="18">
        <v>53236000</v>
      </c>
      <c r="D370" s="18">
        <v>1973</v>
      </c>
    </row>
    <row r="371" spans="1:4" ht="19.95" customHeight="1" x14ac:dyDescent="0.25">
      <c r="A371" s="17" t="s">
        <v>16</v>
      </c>
      <c r="B371" s="18" t="s">
        <v>44</v>
      </c>
      <c r="C371" s="18">
        <v>4492000</v>
      </c>
      <c r="D371" s="18">
        <v>1973</v>
      </c>
    </row>
    <row r="372" spans="1:4" ht="19.95" customHeight="1" x14ac:dyDescent="0.25">
      <c r="A372" s="17" t="s">
        <v>15</v>
      </c>
      <c r="B372" s="18" t="s">
        <v>44</v>
      </c>
      <c r="C372" s="18">
        <v>0</v>
      </c>
      <c r="D372" s="18">
        <v>1973</v>
      </c>
    </row>
    <row r="373" spans="1:4" ht="19.95" customHeight="1" x14ac:dyDescent="0.25">
      <c r="A373" s="17" t="s">
        <v>17</v>
      </c>
      <c r="B373" s="18" t="s">
        <v>44</v>
      </c>
      <c r="C373" s="18">
        <v>0</v>
      </c>
      <c r="D373" s="18">
        <v>1973</v>
      </c>
    </row>
    <row r="374" spans="1:4" ht="19.95" customHeight="1" x14ac:dyDescent="0.25">
      <c r="A374" s="17" t="s">
        <v>18</v>
      </c>
      <c r="B374" s="18" t="s">
        <v>44</v>
      </c>
      <c r="C374" s="18">
        <v>112902000</v>
      </c>
      <c r="D374" s="18">
        <v>1973</v>
      </c>
    </row>
    <row r="375" spans="1:4" ht="19.95" customHeight="1" x14ac:dyDescent="0.25">
      <c r="A375" s="17" t="s">
        <v>19</v>
      </c>
      <c r="B375" s="18" t="s">
        <v>44</v>
      </c>
      <c r="C375" s="18">
        <v>72545000</v>
      </c>
      <c r="D375" s="18">
        <v>1973</v>
      </c>
    </row>
    <row r="376" spans="1:4" ht="19.95" customHeight="1" x14ac:dyDescent="0.25">
      <c r="A376" s="17" t="s">
        <v>20</v>
      </c>
      <c r="B376" s="18" t="s">
        <v>44</v>
      </c>
      <c r="C376" s="18">
        <v>416000</v>
      </c>
      <c r="D376" s="18">
        <v>1973</v>
      </c>
    </row>
    <row r="377" spans="1:4" ht="19.95" customHeight="1" x14ac:dyDescent="0.25">
      <c r="A377" s="17" t="s">
        <v>21</v>
      </c>
      <c r="B377" s="18" t="s">
        <v>44</v>
      </c>
      <c r="C377" s="18">
        <v>113195000</v>
      </c>
      <c r="D377" s="18">
        <v>1973</v>
      </c>
    </row>
    <row r="378" spans="1:4" ht="19.95" customHeight="1" x14ac:dyDescent="0.25">
      <c r="A378" s="17" t="s">
        <v>22</v>
      </c>
      <c r="B378" s="18" t="s">
        <v>44</v>
      </c>
      <c r="C378" s="18">
        <v>0</v>
      </c>
      <c r="D378" s="18">
        <v>1973</v>
      </c>
    </row>
    <row r="379" spans="1:4" ht="19.95" customHeight="1" x14ac:dyDescent="0.25">
      <c r="A379" s="17" t="s">
        <v>23</v>
      </c>
      <c r="B379" s="18" t="s">
        <v>44</v>
      </c>
      <c r="C379" s="18">
        <v>18664000</v>
      </c>
      <c r="D379" s="18">
        <v>1973</v>
      </c>
    </row>
    <row r="380" spans="1:4" ht="19.95" customHeight="1" x14ac:dyDescent="0.25">
      <c r="A380" s="17" t="s">
        <v>24</v>
      </c>
      <c r="B380" s="18" t="s">
        <v>44</v>
      </c>
      <c r="C380" s="18">
        <v>38477000</v>
      </c>
      <c r="D380" s="18">
        <v>1973</v>
      </c>
    </row>
    <row r="381" spans="1:4" ht="19.95" customHeight="1" x14ac:dyDescent="0.25">
      <c r="A381" s="17" t="s">
        <v>25</v>
      </c>
      <c r="B381" s="18" t="s">
        <v>44</v>
      </c>
      <c r="C381" s="18">
        <v>42789000</v>
      </c>
      <c r="D381" s="18">
        <v>1973</v>
      </c>
    </row>
    <row r="382" spans="1:4" ht="19.95" customHeight="1" x14ac:dyDescent="0.25">
      <c r="A382" s="17" t="s">
        <v>26</v>
      </c>
      <c r="B382" s="18" t="s">
        <v>44</v>
      </c>
      <c r="C382" s="18">
        <v>21695000</v>
      </c>
      <c r="D382" s="18">
        <v>1973</v>
      </c>
    </row>
    <row r="383" spans="1:4" ht="19.95" customHeight="1" x14ac:dyDescent="0.25">
      <c r="A383" s="17" t="s">
        <v>27</v>
      </c>
      <c r="B383" s="18" t="s">
        <v>44</v>
      </c>
      <c r="C383" s="18">
        <v>0</v>
      </c>
      <c r="D383" s="18">
        <v>1973</v>
      </c>
    </row>
    <row r="384" spans="1:4" ht="19.95" customHeight="1" x14ac:dyDescent="0.25">
      <c r="A384" s="17" t="s">
        <v>28</v>
      </c>
      <c r="B384" s="18" t="s">
        <v>44</v>
      </c>
      <c r="C384" s="18">
        <v>0</v>
      </c>
      <c r="D384" s="18">
        <v>1973</v>
      </c>
    </row>
    <row r="385" spans="1:4" ht="19.95" customHeight="1" x14ac:dyDescent="0.25">
      <c r="A385" s="17" t="s">
        <v>29</v>
      </c>
      <c r="B385" s="18" t="s">
        <v>44</v>
      </c>
      <c r="C385" s="18">
        <v>6895000</v>
      </c>
      <c r="D385" s="18">
        <v>1973</v>
      </c>
    </row>
    <row r="386" spans="1:4" ht="19.95" customHeight="1" x14ac:dyDescent="0.25">
      <c r="A386" s="17" t="s">
        <v>31</v>
      </c>
      <c r="B386" s="18" t="s">
        <v>44</v>
      </c>
      <c r="C386" s="18">
        <v>2006000</v>
      </c>
      <c r="D386" s="18">
        <v>1973</v>
      </c>
    </row>
    <row r="387" spans="1:4" ht="19.95" customHeight="1" x14ac:dyDescent="0.25">
      <c r="A387" s="17" t="s">
        <v>32</v>
      </c>
      <c r="B387" s="18" t="s">
        <v>44</v>
      </c>
      <c r="C387" s="18">
        <v>39050000</v>
      </c>
      <c r="D387" s="18">
        <v>1973</v>
      </c>
    </row>
    <row r="388" spans="1:4" ht="19.95" customHeight="1" x14ac:dyDescent="0.25">
      <c r="A388" s="17" t="s">
        <v>33</v>
      </c>
      <c r="B388" s="18" t="s">
        <v>44</v>
      </c>
      <c r="C388" s="18">
        <v>14031000</v>
      </c>
      <c r="D388" s="18">
        <v>1973</v>
      </c>
    </row>
    <row r="389" spans="1:4" ht="19.95" customHeight="1" x14ac:dyDescent="0.25">
      <c r="A389" s="17" t="s">
        <v>34</v>
      </c>
      <c r="B389" s="18" t="s">
        <v>44</v>
      </c>
      <c r="C389" s="18">
        <v>3709000</v>
      </c>
      <c r="D389" s="18">
        <v>1973</v>
      </c>
    </row>
    <row r="390" spans="1:4" ht="19.95" customHeight="1" x14ac:dyDescent="0.25">
      <c r="A390" s="17" t="s">
        <v>35</v>
      </c>
      <c r="B390" s="18" t="s">
        <v>44</v>
      </c>
      <c r="C390" s="18">
        <v>0</v>
      </c>
      <c r="D390" s="18">
        <v>1973</v>
      </c>
    </row>
    <row r="391" spans="1:4" ht="19.95" customHeight="1" x14ac:dyDescent="0.25">
      <c r="A391" s="17" t="s">
        <v>2</v>
      </c>
      <c r="B391" s="18" t="s">
        <v>44</v>
      </c>
      <c r="C391" s="18">
        <v>45861000</v>
      </c>
      <c r="D391" s="18">
        <v>1973</v>
      </c>
    </row>
    <row r="392" spans="1:4" ht="19.95" customHeight="1" x14ac:dyDescent="0.25">
      <c r="A392" s="17" t="s">
        <v>36</v>
      </c>
      <c r="B392" s="18" t="s">
        <v>44</v>
      </c>
      <c r="C392" s="18">
        <v>0</v>
      </c>
      <c r="D392" s="18">
        <v>1973</v>
      </c>
    </row>
    <row r="393" spans="1:4" ht="19.95" customHeight="1" x14ac:dyDescent="0.25">
      <c r="A393" s="17" t="s">
        <v>37</v>
      </c>
      <c r="B393" s="18" t="s">
        <v>44</v>
      </c>
      <c r="C393" s="18">
        <v>90501000</v>
      </c>
      <c r="D393" s="18">
        <v>1973</v>
      </c>
    </row>
    <row r="394" spans="1:4" ht="19.95" customHeight="1" x14ac:dyDescent="0.25">
      <c r="A394" s="17" t="s">
        <v>38</v>
      </c>
      <c r="B394" s="18" t="s">
        <v>44</v>
      </c>
      <c r="C394" s="18">
        <v>40237000</v>
      </c>
      <c r="D394" s="18">
        <v>1973</v>
      </c>
    </row>
    <row r="395" spans="1:4" ht="19.95" customHeight="1" x14ac:dyDescent="0.25">
      <c r="A395" s="17" t="s">
        <v>39</v>
      </c>
      <c r="B395" s="18" t="s">
        <v>44</v>
      </c>
      <c r="C395" s="18">
        <v>94149000</v>
      </c>
      <c r="D395" s="18">
        <v>1973</v>
      </c>
    </row>
    <row r="396" spans="1:4" ht="19.95" customHeight="1" x14ac:dyDescent="0.25">
      <c r="A396" s="17" t="s">
        <v>40</v>
      </c>
      <c r="B396" s="18" t="s">
        <v>44</v>
      </c>
      <c r="C396" s="18">
        <v>28264000</v>
      </c>
      <c r="D396" s="18">
        <v>1973</v>
      </c>
    </row>
    <row r="397" spans="1:4" ht="19.95" customHeight="1" x14ac:dyDescent="0.25">
      <c r="A397" s="17" t="s">
        <v>10</v>
      </c>
      <c r="B397" s="18" t="s">
        <v>44</v>
      </c>
      <c r="C397" s="18">
        <v>4521000</v>
      </c>
      <c r="D397" s="18">
        <v>1974</v>
      </c>
    </row>
    <row r="398" spans="1:4" ht="19.95" customHeight="1" x14ac:dyDescent="0.25">
      <c r="A398" s="17" t="s">
        <v>13</v>
      </c>
      <c r="B398" s="18" t="s">
        <v>44</v>
      </c>
      <c r="C398" s="18">
        <v>62803000</v>
      </c>
      <c r="D398" s="18">
        <v>1974</v>
      </c>
    </row>
    <row r="399" spans="1:4" ht="19.95" customHeight="1" x14ac:dyDescent="0.25">
      <c r="A399" s="17" t="s">
        <v>16</v>
      </c>
      <c r="B399" s="18" t="s">
        <v>44</v>
      </c>
      <c r="C399" s="18">
        <v>6939000</v>
      </c>
      <c r="D399" s="18">
        <v>1974</v>
      </c>
    </row>
    <row r="400" spans="1:4" ht="19.95" customHeight="1" x14ac:dyDescent="0.25">
      <c r="A400" s="17" t="s">
        <v>15</v>
      </c>
      <c r="B400" s="18" t="s">
        <v>44</v>
      </c>
      <c r="C400" s="18">
        <v>0</v>
      </c>
      <c r="D400" s="18">
        <v>1974</v>
      </c>
    </row>
    <row r="401" spans="1:4" ht="19.95" customHeight="1" x14ac:dyDescent="0.25">
      <c r="A401" s="17" t="s">
        <v>17</v>
      </c>
      <c r="B401" s="18" t="s">
        <v>44</v>
      </c>
      <c r="C401" s="18">
        <v>0</v>
      </c>
      <c r="D401" s="18">
        <v>1974</v>
      </c>
    </row>
    <row r="402" spans="1:4" ht="19.95" customHeight="1" x14ac:dyDescent="0.25">
      <c r="A402" s="17" t="s">
        <v>18</v>
      </c>
      <c r="B402" s="18" t="s">
        <v>44</v>
      </c>
      <c r="C402" s="18">
        <v>121225000</v>
      </c>
      <c r="D402" s="18">
        <v>1974</v>
      </c>
    </row>
    <row r="403" spans="1:4" ht="19.95" customHeight="1" x14ac:dyDescent="0.25">
      <c r="A403" s="17" t="s">
        <v>19</v>
      </c>
      <c r="B403" s="18" t="s">
        <v>44</v>
      </c>
      <c r="C403" s="18">
        <v>70550000</v>
      </c>
      <c r="D403" s="18">
        <v>1974</v>
      </c>
    </row>
    <row r="404" spans="1:4" ht="19.95" customHeight="1" x14ac:dyDescent="0.25">
      <c r="A404" s="17" t="s">
        <v>20</v>
      </c>
      <c r="B404" s="18" t="s">
        <v>44</v>
      </c>
      <c r="C404" s="18">
        <v>412000</v>
      </c>
      <c r="D404" s="18">
        <v>1974</v>
      </c>
    </row>
    <row r="405" spans="1:4" ht="19.95" customHeight="1" x14ac:dyDescent="0.25">
      <c r="A405" s="17" t="s">
        <v>21</v>
      </c>
      <c r="B405" s="18" t="s">
        <v>44</v>
      </c>
      <c r="C405" s="18">
        <v>136797000</v>
      </c>
      <c r="D405" s="18">
        <v>1974</v>
      </c>
    </row>
    <row r="406" spans="1:4" ht="19.95" customHeight="1" x14ac:dyDescent="0.25">
      <c r="A406" s="17" t="s">
        <v>22</v>
      </c>
      <c r="B406" s="18" t="s">
        <v>44</v>
      </c>
      <c r="C406" s="18">
        <v>0</v>
      </c>
      <c r="D406" s="18">
        <v>1974</v>
      </c>
    </row>
    <row r="407" spans="1:4" ht="19.95" customHeight="1" x14ac:dyDescent="0.25">
      <c r="A407" s="17" t="s">
        <v>23</v>
      </c>
      <c r="B407" s="18" t="s">
        <v>44</v>
      </c>
      <c r="C407" s="18">
        <v>23220000</v>
      </c>
      <c r="D407" s="18">
        <v>1974</v>
      </c>
    </row>
    <row r="408" spans="1:4" ht="19.95" customHeight="1" x14ac:dyDescent="0.25">
      <c r="A408" s="17" t="s">
        <v>24</v>
      </c>
      <c r="B408" s="18" t="s">
        <v>44</v>
      </c>
      <c r="C408" s="18">
        <v>50728000</v>
      </c>
      <c r="D408" s="18">
        <v>1974</v>
      </c>
    </row>
    <row r="409" spans="1:4" ht="19.95" customHeight="1" x14ac:dyDescent="0.25">
      <c r="A409" s="17" t="s">
        <v>25</v>
      </c>
      <c r="B409" s="18" t="s">
        <v>44</v>
      </c>
      <c r="C409" s="18">
        <v>50249000</v>
      </c>
      <c r="D409" s="18">
        <v>1974</v>
      </c>
    </row>
    <row r="410" spans="1:4" ht="19.95" customHeight="1" x14ac:dyDescent="0.25">
      <c r="A410" s="17" t="s">
        <v>26</v>
      </c>
      <c r="B410" s="18" t="s">
        <v>44</v>
      </c>
      <c r="C410" s="18">
        <v>28235000</v>
      </c>
      <c r="D410" s="18">
        <v>1974</v>
      </c>
    </row>
    <row r="411" spans="1:4" ht="19.95" customHeight="1" x14ac:dyDescent="0.25">
      <c r="A411" s="17" t="s">
        <v>27</v>
      </c>
      <c r="B411" s="18" t="s">
        <v>44</v>
      </c>
      <c r="C411" s="18">
        <v>0</v>
      </c>
      <c r="D411" s="18">
        <v>1974</v>
      </c>
    </row>
    <row r="412" spans="1:4" ht="19.95" customHeight="1" x14ac:dyDescent="0.25">
      <c r="A412" s="17" t="s">
        <v>28</v>
      </c>
      <c r="B412" s="18" t="s">
        <v>44</v>
      </c>
      <c r="C412" s="18">
        <v>0</v>
      </c>
      <c r="D412" s="18">
        <v>1974</v>
      </c>
    </row>
    <row r="413" spans="1:4" ht="19.95" customHeight="1" x14ac:dyDescent="0.25">
      <c r="A413" s="17" t="s">
        <v>29</v>
      </c>
      <c r="B413" s="18" t="s">
        <v>44</v>
      </c>
      <c r="C413" s="18">
        <v>8803000</v>
      </c>
      <c r="D413" s="18">
        <v>1974</v>
      </c>
    </row>
    <row r="414" spans="1:4" ht="19.95" customHeight="1" x14ac:dyDescent="0.25">
      <c r="A414" s="17" t="s">
        <v>31</v>
      </c>
      <c r="B414" s="18" t="s">
        <v>44</v>
      </c>
      <c r="C414" s="18">
        <v>3169000</v>
      </c>
      <c r="D414" s="18">
        <v>1974</v>
      </c>
    </row>
    <row r="415" spans="1:4" ht="19.95" customHeight="1" x14ac:dyDescent="0.25">
      <c r="A415" s="17" t="s">
        <v>32</v>
      </c>
      <c r="B415" s="18" t="s">
        <v>44</v>
      </c>
      <c r="C415" s="18">
        <v>48322000</v>
      </c>
      <c r="D415" s="18">
        <v>1974</v>
      </c>
    </row>
    <row r="416" spans="1:4" ht="19.95" customHeight="1" x14ac:dyDescent="0.25">
      <c r="A416" s="17" t="s">
        <v>33</v>
      </c>
      <c r="B416" s="18" t="s">
        <v>44</v>
      </c>
      <c r="C416" s="18">
        <v>15857000</v>
      </c>
      <c r="D416" s="18">
        <v>1974</v>
      </c>
    </row>
    <row r="417" spans="1:4" ht="19.95" customHeight="1" x14ac:dyDescent="0.25">
      <c r="A417" s="17" t="s">
        <v>34</v>
      </c>
      <c r="B417" s="18" t="s">
        <v>44</v>
      </c>
      <c r="C417" s="18">
        <v>8186000</v>
      </c>
      <c r="D417" s="18">
        <v>1974</v>
      </c>
    </row>
    <row r="418" spans="1:4" ht="19.95" customHeight="1" x14ac:dyDescent="0.25">
      <c r="A418" s="17" t="s">
        <v>35</v>
      </c>
      <c r="B418" s="18" t="s">
        <v>44</v>
      </c>
      <c r="C418" s="18">
        <v>0</v>
      </c>
      <c r="D418" s="18">
        <v>1974</v>
      </c>
    </row>
    <row r="419" spans="1:4" ht="19.95" customHeight="1" x14ac:dyDescent="0.25">
      <c r="A419" s="17" t="s">
        <v>2</v>
      </c>
      <c r="B419" s="18" t="s">
        <v>44</v>
      </c>
      <c r="C419" s="18">
        <v>58849000</v>
      </c>
      <c r="D419" s="18">
        <v>1974</v>
      </c>
    </row>
    <row r="420" spans="1:4" ht="19.95" customHeight="1" x14ac:dyDescent="0.25">
      <c r="A420" s="17" t="s">
        <v>36</v>
      </c>
      <c r="B420" s="18" t="s">
        <v>44</v>
      </c>
      <c r="C420" s="18">
        <v>0</v>
      </c>
      <c r="D420" s="18">
        <v>1974</v>
      </c>
    </row>
    <row r="421" spans="1:4" ht="19.95" customHeight="1" x14ac:dyDescent="0.25">
      <c r="A421" s="17" t="s">
        <v>37</v>
      </c>
      <c r="B421" s="18" t="s">
        <v>44</v>
      </c>
      <c r="C421" s="18">
        <v>104227000</v>
      </c>
      <c r="D421" s="18">
        <v>1974</v>
      </c>
    </row>
    <row r="422" spans="1:4" ht="19.95" customHeight="1" x14ac:dyDescent="0.25">
      <c r="A422" s="17" t="s">
        <v>38</v>
      </c>
      <c r="B422" s="18" t="s">
        <v>44</v>
      </c>
      <c r="C422" s="18">
        <v>40892000</v>
      </c>
      <c r="D422" s="18">
        <v>1974</v>
      </c>
    </row>
    <row r="423" spans="1:4" ht="19.95" customHeight="1" x14ac:dyDescent="0.25">
      <c r="A423" s="17" t="s">
        <v>39</v>
      </c>
      <c r="B423" s="18" t="s">
        <v>44</v>
      </c>
      <c r="C423" s="18">
        <v>138305000</v>
      </c>
      <c r="D423" s="18">
        <v>1974</v>
      </c>
    </row>
    <row r="424" spans="1:4" ht="19.95" customHeight="1" x14ac:dyDescent="0.25">
      <c r="A424" s="17" t="s">
        <v>40</v>
      </c>
      <c r="B424" s="18" t="s">
        <v>44</v>
      </c>
      <c r="C424" s="18">
        <v>23863000</v>
      </c>
      <c r="D424" s="18">
        <v>1974</v>
      </c>
    </row>
    <row r="425" spans="1:4" ht="19.95" customHeight="1" x14ac:dyDescent="0.25">
      <c r="A425" s="17" t="s">
        <v>10</v>
      </c>
      <c r="B425" s="18" t="s">
        <v>44</v>
      </c>
      <c r="C425" s="18">
        <v>4420000</v>
      </c>
      <c r="D425" s="18">
        <v>1975</v>
      </c>
    </row>
    <row r="426" spans="1:4" ht="19.95" customHeight="1" x14ac:dyDescent="0.25">
      <c r="A426" s="17" t="s">
        <v>13</v>
      </c>
      <c r="B426" s="18" t="s">
        <v>44</v>
      </c>
      <c r="C426" s="18">
        <v>99636000</v>
      </c>
      <c r="D426" s="18">
        <v>1975</v>
      </c>
    </row>
    <row r="427" spans="1:4" ht="19.95" customHeight="1" x14ac:dyDescent="0.25">
      <c r="A427" s="17" t="s">
        <v>16</v>
      </c>
      <c r="B427" s="18" t="s">
        <v>44</v>
      </c>
      <c r="C427" s="18">
        <v>11397000</v>
      </c>
      <c r="D427" s="18">
        <v>1975</v>
      </c>
    </row>
    <row r="428" spans="1:4" ht="19.95" customHeight="1" x14ac:dyDescent="0.25">
      <c r="A428" s="17" t="s">
        <v>15</v>
      </c>
      <c r="B428" s="18" t="s">
        <v>44</v>
      </c>
      <c r="C428" s="18">
        <v>0</v>
      </c>
      <c r="D428" s="18">
        <v>1975</v>
      </c>
    </row>
    <row r="429" spans="1:4" ht="19.95" customHeight="1" x14ac:dyDescent="0.25">
      <c r="A429" s="17" t="s">
        <v>17</v>
      </c>
      <c r="B429" s="18" t="s">
        <v>44</v>
      </c>
      <c r="C429" s="18">
        <v>0</v>
      </c>
      <c r="D429" s="18">
        <v>1975</v>
      </c>
    </row>
    <row r="430" spans="1:4" ht="19.95" customHeight="1" x14ac:dyDescent="0.25">
      <c r="A430" s="17" t="s">
        <v>18</v>
      </c>
      <c r="B430" s="18" t="s">
        <v>44</v>
      </c>
      <c r="C430" s="18">
        <v>142743000</v>
      </c>
      <c r="D430" s="18">
        <v>1975</v>
      </c>
    </row>
    <row r="431" spans="1:4" ht="19.95" customHeight="1" x14ac:dyDescent="0.25">
      <c r="A431" s="17" t="s">
        <v>19</v>
      </c>
      <c r="B431" s="18" t="s">
        <v>44</v>
      </c>
      <c r="C431" s="18">
        <v>68415000</v>
      </c>
      <c r="D431" s="18">
        <v>1975</v>
      </c>
    </row>
    <row r="432" spans="1:4" ht="19.95" customHeight="1" x14ac:dyDescent="0.25">
      <c r="A432" s="17" t="s">
        <v>20</v>
      </c>
      <c r="B432" s="18" t="s">
        <v>44</v>
      </c>
      <c r="C432" s="18">
        <v>6256000</v>
      </c>
      <c r="D432" s="18">
        <v>1975</v>
      </c>
    </row>
    <row r="433" spans="1:4" ht="19.95" customHeight="1" x14ac:dyDescent="0.25">
      <c r="A433" s="17" t="s">
        <v>21</v>
      </c>
      <c r="B433" s="18" t="s">
        <v>44</v>
      </c>
      <c r="C433" s="18">
        <v>187125000</v>
      </c>
      <c r="D433" s="18">
        <v>1975</v>
      </c>
    </row>
    <row r="434" spans="1:4" ht="19.95" customHeight="1" x14ac:dyDescent="0.25">
      <c r="A434" s="17" t="s">
        <v>22</v>
      </c>
      <c r="B434" s="18" t="s">
        <v>44</v>
      </c>
      <c r="C434" s="18">
        <v>0</v>
      </c>
      <c r="D434" s="18">
        <v>1975</v>
      </c>
    </row>
    <row r="435" spans="1:4" ht="19.95" customHeight="1" x14ac:dyDescent="0.25">
      <c r="A435" s="17" t="s">
        <v>23</v>
      </c>
      <c r="B435" s="18" t="s">
        <v>44</v>
      </c>
      <c r="C435" s="18">
        <v>26917000</v>
      </c>
      <c r="D435" s="18">
        <v>1975</v>
      </c>
    </row>
    <row r="436" spans="1:4" ht="19.95" customHeight="1" x14ac:dyDescent="0.25">
      <c r="A436" s="17" t="s">
        <v>24</v>
      </c>
      <c r="B436" s="18" t="s">
        <v>44</v>
      </c>
      <c r="C436" s="18">
        <v>77847000</v>
      </c>
      <c r="D436" s="18">
        <v>1975</v>
      </c>
    </row>
    <row r="437" spans="1:4" ht="19.95" customHeight="1" x14ac:dyDescent="0.25">
      <c r="A437" s="17" t="s">
        <v>25</v>
      </c>
      <c r="B437" s="18" t="s">
        <v>44</v>
      </c>
      <c r="C437" s="18">
        <v>61693000</v>
      </c>
      <c r="D437" s="18">
        <v>1975</v>
      </c>
    </row>
    <row r="438" spans="1:4" ht="19.95" customHeight="1" x14ac:dyDescent="0.25">
      <c r="A438" s="17" t="s">
        <v>26</v>
      </c>
      <c r="B438" s="18" t="s">
        <v>44</v>
      </c>
      <c r="C438" s="18">
        <v>41000000</v>
      </c>
      <c r="D438" s="18">
        <v>1975</v>
      </c>
    </row>
    <row r="439" spans="1:4" ht="19.95" customHeight="1" x14ac:dyDescent="0.25">
      <c r="A439" s="17" t="s">
        <v>27</v>
      </c>
      <c r="B439" s="18" t="s">
        <v>44</v>
      </c>
      <c r="C439" s="18">
        <v>0</v>
      </c>
      <c r="D439" s="18">
        <v>1975</v>
      </c>
    </row>
    <row r="440" spans="1:4" ht="19.95" customHeight="1" x14ac:dyDescent="0.25">
      <c r="A440" s="17" t="s">
        <v>28</v>
      </c>
      <c r="B440" s="18" t="s">
        <v>44</v>
      </c>
      <c r="C440" s="18">
        <v>0</v>
      </c>
      <c r="D440" s="18">
        <v>1975</v>
      </c>
    </row>
    <row r="441" spans="1:4" ht="19.95" customHeight="1" x14ac:dyDescent="0.25">
      <c r="A441" s="17" t="s">
        <v>29</v>
      </c>
      <c r="B441" s="18" t="s">
        <v>44</v>
      </c>
      <c r="C441" s="18">
        <v>24164000</v>
      </c>
      <c r="D441" s="18">
        <v>1975</v>
      </c>
    </row>
    <row r="442" spans="1:4" ht="19.95" customHeight="1" x14ac:dyDescent="0.25">
      <c r="A442" s="17" t="s">
        <v>31</v>
      </c>
      <c r="B442" s="18" t="s">
        <v>44</v>
      </c>
      <c r="C442" s="18">
        <v>5492000</v>
      </c>
      <c r="D442" s="18">
        <v>1975</v>
      </c>
    </row>
    <row r="443" spans="1:4" ht="19.95" customHeight="1" x14ac:dyDescent="0.25">
      <c r="A443" s="17" t="s">
        <v>32</v>
      </c>
      <c r="B443" s="18" t="s">
        <v>44</v>
      </c>
      <c r="C443" s="18">
        <v>65730000</v>
      </c>
      <c r="D443" s="18">
        <v>1975</v>
      </c>
    </row>
    <row r="444" spans="1:4" ht="19.95" customHeight="1" x14ac:dyDescent="0.25">
      <c r="A444" s="17" t="s">
        <v>33</v>
      </c>
      <c r="B444" s="18" t="s">
        <v>44</v>
      </c>
      <c r="C444" s="18">
        <v>18172000</v>
      </c>
      <c r="D444" s="18">
        <v>1975</v>
      </c>
    </row>
    <row r="445" spans="1:4" ht="19.95" customHeight="1" x14ac:dyDescent="0.25">
      <c r="A445" s="17" t="s">
        <v>34</v>
      </c>
      <c r="B445" s="18" t="s">
        <v>44</v>
      </c>
      <c r="C445" s="18">
        <v>12766000</v>
      </c>
      <c r="D445" s="18">
        <v>1975</v>
      </c>
    </row>
    <row r="446" spans="1:4" ht="19.95" customHeight="1" x14ac:dyDescent="0.25">
      <c r="A446" s="17" t="s">
        <v>35</v>
      </c>
      <c r="B446" s="18" t="s">
        <v>44</v>
      </c>
      <c r="C446" s="18">
        <v>0</v>
      </c>
      <c r="D446" s="18">
        <v>1975</v>
      </c>
    </row>
    <row r="447" spans="1:4" ht="19.95" customHeight="1" x14ac:dyDescent="0.25">
      <c r="A447" s="17" t="s">
        <v>2</v>
      </c>
      <c r="B447" s="18" t="s">
        <v>44</v>
      </c>
      <c r="C447" s="18">
        <v>74820000</v>
      </c>
      <c r="D447" s="18">
        <v>1975</v>
      </c>
    </row>
    <row r="448" spans="1:4" ht="19.95" customHeight="1" x14ac:dyDescent="0.25">
      <c r="A448" s="17" t="s">
        <v>36</v>
      </c>
      <c r="B448" s="18" t="s">
        <v>44</v>
      </c>
      <c r="C448" s="18">
        <v>0</v>
      </c>
      <c r="D448" s="18">
        <v>1975</v>
      </c>
    </row>
    <row r="449" spans="1:4" ht="19.95" customHeight="1" x14ac:dyDescent="0.25">
      <c r="A449" s="17" t="s">
        <v>37</v>
      </c>
      <c r="B449" s="18" t="s">
        <v>44</v>
      </c>
      <c r="C449" s="18">
        <v>161191000</v>
      </c>
      <c r="D449" s="18">
        <v>1975</v>
      </c>
    </row>
    <row r="450" spans="1:4" ht="19.95" customHeight="1" x14ac:dyDescent="0.25">
      <c r="A450" s="17" t="s">
        <v>38</v>
      </c>
      <c r="B450" s="18" t="s">
        <v>44</v>
      </c>
      <c r="C450" s="18">
        <v>43112000</v>
      </c>
      <c r="D450" s="18">
        <v>1975</v>
      </c>
    </row>
    <row r="451" spans="1:4" ht="19.95" customHeight="1" x14ac:dyDescent="0.25">
      <c r="A451" s="17" t="s">
        <v>39</v>
      </c>
      <c r="B451" s="18" t="s">
        <v>44</v>
      </c>
      <c r="C451" s="18">
        <v>183811000</v>
      </c>
      <c r="D451" s="18">
        <v>1975</v>
      </c>
    </row>
    <row r="452" spans="1:4" ht="19.95" customHeight="1" x14ac:dyDescent="0.25">
      <c r="A452" s="17" t="s">
        <v>40</v>
      </c>
      <c r="B452" s="18" t="s">
        <v>44</v>
      </c>
      <c r="C452" s="18">
        <v>19305000</v>
      </c>
      <c r="D452" s="18">
        <v>1975</v>
      </c>
    </row>
    <row r="453" spans="1:4" ht="19.95" customHeight="1" x14ac:dyDescent="0.25">
      <c r="A453" s="17" t="s">
        <v>10</v>
      </c>
      <c r="B453" s="18" t="s">
        <v>44</v>
      </c>
      <c r="C453" s="18">
        <v>5009000</v>
      </c>
      <c r="D453" s="18">
        <v>1976</v>
      </c>
    </row>
    <row r="454" spans="1:4" ht="19.95" customHeight="1" x14ac:dyDescent="0.25">
      <c r="A454" s="17" t="s">
        <v>13</v>
      </c>
      <c r="B454" s="18" t="s">
        <v>44</v>
      </c>
      <c r="C454" s="18">
        <v>125264000</v>
      </c>
      <c r="D454" s="18">
        <v>1976</v>
      </c>
    </row>
    <row r="455" spans="1:4" ht="19.95" customHeight="1" x14ac:dyDescent="0.25">
      <c r="A455" s="17" t="s">
        <v>16</v>
      </c>
      <c r="B455" s="18" t="s">
        <v>44</v>
      </c>
      <c r="C455" s="18">
        <v>16035000</v>
      </c>
      <c r="D455" s="18">
        <v>1976</v>
      </c>
    </row>
    <row r="456" spans="1:4" ht="19.95" customHeight="1" x14ac:dyDescent="0.25">
      <c r="A456" s="17" t="s">
        <v>15</v>
      </c>
      <c r="B456" s="18" t="s">
        <v>44</v>
      </c>
      <c r="C456" s="18">
        <v>0</v>
      </c>
      <c r="D456" s="18">
        <v>1976</v>
      </c>
    </row>
    <row r="457" spans="1:4" ht="19.95" customHeight="1" x14ac:dyDescent="0.25">
      <c r="A457" s="17" t="s">
        <v>17</v>
      </c>
      <c r="B457" s="18" t="s">
        <v>44</v>
      </c>
      <c r="C457" s="18">
        <v>0</v>
      </c>
      <c r="D457" s="18">
        <v>1976</v>
      </c>
    </row>
    <row r="458" spans="1:4" ht="19.95" customHeight="1" x14ac:dyDescent="0.25">
      <c r="A458" s="17" t="s">
        <v>18</v>
      </c>
      <c r="B458" s="18" t="s">
        <v>44</v>
      </c>
      <c r="C458" s="18">
        <v>177637000</v>
      </c>
      <c r="D458" s="18">
        <v>1976</v>
      </c>
    </row>
    <row r="459" spans="1:4" ht="19.95" customHeight="1" x14ac:dyDescent="0.25">
      <c r="A459" s="17" t="s">
        <v>19</v>
      </c>
      <c r="B459" s="18" t="s">
        <v>44</v>
      </c>
      <c r="C459" s="18">
        <v>67305000</v>
      </c>
      <c r="D459" s="18">
        <v>1976</v>
      </c>
    </row>
    <row r="460" spans="1:4" ht="19.95" customHeight="1" x14ac:dyDescent="0.25">
      <c r="A460" s="17" t="s">
        <v>20</v>
      </c>
      <c r="B460" s="18" t="s">
        <v>44</v>
      </c>
      <c r="C460" s="18">
        <v>19421000</v>
      </c>
      <c r="D460" s="18">
        <v>1976</v>
      </c>
    </row>
    <row r="461" spans="1:4" ht="19.95" customHeight="1" x14ac:dyDescent="0.25">
      <c r="A461" s="17" t="s">
        <v>21</v>
      </c>
      <c r="B461" s="18" t="s">
        <v>44</v>
      </c>
      <c r="C461" s="18">
        <v>264084000</v>
      </c>
      <c r="D461" s="18">
        <v>1976</v>
      </c>
    </row>
    <row r="462" spans="1:4" ht="19.95" customHeight="1" x14ac:dyDescent="0.25">
      <c r="A462" s="17" t="s">
        <v>22</v>
      </c>
      <c r="B462" s="18" t="s">
        <v>44</v>
      </c>
      <c r="C462" s="18">
        <v>0</v>
      </c>
      <c r="D462" s="18">
        <v>1976</v>
      </c>
    </row>
    <row r="463" spans="1:4" ht="19.95" customHeight="1" x14ac:dyDescent="0.25">
      <c r="A463" s="17" t="s">
        <v>23</v>
      </c>
      <c r="B463" s="18" t="s">
        <v>44</v>
      </c>
      <c r="C463" s="18">
        <v>35216000</v>
      </c>
      <c r="D463" s="18">
        <v>1976</v>
      </c>
    </row>
    <row r="464" spans="1:4" ht="19.95" customHeight="1" x14ac:dyDescent="0.25">
      <c r="A464" s="17" t="s">
        <v>24</v>
      </c>
      <c r="B464" s="18" t="s">
        <v>44</v>
      </c>
      <c r="C464" s="18">
        <v>93579000</v>
      </c>
      <c r="D464" s="18">
        <v>1976</v>
      </c>
    </row>
    <row r="465" spans="1:4" ht="19.95" customHeight="1" x14ac:dyDescent="0.25">
      <c r="A465" s="17" t="s">
        <v>25</v>
      </c>
      <c r="B465" s="18" t="s">
        <v>44</v>
      </c>
      <c r="C465" s="18">
        <v>73691000</v>
      </c>
      <c r="D465" s="18">
        <v>1976</v>
      </c>
    </row>
    <row r="466" spans="1:4" ht="19.95" customHeight="1" x14ac:dyDescent="0.25">
      <c r="A466" s="17" t="s">
        <v>26</v>
      </c>
      <c r="B466" s="18" t="s">
        <v>44</v>
      </c>
      <c r="C466" s="18">
        <v>54432000</v>
      </c>
      <c r="D466" s="18">
        <v>1976</v>
      </c>
    </row>
    <row r="467" spans="1:4" ht="19.95" customHeight="1" x14ac:dyDescent="0.25">
      <c r="A467" s="17" t="s">
        <v>27</v>
      </c>
      <c r="B467" s="18" t="s">
        <v>44</v>
      </c>
      <c r="C467" s="18">
        <v>0</v>
      </c>
      <c r="D467" s="18">
        <v>1976</v>
      </c>
    </row>
    <row r="468" spans="1:4" ht="19.95" customHeight="1" x14ac:dyDescent="0.25">
      <c r="A468" s="17" t="s">
        <v>28</v>
      </c>
      <c r="B468" s="18" t="s">
        <v>44</v>
      </c>
      <c r="C468" s="18">
        <v>0</v>
      </c>
      <c r="D468" s="18">
        <v>1976</v>
      </c>
    </row>
    <row r="469" spans="1:4" ht="19.95" customHeight="1" x14ac:dyDescent="0.25">
      <c r="A469" s="17" t="s">
        <v>29</v>
      </c>
      <c r="B469" s="18" t="s">
        <v>44</v>
      </c>
      <c r="C469" s="18">
        <v>41412000</v>
      </c>
      <c r="D469" s="18">
        <v>1976</v>
      </c>
    </row>
    <row r="470" spans="1:4" ht="19.95" customHeight="1" x14ac:dyDescent="0.25">
      <c r="A470" s="17" t="s">
        <v>31</v>
      </c>
      <c r="B470" s="18" t="s">
        <v>44</v>
      </c>
      <c r="C470" s="18">
        <v>9252000</v>
      </c>
      <c r="D470" s="18">
        <v>1976</v>
      </c>
    </row>
    <row r="471" spans="1:4" ht="19.95" customHeight="1" x14ac:dyDescent="0.25">
      <c r="A471" s="17" t="s">
        <v>32</v>
      </c>
      <c r="B471" s="18" t="s">
        <v>44</v>
      </c>
      <c r="C471" s="18">
        <v>82958000</v>
      </c>
      <c r="D471" s="18">
        <v>1976</v>
      </c>
    </row>
    <row r="472" spans="1:4" ht="19.95" customHeight="1" x14ac:dyDescent="0.25">
      <c r="A472" s="17" t="s">
        <v>33</v>
      </c>
      <c r="B472" s="18" t="s">
        <v>44</v>
      </c>
      <c r="C472" s="18">
        <v>21816000</v>
      </c>
      <c r="D472" s="18">
        <v>1976</v>
      </c>
    </row>
    <row r="473" spans="1:4" ht="19.95" customHeight="1" x14ac:dyDescent="0.25">
      <c r="A473" s="17" t="s">
        <v>34</v>
      </c>
      <c r="B473" s="18" t="s">
        <v>44</v>
      </c>
      <c r="C473" s="18">
        <v>21134000</v>
      </c>
      <c r="D473" s="18">
        <v>1976</v>
      </c>
    </row>
    <row r="474" spans="1:4" ht="19.95" customHeight="1" x14ac:dyDescent="0.25">
      <c r="A474" s="17" t="s">
        <v>35</v>
      </c>
      <c r="B474" s="18" t="s">
        <v>44</v>
      </c>
      <c r="C474" s="18">
        <v>0</v>
      </c>
      <c r="D474" s="18">
        <v>1976</v>
      </c>
    </row>
    <row r="475" spans="1:4" ht="19.95" customHeight="1" x14ac:dyDescent="0.25">
      <c r="A475" s="17" t="s">
        <v>2</v>
      </c>
      <c r="B475" s="18" t="s">
        <v>44</v>
      </c>
      <c r="C475" s="18">
        <v>79648000</v>
      </c>
      <c r="D475" s="18">
        <v>1976</v>
      </c>
    </row>
    <row r="476" spans="1:4" ht="19.95" customHeight="1" x14ac:dyDescent="0.25">
      <c r="A476" s="17" t="s">
        <v>36</v>
      </c>
      <c r="B476" s="18" t="s">
        <v>44</v>
      </c>
      <c r="C476" s="18">
        <v>0</v>
      </c>
      <c r="D476" s="18">
        <v>1976</v>
      </c>
    </row>
    <row r="477" spans="1:4" ht="19.95" customHeight="1" x14ac:dyDescent="0.25">
      <c r="A477" s="17" t="s">
        <v>37</v>
      </c>
      <c r="B477" s="18" t="s">
        <v>44</v>
      </c>
      <c r="C477" s="18">
        <v>199050000</v>
      </c>
      <c r="D477" s="18">
        <v>1976</v>
      </c>
    </row>
    <row r="478" spans="1:4" ht="19.95" customHeight="1" x14ac:dyDescent="0.25">
      <c r="A478" s="17" t="s">
        <v>38</v>
      </c>
      <c r="B478" s="18" t="s">
        <v>44</v>
      </c>
      <c r="C478" s="18">
        <v>45201000</v>
      </c>
      <c r="D478" s="18">
        <v>1976</v>
      </c>
    </row>
    <row r="479" spans="1:4" ht="19.95" customHeight="1" x14ac:dyDescent="0.25">
      <c r="A479" s="17" t="s">
        <v>39</v>
      </c>
      <c r="B479" s="18" t="s">
        <v>44</v>
      </c>
      <c r="C479" s="18">
        <v>253486000</v>
      </c>
      <c r="D479" s="18">
        <v>1976</v>
      </c>
    </row>
    <row r="480" spans="1:4" ht="19.95" customHeight="1" x14ac:dyDescent="0.25">
      <c r="A480" s="17" t="s">
        <v>40</v>
      </c>
      <c r="B480" s="18" t="s">
        <v>44</v>
      </c>
      <c r="C480" s="18">
        <v>15045000</v>
      </c>
      <c r="D480" s="18">
        <v>1976</v>
      </c>
    </row>
    <row r="481" spans="1:4" ht="19.95" customHeight="1" x14ac:dyDescent="0.25">
      <c r="A481" s="17" t="s">
        <v>10</v>
      </c>
      <c r="B481" s="18" t="s">
        <v>44</v>
      </c>
      <c r="C481" s="18">
        <v>7137000</v>
      </c>
      <c r="D481" s="18">
        <v>1977</v>
      </c>
    </row>
    <row r="482" spans="1:4" ht="19.95" customHeight="1" x14ac:dyDescent="0.25">
      <c r="A482" s="17" t="s">
        <v>13</v>
      </c>
      <c r="B482" s="18" t="s">
        <v>44</v>
      </c>
      <c r="C482" s="18">
        <v>160032000</v>
      </c>
      <c r="D482" s="18">
        <v>1977</v>
      </c>
    </row>
    <row r="483" spans="1:4" ht="19.95" customHeight="1" x14ac:dyDescent="0.25">
      <c r="A483" s="17" t="s">
        <v>16</v>
      </c>
      <c r="B483" s="18" t="s">
        <v>44</v>
      </c>
      <c r="C483" s="18">
        <v>23792000</v>
      </c>
      <c r="D483" s="18">
        <v>1977</v>
      </c>
    </row>
    <row r="484" spans="1:4" ht="19.95" customHeight="1" x14ac:dyDescent="0.25">
      <c r="A484" s="17" t="s">
        <v>15</v>
      </c>
      <c r="B484" s="18" t="s">
        <v>44</v>
      </c>
      <c r="C484" s="18">
        <v>0</v>
      </c>
      <c r="D484" s="18">
        <v>1977</v>
      </c>
    </row>
    <row r="485" spans="1:4" ht="19.95" customHeight="1" x14ac:dyDescent="0.25">
      <c r="A485" s="17" t="s">
        <v>17</v>
      </c>
      <c r="B485" s="18" t="s">
        <v>44</v>
      </c>
      <c r="C485" s="18">
        <v>0</v>
      </c>
      <c r="D485" s="18">
        <v>1977</v>
      </c>
    </row>
    <row r="486" spans="1:4" ht="19.95" customHeight="1" x14ac:dyDescent="0.25">
      <c r="A486" s="17" t="s">
        <v>18</v>
      </c>
      <c r="B486" s="18" t="s">
        <v>44</v>
      </c>
      <c r="C486" s="18">
        <v>207737000</v>
      </c>
      <c r="D486" s="18">
        <v>1977</v>
      </c>
    </row>
    <row r="487" spans="1:4" ht="19.95" customHeight="1" x14ac:dyDescent="0.25">
      <c r="A487" s="17" t="s">
        <v>19</v>
      </c>
      <c r="B487" s="18" t="s">
        <v>44</v>
      </c>
      <c r="C487" s="18">
        <v>71165000</v>
      </c>
      <c r="D487" s="18">
        <v>1977</v>
      </c>
    </row>
    <row r="488" spans="1:4" ht="19.95" customHeight="1" x14ac:dyDescent="0.25">
      <c r="A488" s="17" t="s">
        <v>20</v>
      </c>
      <c r="B488" s="18" t="s">
        <v>44</v>
      </c>
      <c r="C488" s="18">
        <v>37340000</v>
      </c>
      <c r="D488" s="18">
        <v>1977</v>
      </c>
    </row>
    <row r="489" spans="1:4" ht="19.95" customHeight="1" x14ac:dyDescent="0.25">
      <c r="A489" s="17" t="s">
        <v>21</v>
      </c>
      <c r="B489" s="18" t="s">
        <v>44</v>
      </c>
      <c r="C489" s="18">
        <v>313743000</v>
      </c>
      <c r="D489" s="18">
        <v>1977</v>
      </c>
    </row>
    <row r="490" spans="1:4" ht="19.95" customHeight="1" x14ac:dyDescent="0.25">
      <c r="A490" s="17" t="s">
        <v>22</v>
      </c>
      <c r="B490" s="18" t="s">
        <v>44</v>
      </c>
      <c r="C490" s="18">
        <v>0</v>
      </c>
      <c r="D490" s="18">
        <v>1977</v>
      </c>
    </row>
    <row r="491" spans="1:4" ht="19.95" customHeight="1" x14ac:dyDescent="0.25">
      <c r="A491" s="17" t="s">
        <v>23</v>
      </c>
      <c r="B491" s="18" t="s">
        <v>44</v>
      </c>
      <c r="C491" s="18">
        <v>44895000</v>
      </c>
      <c r="D491" s="18">
        <v>1977</v>
      </c>
    </row>
    <row r="492" spans="1:4" ht="19.95" customHeight="1" x14ac:dyDescent="0.25">
      <c r="A492" s="17" t="s">
        <v>24</v>
      </c>
      <c r="B492" s="18" t="s">
        <v>44</v>
      </c>
      <c r="C492" s="18">
        <v>102219000</v>
      </c>
      <c r="D492" s="18">
        <v>1977</v>
      </c>
    </row>
    <row r="493" spans="1:4" ht="19.95" customHeight="1" x14ac:dyDescent="0.25">
      <c r="A493" s="17" t="s">
        <v>25</v>
      </c>
      <c r="B493" s="18" t="s">
        <v>44</v>
      </c>
      <c r="C493" s="18">
        <v>86878000</v>
      </c>
      <c r="D493" s="18">
        <v>1977</v>
      </c>
    </row>
    <row r="494" spans="1:4" ht="19.95" customHeight="1" x14ac:dyDescent="0.25">
      <c r="A494" s="17" t="s">
        <v>26</v>
      </c>
      <c r="B494" s="18" t="s">
        <v>44</v>
      </c>
      <c r="C494" s="18">
        <v>67082000</v>
      </c>
      <c r="D494" s="18">
        <v>1977</v>
      </c>
    </row>
    <row r="495" spans="1:4" ht="19.95" customHeight="1" x14ac:dyDescent="0.25">
      <c r="A495" s="17" t="s">
        <v>27</v>
      </c>
      <c r="B495" s="18" t="s">
        <v>44</v>
      </c>
      <c r="C495" s="18">
        <v>0</v>
      </c>
      <c r="D495" s="18">
        <v>1977</v>
      </c>
    </row>
    <row r="496" spans="1:4" ht="19.95" customHeight="1" x14ac:dyDescent="0.25">
      <c r="A496" s="17" t="s">
        <v>28</v>
      </c>
      <c r="B496" s="18" t="s">
        <v>44</v>
      </c>
      <c r="C496" s="18">
        <v>0</v>
      </c>
      <c r="D496" s="18">
        <v>1977</v>
      </c>
    </row>
    <row r="497" spans="1:4" ht="19.95" customHeight="1" x14ac:dyDescent="0.25">
      <c r="A497" s="17" t="s">
        <v>29</v>
      </c>
      <c r="B497" s="18" t="s">
        <v>44</v>
      </c>
      <c r="C497" s="18">
        <v>62667000</v>
      </c>
      <c r="D497" s="18">
        <v>1977</v>
      </c>
    </row>
    <row r="498" spans="1:4" ht="19.95" customHeight="1" x14ac:dyDescent="0.25">
      <c r="A498" s="17" t="s">
        <v>31</v>
      </c>
      <c r="B498" s="18" t="s">
        <v>44</v>
      </c>
      <c r="C498" s="18">
        <v>21483000</v>
      </c>
      <c r="D498" s="18">
        <v>1977</v>
      </c>
    </row>
    <row r="499" spans="1:4" ht="19.95" customHeight="1" x14ac:dyDescent="0.25">
      <c r="A499" s="17" t="s">
        <v>32</v>
      </c>
      <c r="B499" s="18" t="s">
        <v>44</v>
      </c>
      <c r="C499" s="18">
        <v>97495000</v>
      </c>
      <c r="D499" s="18">
        <v>1977</v>
      </c>
    </row>
    <row r="500" spans="1:4" ht="19.95" customHeight="1" x14ac:dyDescent="0.25">
      <c r="A500" s="17" t="s">
        <v>33</v>
      </c>
      <c r="B500" s="18" t="s">
        <v>44</v>
      </c>
      <c r="C500" s="18">
        <v>28000000</v>
      </c>
      <c r="D500" s="18">
        <v>1977</v>
      </c>
    </row>
    <row r="501" spans="1:4" ht="19.95" customHeight="1" x14ac:dyDescent="0.25">
      <c r="A501" s="17" t="s">
        <v>34</v>
      </c>
      <c r="B501" s="18" t="s">
        <v>44</v>
      </c>
      <c r="C501" s="18">
        <v>30475000</v>
      </c>
      <c r="D501" s="18">
        <v>1977</v>
      </c>
    </row>
    <row r="502" spans="1:4" ht="19.95" customHeight="1" x14ac:dyDescent="0.25">
      <c r="A502" s="17" t="s">
        <v>35</v>
      </c>
      <c r="B502" s="18" t="s">
        <v>44</v>
      </c>
      <c r="C502" s="18">
        <v>0</v>
      </c>
      <c r="D502" s="18">
        <v>1977</v>
      </c>
    </row>
    <row r="503" spans="1:4" ht="19.95" customHeight="1" x14ac:dyDescent="0.25">
      <c r="A503" s="17" t="s">
        <v>2</v>
      </c>
      <c r="B503" s="18" t="s">
        <v>44</v>
      </c>
      <c r="C503" s="18">
        <v>89019000</v>
      </c>
      <c r="D503" s="18">
        <v>1977</v>
      </c>
    </row>
    <row r="504" spans="1:4" ht="19.95" customHeight="1" x14ac:dyDescent="0.25">
      <c r="A504" s="17" t="s">
        <v>36</v>
      </c>
      <c r="B504" s="18" t="s">
        <v>44</v>
      </c>
      <c r="C504" s="18">
        <v>0</v>
      </c>
      <c r="D504" s="18">
        <v>1977</v>
      </c>
    </row>
    <row r="505" spans="1:4" ht="19.95" customHeight="1" x14ac:dyDescent="0.25">
      <c r="A505" s="17" t="s">
        <v>37</v>
      </c>
      <c r="B505" s="18" t="s">
        <v>44</v>
      </c>
      <c r="C505" s="18">
        <v>258387000</v>
      </c>
      <c r="D505" s="18">
        <v>1977</v>
      </c>
    </row>
    <row r="506" spans="1:4" ht="19.95" customHeight="1" x14ac:dyDescent="0.25">
      <c r="A506" s="17" t="s">
        <v>38</v>
      </c>
      <c r="B506" s="18" t="s">
        <v>44</v>
      </c>
      <c r="C506" s="18">
        <v>45441000</v>
      </c>
      <c r="D506" s="18">
        <v>1977</v>
      </c>
    </row>
    <row r="507" spans="1:4" ht="19.95" customHeight="1" x14ac:dyDescent="0.25">
      <c r="A507" s="17" t="s">
        <v>39</v>
      </c>
      <c r="B507" s="18" t="s">
        <v>44</v>
      </c>
      <c r="C507" s="18">
        <v>293369000</v>
      </c>
      <c r="D507" s="18">
        <v>1977</v>
      </c>
    </row>
    <row r="508" spans="1:4" ht="19.95" customHeight="1" x14ac:dyDescent="0.25">
      <c r="A508" s="17" t="s">
        <v>40</v>
      </c>
      <c r="B508" s="18" t="s">
        <v>44</v>
      </c>
      <c r="C508" s="18">
        <v>11779000</v>
      </c>
      <c r="D508" s="18">
        <v>1977</v>
      </c>
    </row>
    <row r="509" spans="1:4" ht="19.95" customHeight="1" x14ac:dyDescent="0.25">
      <c r="A509" s="17" t="s">
        <v>10</v>
      </c>
      <c r="B509" s="18" t="s">
        <v>44</v>
      </c>
      <c r="C509" s="18">
        <v>14056000</v>
      </c>
      <c r="D509" s="18">
        <v>1978</v>
      </c>
    </row>
    <row r="510" spans="1:4" ht="19.95" customHeight="1" x14ac:dyDescent="0.25">
      <c r="A510" s="17" t="s">
        <v>13</v>
      </c>
      <c r="B510" s="18" t="s">
        <v>44</v>
      </c>
      <c r="C510" s="18">
        <v>209997000</v>
      </c>
      <c r="D510" s="18">
        <v>1978</v>
      </c>
    </row>
    <row r="511" spans="1:4" ht="19.95" customHeight="1" x14ac:dyDescent="0.25">
      <c r="A511" s="17" t="s">
        <v>16</v>
      </c>
      <c r="B511" s="18" t="s">
        <v>44</v>
      </c>
      <c r="C511" s="18">
        <v>30791000</v>
      </c>
      <c r="D511" s="18">
        <v>1978</v>
      </c>
    </row>
    <row r="512" spans="1:4" ht="19.95" customHeight="1" x14ac:dyDescent="0.25">
      <c r="A512" s="17" t="s">
        <v>15</v>
      </c>
      <c r="B512" s="18" t="s">
        <v>44</v>
      </c>
      <c r="C512" s="18">
        <v>0</v>
      </c>
      <c r="D512" s="18">
        <v>1978</v>
      </c>
    </row>
    <row r="513" spans="1:4" ht="19.95" customHeight="1" x14ac:dyDescent="0.25">
      <c r="A513" s="17" t="s">
        <v>17</v>
      </c>
      <c r="B513" s="18" t="s">
        <v>44</v>
      </c>
      <c r="C513" s="18">
        <v>0</v>
      </c>
      <c r="D513" s="18">
        <v>1978</v>
      </c>
    </row>
    <row r="514" spans="1:4" ht="19.95" customHeight="1" x14ac:dyDescent="0.25">
      <c r="A514" s="17" t="s">
        <v>18</v>
      </c>
      <c r="B514" s="18" t="s">
        <v>44</v>
      </c>
      <c r="C514" s="18">
        <v>236675000</v>
      </c>
      <c r="D514" s="18">
        <v>1978</v>
      </c>
    </row>
    <row r="515" spans="1:4" ht="19.95" customHeight="1" x14ac:dyDescent="0.25">
      <c r="A515" s="17" t="s">
        <v>19</v>
      </c>
      <c r="B515" s="18" t="s">
        <v>44</v>
      </c>
      <c r="C515" s="18">
        <v>75982000</v>
      </c>
      <c r="D515" s="18">
        <v>1978</v>
      </c>
    </row>
    <row r="516" spans="1:4" ht="19.95" customHeight="1" x14ac:dyDescent="0.25">
      <c r="A516" s="17" t="s">
        <v>20</v>
      </c>
      <c r="B516" s="18" t="s">
        <v>44</v>
      </c>
      <c r="C516" s="18">
        <v>45255000</v>
      </c>
      <c r="D516" s="18">
        <v>1978</v>
      </c>
    </row>
    <row r="517" spans="1:4" ht="19.95" customHeight="1" x14ac:dyDescent="0.25">
      <c r="A517" s="17" t="s">
        <v>21</v>
      </c>
      <c r="B517" s="18" t="s">
        <v>44</v>
      </c>
      <c r="C517" s="18">
        <v>368253000</v>
      </c>
      <c r="D517" s="18">
        <v>1978</v>
      </c>
    </row>
    <row r="518" spans="1:4" ht="19.95" customHeight="1" x14ac:dyDescent="0.25">
      <c r="A518" s="17" t="s">
        <v>22</v>
      </c>
      <c r="B518" s="18" t="s">
        <v>44</v>
      </c>
      <c r="C518" s="18">
        <v>0</v>
      </c>
      <c r="D518" s="18">
        <v>1978</v>
      </c>
    </row>
    <row r="519" spans="1:4" ht="19.95" customHeight="1" x14ac:dyDescent="0.25">
      <c r="A519" s="17" t="s">
        <v>23</v>
      </c>
      <c r="B519" s="18" t="s">
        <v>44</v>
      </c>
      <c r="C519" s="18">
        <v>56904000</v>
      </c>
      <c r="D519" s="18">
        <v>1978</v>
      </c>
    </row>
    <row r="520" spans="1:4" ht="19.95" customHeight="1" x14ac:dyDescent="0.25">
      <c r="A520" s="17" t="s">
        <v>24</v>
      </c>
      <c r="B520" s="18" t="s">
        <v>44</v>
      </c>
      <c r="C520" s="18">
        <v>111308000</v>
      </c>
      <c r="D520" s="18">
        <v>1978</v>
      </c>
    </row>
    <row r="521" spans="1:4" ht="19.95" customHeight="1" x14ac:dyDescent="0.25">
      <c r="A521" s="17" t="s">
        <v>25</v>
      </c>
      <c r="B521" s="18" t="s">
        <v>44</v>
      </c>
      <c r="C521" s="18">
        <v>107404000</v>
      </c>
      <c r="D521" s="18">
        <v>1978</v>
      </c>
    </row>
    <row r="522" spans="1:4" ht="19.95" customHeight="1" x14ac:dyDescent="0.25">
      <c r="A522" s="17" t="s">
        <v>26</v>
      </c>
      <c r="B522" s="18" t="s">
        <v>44</v>
      </c>
      <c r="C522" s="18">
        <v>81551000</v>
      </c>
      <c r="D522" s="18">
        <v>1978</v>
      </c>
    </row>
    <row r="523" spans="1:4" ht="19.95" customHeight="1" x14ac:dyDescent="0.25">
      <c r="A523" s="17" t="s">
        <v>27</v>
      </c>
      <c r="B523" s="18" t="s">
        <v>44</v>
      </c>
      <c r="C523" s="18">
        <v>0</v>
      </c>
      <c r="D523" s="18">
        <v>1978</v>
      </c>
    </row>
    <row r="524" spans="1:4" ht="19.95" customHeight="1" x14ac:dyDescent="0.25">
      <c r="A524" s="17" t="s">
        <v>28</v>
      </c>
      <c r="B524" s="18" t="s">
        <v>44</v>
      </c>
      <c r="C524" s="18">
        <v>0</v>
      </c>
      <c r="D524" s="18">
        <v>1978</v>
      </c>
    </row>
    <row r="525" spans="1:4" ht="19.95" customHeight="1" x14ac:dyDescent="0.25">
      <c r="A525" s="17" t="s">
        <v>29</v>
      </c>
      <c r="B525" s="18" t="s">
        <v>44</v>
      </c>
      <c r="C525" s="18">
        <v>85590000</v>
      </c>
      <c r="D525" s="18">
        <v>1978</v>
      </c>
    </row>
    <row r="526" spans="1:4" ht="19.95" customHeight="1" x14ac:dyDescent="0.25">
      <c r="A526" s="17" t="s">
        <v>31</v>
      </c>
      <c r="B526" s="18" t="s">
        <v>44</v>
      </c>
      <c r="C526" s="18">
        <v>32511000</v>
      </c>
      <c r="D526" s="18">
        <v>1978</v>
      </c>
    </row>
    <row r="527" spans="1:4" ht="19.95" customHeight="1" x14ac:dyDescent="0.25">
      <c r="A527" s="17" t="s">
        <v>32</v>
      </c>
      <c r="B527" s="18" t="s">
        <v>44</v>
      </c>
      <c r="C527" s="18">
        <v>103316000</v>
      </c>
      <c r="D527" s="18">
        <v>1978</v>
      </c>
    </row>
    <row r="528" spans="1:4" ht="19.95" customHeight="1" x14ac:dyDescent="0.25">
      <c r="A528" s="17" t="s">
        <v>33</v>
      </c>
      <c r="B528" s="18" t="s">
        <v>44</v>
      </c>
      <c r="C528" s="18">
        <v>36458000</v>
      </c>
      <c r="D528" s="18">
        <v>1978</v>
      </c>
    </row>
    <row r="529" spans="1:4" ht="19.95" customHeight="1" x14ac:dyDescent="0.25">
      <c r="A529" s="17" t="s">
        <v>34</v>
      </c>
      <c r="B529" s="18" t="s">
        <v>44</v>
      </c>
      <c r="C529" s="18">
        <v>36961000</v>
      </c>
      <c r="D529" s="18">
        <v>1978</v>
      </c>
    </row>
    <row r="530" spans="1:4" ht="19.95" customHeight="1" x14ac:dyDescent="0.25">
      <c r="A530" s="17" t="s">
        <v>35</v>
      </c>
      <c r="B530" s="18" t="s">
        <v>44</v>
      </c>
      <c r="C530" s="18">
        <v>0</v>
      </c>
      <c r="D530" s="18">
        <v>1978</v>
      </c>
    </row>
    <row r="531" spans="1:4" ht="19.95" customHeight="1" x14ac:dyDescent="0.25">
      <c r="A531" s="17" t="s">
        <v>2</v>
      </c>
      <c r="B531" s="18" t="s">
        <v>44</v>
      </c>
      <c r="C531" s="18">
        <v>99144000</v>
      </c>
      <c r="D531" s="18">
        <v>1978</v>
      </c>
    </row>
    <row r="532" spans="1:4" ht="19.95" customHeight="1" x14ac:dyDescent="0.25">
      <c r="A532" s="17" t="s">
        <v>36</v>
      </c>
      <c r="B532" s="18" t="s">
        <v>44</v>
      </c>
      <c r="C532" s="18">
        <v>0</v>
      </c>
      <c r="D532" s="18">
        <v>1978</v>
      </c>
    </row>
    <row r="533" spans="1:4" ht="19.95" customHeight="1" x14ac:dyDescent="0.25">
      <c r="A533" s="17" t="s">
        <v>37</v>
      </c>
      <c r="B533" s="18" t="s">
        <v>44</v>
      </c>
      <c r="C533" s="18">
        <v>307836000</v>
      </c>
      <c r="D533" s="18">
        <v>1978</v>
      </c>
    </row>
    <row r="534" spans="1:4" ht="19.95" customHeight="1" x14ac:dyDescent="0.25">
      <c r="A534" s="17" t="s">
        <v>38</v>
      </c>
      <c r="B534" s="18" t="s">
        <v>44</v>
      </c>
      <c r="C534" s="18">
        <v>46615000</v>
      </c>
      <c r="D534" s="18">
        <v>1978</v>
      </c>
    </row>
    <row r="535" spans="1:4" ht="19.95" customHeight="1" x14ac:dyDescent="0.25">
      <c r="A535" s="17" t="s">
        <v>39</v>
      </c>
      <c r="B535" s="18" t="s">
        <v>44</v>
      </c>
      <c r="C535" s="18">
        <v>320382000</v>
      </c>
      <c r="D535" s="18">
        <v>1978</v>
      </c>
    </row>
    <row r="536" spans="1:4" ht="19.95" customHeight="1" x14ac:dyDescent="0.25">
      <c r="A536" s="17" t="s">
        <v>40</v>
      </c>
      <c r="B536" s="18" t="s">
        <v>44</v>
      </c>
      <c r="C536" s="18">
        <v>9049000</v>
      </c>
      <c r="D536" s="18">
        <v>1978</v>
      </c>
    </row>
    <row r="537" spans="1:4" ht="19.95" customHeight="1" x14ac:dyDescent="0.25">
      <c r="A537" s="17" t="s">
        <v>10</v>
      </c>
      <c r="B537" s="18" t="s">
        <v>44</v>
      </c>
      <c r="C537" s="18">
        <v>25397000</v>
      </c>
      <c r="D537" s="18">
        <v>1979</v>
      </c>
    </row>
    <row r="538" spans="1:4" ht="19.95" customHeight="1" x14ac:dyDescent="0.25">
      <c r="A538" s="17" t="s">
        <v>13</v>
      </c>
      <c r="B538" s="18" t="s">
        <v>44</v>
      </c>
      <c r="C538" s="18">
        <v>256713000</v>
      </c>
      <c r="D538" s="18">
        <v>1979</v>
      </c>
    </row>
    <row r="539" spans="1:4" ht="19.95" customHeight="1" x14ac:dyDescent="0.25">
      <c r="A539" s="17" t="s">
        <v>16</v>
      </c>
      <c r="B539" s="18" t="s">
        <v>44</v>
      </c>
      <c r="C539" s="18">
        <v>35771000</v>
      </c>
      <c r="D539" s="18">
        <v>1979</v>
      </c>
    </row>
    <row r="540" spans="1:4" ht="19.95" customHeight="1" x14ac:dyDescent="0.25">
      <c r="A540" s="17" t="s">
        <v>15</v>
      </c>
      <c r="B540" s="18" t="s">
        <v>44</v>
      </c>
      <c r="C540" s="18">
        <v>2463000</v>
      </c>
      <c r="D540" s="18">
        <v>1979</v>
      </c>
    </row>
    <row r="541" spans="1:4" ht="19.95" customHeight="1" x14ac:dyDescent="0.25">
      <c r="A541" s="17" t="s">
        <v>17</v>
      </c>
      <c r="B541" s="18" t="s">
        <v>44</v>
      </c>
      <c r="C541" s="18">
        <v>0</v>
      </c>
      <c r="D541" s="18">
        <v>1979</v>
      </c>
    </row>
    <row r="542" spans="1:4" ht="19.95" customHeight="1" x14ac:dyDescent="0.25">
      <c r="A542" s="17" t="s">
        <v>18</v>
      </c>
      <c r="B542" s="18" t="s">
        <v>44</v>
      </c>
      <c r="C542" s="18">
        <v>280153000</v>
      </c>
      <c r="D542" s="18">
        <v>1979</v>
      </c>
    </row>
    <row r="543" spans="1:4" ht="19.95" customHeight="1" x14ac:dyDescent="0.25">
      <c r="A543" s="17" t="s">
        <v>19</v>
      </c>
      <c r="B543" s="18" t="s">
        <v>44</v>
      </c>
      <c r="C543" s="18">
        <v>80458000</v>
      </c>
      <c r="D543" s="18">
        <v>1979</v>
      </c>
    </row>
    <row r="544" spans="1:4" ht="19.95" customHeight="1" x14ac:dyDescent="0.25">
      <c r="A544" s="17" t="s">
        <v>20</v>
      </c>
      <c r="B544" s="18" t="s">
        <v>44</v>
      </c>
      <c r="C544" s="18">
        <v>53198000</v>
      </c>
      <c r="D544" s="18">
        <v>1979</v>
      </c>
    </row>
    <row r="545" spans="1:4" ht="19.95" customHeight="1" x14ac:dyDescent="0.25">
      <c r="A545" s="17" t="s">
        <v>21</v>
      </c>
      <c r="B545" s="18" t="s">
        <v>44</v>
      </c>
      <c r="C545" s="18">
        <v>422638000</v>
      </c>
      <c r="D545" s="18">
        <v>1979</v>
      </c>
    </row>
    <row r="546" spans="1:4" ht="19.95" customHeight="1" x14ac:dyDescent="0.25">
      <c r="A546" s="17" t="s">
        <v>22</v>
      </c>
      <c r="B546" s="18" t="s">
        <v>44</v>
      </c>
      <c r="C546" s="18">
        <v>0</v>
      </c>
      <c r="D546" s="18">
        <v>1979</v>
      </c>
    </row>
    <row r="547" spans="1:4" ht="19.95" customHeight="1" x14ac:dyDescent="0.25">
      <c r="A547" s="17" t="s">
        <v>23</v>
      </c>
      <c r="B547" s="18" t="s">
        <v>44</v>
      </c>
      <c r="C547" s="18">
        <v>71690000</v>
      </c>
      <c r="D547" s="18">
        <v>1979</v>
      </c>
    </row>
    <row r="548" spans="1:4" ht="19.95" customHeight="1" x14ac:dyDescent="0.25">
      <c r="A548" s="17" t="s">
        <v>24</v>
      </c>
      <c r="B548" s="18" t="s">
        <v>44</v>
      </c>
      <c r="C548" s="18">
        <v>126050000</v>
      </c>
      <c r="D548" s="18">
        <v>1979</v>
      </c>
    </row>
    <row r="549" spans="1:4" ht="19.95" customHeight="1" x14ac:dyDescent="0.25">
      <c r="A549" s="17" t="s">
        <v>25</v>
      </c>
      <c r="B549" s="18" t="s">
        <v>44</v>
      </c>
      <c r="C549" s="18">
        <v>134120000</v>
      </c>
      <c r="D549" s="18">
        <v>1979</v>
      </c>
    </row>
    <row r="550" spans="1:4" ht="19.95" customHeight="1" x14ac:dyDescent="0.25">
      <c r="A550" s="17" t="s">
        <v>26</v>
      </c>
      <c r="B550" s="18" t="s">
        <v>44</v>
      </c>
      <c r="C550" s="18">
        <v>101997000</v>
      </c>
      <c r="D550" s="18">
        <v>1979</v>
      </c>
    </row>
    <row r="551" spans="1:4" ht="19.95" customHeight="1" x14ac:dyDescent="0.25">
      <c r="A551" s="17" t="s">
        <v>27</v>
      </c>
      <c r="B551" s="18" t="s">
        <v>44</v>
      </c>
      <c r="C551" s="18">
        <v>0</v>
      </c>
      <c r="D551" s="18">
        <v>1979</v>
      </c>
    </row>
    <row r="552" spans="1:4" ht="19.95" customHeight="1" x14ac:dyDescent="0.25">
      <c r="A552" s="17" t="s">
        <v>28</v>
      </c>
      <c r="B552" s="18" t="s">
        <v>44</v>
      </c>
      <c r="C552" s="18">
        <v>0</v>
      </c>
      <c r="D552" s="18">
        <v>1979</v>
      </c>
    </row>
    <row r="553" spans="1:4" ht="19.95" customHeight="1" x14ac:dyDescent="0.25">
      <c r="A553" s="17" t="s">
        <v>29</v>
      </c>
      <c r="B553" s="18" t="s">
        <v>44</v>
      </c>
      <c r="C553" s="18">
        <v>123567000</v>
      </c>
      <c r="D553" s="18">
        <v>1979</v>
      </c>
    </row>
    <row r="554" spans="1:4" ht="19.95" customHeight="1" x14ac:dyDescent="0.25">
      <c r="A554" s="17" t="s">
        <v>31</v>
      </c>
      <c r="B554" s="18" t="s">
        <v>44</v>
      </c>
      <c r="C554" s="18">
        <v>51096000</v>
      </c>
      <c r="D554" s="18">
        <v>1979</v>
      </c>
    </row>
    <row r="555" spans="1:4" ht="19.95" customHeight="1" x14ac:dyDescent="0.25">
      <c r="A555" s="17" t="s">
        <v>32</v>
      </c>
      <c r="B555" s="18" t="s">
        <v>44</v>
      </c>
      <c r="C555" s="18">
        <v>107805000</v>
      </c>
      <c r="D555" s="18">
        <v>1979</v>
      </c>
    </row>
    <row r="556" spans="1:4" ht="19.95" customHeight="1" x14ac:dyDescent="0.25">
      <c r="A556" s="17" t="s">
        <v>33</v>
      </c>
      <c r="B556" s="18" t="s">
        <v>44</v>
      </c>
      <c r="C556" s="18">
        <v>48053000</v>
      </c>
      <c r="D556" s="18">
        <v>1979</v>
      </c>
    </row>
    <row r="557" spans="1:4" ht="19.95" customHeight="1" x14ac:dyDescent="0.25">
      <c r="A557" s="17" t="s">
        <v>34</v>
      </c>
      <c r="B557" s="18" t="s">
        <v>44</v>
      </c>
      <c r="C557" s="18">
        <v>47887000</v>
      </c>
      <c r="D557" s="18">
        <v>1979</v>
      </c>
    </row>
    <row r="558" spans="1:4" ht="19.95" customHeight="1" x14ac:dyDescent="0.25">
      <c r="A558" s="17" t="s">
        <v>35</v>
      </c>
      <c r="B558" s="18" t="s">
        <v>44</v>
      </c>
      <c r="C558" s="18">
        <v>0</v>
      </c>
      <c r="D558" s="18">
        <v>1979</v>
      </c>
    </row>
    <row r="559" spans="1:4" ht="19.95" customHeight="1" x14ac:dyDescent="0.25">
      <c r="A559" s="17" t="s">
        <v>2</v>
      </c>
      <c r="B559" s="18" t="s">
        <v>44</v>
      </c>
      <c r="C559" s="18">
        <v>110862000</v>
      </c>
      <c r="D559" s="18">
        <v>1979</v>
      </c>
    </row>
    <row r="560" spans="1:4" ht="19.95" customHeight="1" x14ac:dyDescent="0.25">
      <c r="A560" s="17" t="s">
        <v>36</v>
      </c>
      <c r="B560" s="18" t="s">
        <v>44</v>
      </c>
      <c r="C560" s="18">
        <v>0</v>
      </c>
      <c r="D560" s="18">
        <v>1979</v>
      </c>
    </row>
    <row r="561" spans="1:4" ht="19.95" customHeight="1" x14ac:dyDescent="0.25">
      <c r="A561" s="17" t="s">
        <v>37</v>
      </c>
      <c r="B561" s="18" t="s">
        <v>44</v>
      </c>
      <c r="C561" s="18">
        <v>375983000</v>
      </c>
      <c r="D561" s="18">
        <v>1979</v>
      </c>
    </row>
    <row r="562" spans="1:4" ht="19.95" customHeight="1" x14ac:dyDescent="0.25">
      <c r="A562" s="17" t="s">
        <v>38</v>
      </c>
      <c r="B562" s="18" t="s">
        <v>44</v>
      </c>
      <c r="C562" s="18">
        <v>46990000</v>
      </c>
      <c r="D562" s="18">
        <v>1979</v>
      </c>
    </row>
    <row r="563" spans="1:4" ht="19.95" customHeight="1" x14ac:dyDescent="0.25">
      <c r="A563" s="17" t="s">
        <v>39</v>
      </c>
      <c r="B563" s="18" t="s">
        <v>44</v>
      </c>
      <c r="C563" s="18">
        <v>336119000</v>
      </c>
      <c r="D563" s="18">
        <v>1979</v>
      </c>
    </row>
    <row r="564" spans="1:4" ht="19.95" customHeight="1" x14ac:dyDescent="0.25">
      <c r="A564" s="17" t="s">
        <v>40</v>
      </c>
      <c r="B564" s="18" t="s">
        <v>44</v>
      </c>
      <c r="C564" s="18">
        <v>6180000</v>
      </c>
      <c r="D564" s="18">
        <v>1979</v>
      </c>
    </row>
    <row r="565" spans="1:4" ht="19.95" customHeight="1" x14ac:dyDescent="0.25">
      <c r="A565" s="17" t="s">
        <v>10</v>
      </c>
      <c r="B565" s="18" t="s">
        <v>44</v>
      </c>
      <c r="C565" s="18">
        <v>37007000</v>
      </c>
      <c r="D565" s="18">
        <v>1980</v>
      </c>
    </row>
    <row r="566" spans="1:4" ht="19.95" customHeight="1" x14ac:dyDescent="0.25">
      <c r="A566" s="17" t="s">
        <v>13</v>
      </c>
      <c r="B566" s="18" t="s">
        <v>44</v>
      </c>
      <c r="C566" s="18">
        <v>297945000</v>
      </c>
      <c r="D566" s="18">
        <v>1980</v>
      </c>
    </row>
    <row r="567" spans="1:4" ht="19.95" customHeight="1" x14ac:dyDescent="0.25">
      <c r="A567" s="17" t="s">
        <v>16</v>
      </c>
      <c r="B567" s="18" t="s">
        <v>44</v>
      </c>
      <c r="C567" s="18">
        <v>36133000</v>
      </c>
      <c r="D567" s="18">
        <v>1980</v>
      </c>
    </row>
    <row r="568" spans="1:4" ht="19.95" customHeight="1" x14ac:dyDescent="0.25">
      <c r="A568" s="17" t="s">
        <v>15</v>
      </c>
      <c r="B568" s="18" t="s">
        <v>44</v>
      </c>
      <c r="C568" s="18">
        <v>4220000</v>
      </c>
      <c r="D568" s="18">
        <v>1980</v>
      </c>
    </row>
    <row r="569" spans="1:4" ht="19.95" customHeight="1" x14ac:dyDescent="0.25">
      <c r="A569" s="17" t="s">
        <v>17</v>
      </c>
      <c r="B569" s="18" t="s">
        <v>44</v>
      </c>
      <c r="C569" s="18">
        <v>0</v>
      </c>
      <c r="D569" s="18">
        <v>1980</v>
      </c>
    </row>
    <row r="570" spans="1:4" ht="19.95" customHeight="1" x14ac:dyDescent="0.25">
      <c r="A570" s="17" t="s">
        <v>18</v>
      </c>
      <c r="B570" s="18" t="s">
        <v>44</v>
      </c>
      <c r="C570" s="18">
        <v>304325000</v>
      </c>
      <c r="D570" s="18">
        <v>1980</v>
      </c>
    </row>
    <row r="571" spans="1:4" ht="19.95" customHeight="1" x14ac:dyDescent="0.25">
      <c r="A571" s="17" t="s">
        <v>19</v>
      </c>
      <c r="B571" s="18" t="s">
        <v>44</v>
      </c>
      <c r="C571" s="18">
        <v>87299000</v>
      </c>
      <c r="D571" s="18">
        <v>1980</v>
      </c>
    </row>
    <row r="572" spans="1:4" ht="19.95" customHeight="1" x14ac:dyDescent="0.25">
      <c r="A572" s="17" t="s">
        <v>20</v>
      </c>
      <c r="B572" s="18" t="s">
        <v>44</v>
      </c>
      <c r="C572" s="18">
        <v>66265000</v>
      </c>
      <c r="D572" s="18">
        <v>1980</v>
      </c>
    </row>
    <row r="573" spans="1:4" ht="19.95" customHeight="1" x14ac:dyDescent="0.25">
      <c r="A573" s="17" t="s">
        <v>21</v>
      </c>
      <c r="B573" s="18" t="s">
        <v>44</v>
      </c>
      <c r="C573" s="18">
        <v>528280000</v>
      </c>
      <c r="D573" s="18">
        <v>1980</v>
      </c>
    </row>
    <row r="574" spans="1:4" ht="19.95" customHeight="1" x14ac:dyDescent="0.25">
      <c r="A574" s="17" t="s">
        <v>22</v>
      </c>
      <c r="B574" s="18" t="s">
        <v>44</v>
      </c>
      <c r="C574" s="18">
        <v>0</v>
      </c>
      <c r="D574" s="18">
        <v>1980</v>
      </c>
    </row>
    <row r="575" spans="1:4" ht="19.95" customHeight="1" x14ac:dyDescent="0.25">
      <c r="A575" s="17" t="s">
        <v>23</v>
      </c>
      <c r="B575" s="18" t="s">
        <v>44</v>
      </c>
      <c r="C575" s="18">
        <v>92215000</v>
      </c>
      <c r="D575" s="18">
        <v>1980</v>
      </c>
    </row>
    <row r="576" spans="1:4" ht="19.95" customHeight="1" x14ac:dyDescent="0.25">
      <c r="A576" s="17" t="s">
        <v>24</v>
      </c>
      <c r="B576" s="18" t="s">
        <v>44</v>
      </c>
      <c r="C576" s="18">
        <v>151693000</v>
      </c>
      <c r="D576" s="18">
        <v>1980</v>
      </c>
    </row>
    <row r="577" spans="1:4" ht="19.95" customHeight="1" x14ac:dyDescent="0.25">
      <c r="A577" s="17" t="s">
        <v>25</v>
      </c>
      <c r="B577" s="18" t="s">
        <v>44</v>
      </c>
      <c r="C577" s="18">
        <v>156036000</v>
      </c>
      <c r="D577" s="18">
        <v>1980</v>
      </c>
    </row>
    <row r="578" spans="1:4" ht="19.95" customHeight="1" x14ac:dyDescent="0.25">
      <c r="A578" s="17" t="s">
        <v>26</v>
      </c>
      <c r="B578" s="18" t="s">
        <v>44</v>
      </c>
      <c r="C578" s="18">
        <v>120800000</v>
      </c>
      <c r="D578" s="18">
        <v>1980</v>
      </c>
    </row>
    <row r="579" spans="1:4" ht="19.95" customHeight="1" x14ac:dyDescent="0.25">
      <c r="A579" s="17" t="s">
        <v>27</v>
      </c>
      <c r="B579" s="18" t="s">
        <v>44</v>
      </c>
      <c r="C579" s="18">
        <v>0</v>
      </c>
      <c r="D579" s="18">
        <v>1980</v>
      </c>
    </row>
    <row r="580" spans="1:4" ht="19.95" customHeight="1" x14ac:dyDescent="0.25">
      <c r="A580" s="17" t="s">
        <v>28</v>
      </c>
      <c r="B580" s="18" t="s">
        <v>44</v>
      </c>
      <c r="C580" s="18">
        <v>0</v>
      </c>
      <c r="D580" s="18">
        <v>1980</v>
      </c>
    </row>
    <row r="581" spans="1:4" ht="19.95" customHeight="1" x14ac:dyDescent="0.25">
      <c r="A581" s="17" t="s">
        <v>29</v>
      </c>
      <c r="B581" s="18" t="s">
        <v>44</v>
      </c>
      <c r="C581" s="18">
        <v>146223000</v>
      </c>
      <c r="D581" s="18">
        <v>1980</v>
      </c>
    </row>
    <row r="582" spans="1:4" ht="19.95" customHeight="1" x14ac:dyDescent="0.25">
      <c r="A582" s="17" t="s">
        <v>31</v>
      </c>
      <c r="B582" s="18" t="s">
        <v>44</v>
      </c>
      <c r="C582" s="18">
        <v>76120000</v>
      </c>
      <c r="D582" s="18">
        <v>1980</v>
      </c>
    </row>
    <row r="583" spans="1:4" ht="19.95" customHeight="1" x14ac:dyDescent="0.25">
      <c r="A583" s="17" t="s">
        <v>32</v>
      </c>
      <c r="B583" s="18" t="s">
        <v>44</v>
      </c>
      <c r="C583" s="18">
        <v>134989000</v>
      </c>
      <c r="D583" s="18">
        <v>1980</v>
      </c>
    </row>
    <row r="584" spans="1:4" ht="19.95" customHeight="1" x14ac:dyDescent="0.25">
      <c r="A584" s="17" t="s">
        <v>33</v>
      </c>
      <c r="B584" s="18" t="s">
        <v>44</v>
      </c>
      <c r="C584" s="18">
        <v>66113000</v>
      </c>
      <c r="D584" s="18">
        <v>1980</v>
      </c>
    </row>
    <row r="585" spans="1:4" ht="19.95" customHeight="1" x14ac:dyDescent="0.25">
      <c r="A585" s="17" t="s">
        <v>34</v>
      </c>
      <c r="B585" s="18" t="s">
        <v>44</v>
      </c>
      <c r="C585" s="18">
        <v>58118000</v>
      </c>
      <c r="D585" s="18">
        <v>1980</v>
      </c>
    </row>
    <row r="586" spans="1:4" ht="19.95" customHeight="1" x14ac:dyDescent="0.25">
      <c r="A586" s="17" t="s">
        <v>35</v>
      </c>
      <c r="B586" s="18" t="s">
        <v>44</v>
      </c>
      <c r="C586" s="18">
        <v>0</v>
      </c>
      <c r="D586" s="18">
        <v>1980</v>
      </c>
    </row>
    <row r="587" spans="1:4" ht="19.95" customHeight="1" x14ac:dyDescent="0.25">
      <c r="A587" s="17" t="s">
        <v>2</v>
      </c>
      <c r="B587" s="18" t="s">
        <v>44</v>
      </c>
      <c r="C587" s="18">
        <v>128635000</v>
      </c>
      <c r="D587" s="18">
        <v>1980</v>
      </c>
    </row>
    <row r="588" spans="1:4" ht="19.95" customHeight="1" x14ac:dyDescent="0.25">
      <c r="A588" s="17" t="s">
        <v>36</v>
      </c>
      <c r="B588" s="18" t="s">
        <v>44</v>
      </c>
      <c r="C588" s="18">
        <v>0</v>
      </c>
      <c r="D588" s="18">
        <v>1980</v>
      </c>
    </row>
    <row r="589" spans="1:4" ht="19.95" customHeight="1" x14ac:dyDescent="0.25">
      <c r="A589" s="17" t="s">
        <v>37</v>
      </c>
      <c r="B589" s="18" t="s">
        <v>44</v>
      </c>
      <c r="C589" s="18">
        <v>439843000</v>
      </c>
      <c r="D589" s="18">
        <v>1980</v>
      </c>
    </row>
    <row r="590" spans="1:4" ht="19.95" customHeight="1" x14ac:dyDescent="0.25">
      <c r="A590" s="17" t="s">
        <v>38</v>
      </c>
      <c r="B590" s="18" t="s">
        <v>44</v>
      </c>
      <c r="C590" s="18">
        <v>47033000</v>
      </c>
      <c r="D590" s="18">
        <v>1980</v>
      </c>
    </row>
    <row r="591" spans="1:4" ht="19.95" customHeight="1" x14ac:dyDescent="0.25">
      <c r="A591" s="17" t="s">
        <v>39</v>
      </c>
      <c r="B591" s="18" t="s">
        <v>44</v>
      </c>
      <c r="C591" s="18">
        <v>347797000</v>
      </c>
      <c r="D591" s="18">
        <v>1980</v>
      </c>
    </row>
    <row r="592" spans="1:4" ht="19.95" customHeight="1" x14ac:dyDescent="0.25">
      <c r="A592" s="17" t="s">
        <v>40</v>
      </c>
      <c r="B592" s="18" t="s">
        <v>44</v>
      </c>
      <c r="C592" s="18">
        <v>3166000</v>
      </c>
      <c r="D592" s="18">
        <v>1980</v>
      </c>
    </row>
    <row r="593" spans="1:4" ht="19.95" customHeight="1" x14ac:dyDescent="0.25">
      <c r="A593" s="17" t="s">
        <v>10</v>
      </c>
      <c r="B593" s="18" t="s">
        <v>44</v>
      </c>
      <c r="C593" s="18">
        <v>47353000</v>
      </c>
      <c r="D593" s="18">
        <v>1981</v>
      </c>
    </row>
    <row r="594" spans="1:4" ht="19.95" customHeight="1" x14ac:dyDescent="0.25">
      <c r="A594" s="17" t="s">
        <v>13</v>
      </c>
      <c r="B594" s="18" t="s">
        <v>44</v>
      </c>
      <c r="C594" s="18">
        <v>339965000</v>
      </c>
      <c r="D594" s="18">
        <v>1981</v>
      </c>
    </row>
    <row r="595" spans="1:4" ht="19.95" customHeight="1" x14ac:dyDescent="0.25">
      <c r="A595" s="17" t="s">
        <v>16</v>
      </c>
      <c r="B595" s="18" t="s">
        <v>44</v>
      </c>
      <c r="C595" s="18">
        <v>36133000</v>
      </c>
      <c r="D595" s="18">
        <v>1981</v>
      </c>
    </row>
    <row r="596" spans="1:4" ht="19.95" customHeight="1" x14ac:dyDescent="0.25">
      <c r="A596" s="17" t="s">
        <v>15</v>
      </c>
      <c r="B596" s="18" t="s">
        <v>44</v>
      </c>
      <c r="C596" s="18">
        <v>5619000</v>
      </c>
      <c r="D596" s="18">
        <v>1981</v>
      </c>
    </row>
    <row r="597" spans="1:4" ht="19.95" customHeight="1" x14ac:dyDescent="0.25">
      <c r="A597" s="17" t="s">
        <v>17</v>
      </c>
      <c r="B597" s="18" t="s">
        <v>44</v>
      </c>
      <c r="C597" s="18">
        <v>0</v>
      </c>
      <c r="D597" s="18">
        <v>1981</v>
      </c>
    </row>
    <row r="598" spans="1:4" ht="19.95" customHeight="1" x14ac:dyDescent="0.25">
      <c r="A598" s="17" t="s">
        <v>18</v>
      </c>
      <c r="B598" s="18" t="s">
        <v>44</v>
      </c>
      <c r="C598" s="18">
        <v>327391000</v>
      </c>
      <c r="D598" s="18">
        <v>1981</v>
      </c>
    </row>
    <row r="599" spans="1:4" ht="19.95" customHeight="1" x14ac:dyDescent="0.25">
      <c r="A599" s="17" t="s">
        <v>19</v>
      </c>
      <c r="B599" s="18" t="s">
        <v>44</v>
      </c>
      <c r="C599" s="18">
        <v>97572000</v>
      </c>
      <c r="D599" s="18">
        <v>1981</v>
      </c>
    </row>
    <row r="600" spans="1:4" ht="19.95" customHeight="1" x14ac:dyDescent="0.25">
      <c r="A600" s="17" t="s">
        <v>20</v>
      </c>
      <c r="B600" s="18" t="s">
        <v>44</v>
      </c>
      <c r="C600" s="18">
        <v>82405000</v>
      </c>
      <c r="D600" s="18">
        <v>1981</v>
      </c>
    </row>
    <row r="601" spans="1:4" ht="19.95" customHeight="1" x14ac:dyDescent="0.25">
      <c r="A601" s="17" t="s">
        <v>21</v>
      </c>
      <c r="B601" s="18" t="s">
        <v>44</v>
      </c>
      <c r="C601" s="18">
        <v>585511000</v>
      </c>
      <c r="D601" s="18">
        <v>1981</v>
      </c>
    </row>
    <row r="602" spans="1:4" ht="19.95" customHeight="1" x14ac:dyDescent="0.25">
      <c r="A602" s="17" t="s">
        <v>22</v>
      </c>
      <c r="B602" s="18" t="s">
        <v>44</v>
      </c>
      <c r="C602" s="18">
        <v>0</v>
      </c>
      <c r="D602" s="18">
        <v>1981</v>
      </c>
    </row>
    <row r="603" spans="1:4" ht="19.95" customHeight="1" x14ac:dyDescent="0.25">
      <c r="A603" s="17" t="s">
        <v>23</v>
      </c>
      <c r="B603" s="18" t="s">
        <v>44</v>
      </c>
      <c r="C603" s="18">
        <v>113300000</v>
      </c>
      <c r="D603" s="18">
        <v>1981</v>
      </c>
    </row>
    <row r="604" spans="1:4" ht="19.95" customHeight="1" x14ac:dyDescent="0.25">
      <c r="A604" s="17" t="s">
        <v>24</v>
      </c>
      <c r="B604" s="18" t="s">
        <v>44</v>
      </c>
      <c r="C604" s="18">
        <v>185272000</v>
      </c>
      <c r="D604" s="18">
        <v>1981</v>
      </c>
    </row>
    <row r="605" spans="1:4" ht="19.95" customHeight="1" x14ac:dyDescent="0.25">
      <c r="A605" s="17" t="s">
        <v>25</v>
      </c>
      <c r="B605" s="18" t="s">
        <v>44</v>
      </c>
      <c r="C605" s="18">
        <v>202873000</v>
      </c>
      <c r="D605" s="18">
        <v>1981</v>
      </c>
    </row>
    <row r="606" spans="1:4" ht="19.95" customHeight="1" x14ac:dyDescent="0.25">
      <c r="A606" s="17" t="s">
        <v>26</v>
      </c>
      <c r="B606" s="18" t="s">
        <v>44</v>
      </c>
      <c r="C606" s="18">
        <v>139830000</v>
      </c>
      <c r="D606" s="18">
        <v>1981</v>
      </c>
    </row>
    <row r="607" spans="1:4" ht="19.95" customHeight="1" x14ac:dyDescent="0.25">
      <c r="A607" s="17" t="s">
        <v>27</v>
      </c>
      <c r="B607" s="18" t="s">
        <v>44</v>
      </c>
      <c r="C607" s="18">
        <v>0</v>
      </c>
      <c r="D607" s="18">
        <v>1981</v>
      </c>
    </row>
    <row r="608" spans="1:4" ht="19.95" customHeight="1" x14ac:dyDescent="0.25">
      <c r="A608" s="17" t="s">
        <v>28</v>
      </c>
      <c r="B608" s="18" t="s">
        <v>44</v>
      </c>
      <c r="C608" s="18">
        <v>0</v>
      </c>
      <c r="D608" s="18">
        <v>1981</v>
      </c>
    </row>
    <row r="609" spans="1:4" ht="19.95" customHeight="1" x14ac:dyDescent="0.25">
      <c r="A609" s="17" t="s">
        <v>29</v>
      </c>
      <c r="B609" s="18" t="s">
        <v>44</v>
      </c>
      <c r="C609" s="18">
        <v>185120000</v>
      </c>
      <c r="D609" s="18">
        <v>1981</v>
      </c>
    </row>
    <row r="610" spans="1:4" ht="19.95" customHeight="1" x14ac:dyDescent="0.25">
      <c r="A610" s="17" t="s">
        <v>31</v>
      </c>
      <c r="B610" s="18" t="s">
        <v>44</v>
      </c>
      <c r="C610" s="18">
        <v>108915000</v>
      </c>
      <c r="D610" s="18">
        <v>1981</v>
      </c>
    </row>
    <row r="611" spans="1:4" ht="19.95" customHeight="1" x14ac:dyDescent="0.25">
      <c r="A611" s="17" t="s">
        <v>32</v>
      </c>
      <c r="B611" s="18" t="s">
        <v>44</v>
      </c>
      <c r="C611" s="18">
        <v>170918000</v>
      </c>
      <c r="D611" s="18">
        <v>1981</v>
      </c>
    </row>
    <row r="612" spans="1:4" ht="19.95" customHeight="1" x14ac:dyDescent="0.25">
      <c r="A612" s="17" t="s">
        <v>33</v>
      </c>
      <c r="B612" s="18" t="s">
        <v>44</v>
      </c>
      <c r="C612" s="18">
        <v>78581000</v>
      </c>
      <c r="D612" s="18">
        <v>1981</v>
      </c>
    </row>
    <row r="613" spans="1:4" ht="19.95" customHeight="1" x14ac:dyDescent="0.25">
      <c r="A613" s="17" t="s">
        <v>34</v>
      </c>
      <c r="B613" s="18" t="s">
        <v>44</v>
      </c>
      <c r="C613" s="18">
        <v>65124000</v>
      </c>
      <c r="D613" s="18">
        <v>1981</v>
      </c>
    </row>
    <row r="614" spans="1:4" ht="19.95" customHeight="1" x14ac:dyDescent="0.25">
      <c r="A614" s="17" t="s">
        <v>35</v>
      </c>
      <c r="B614" s="18" t="s">
        <v>44</v>
      </c>
      <c r="C614" s="18">
        <v>0</v>
      </c>
      <c r="D614" s="18">
        <v>1981</v>
      </c>
    </row>
    <row r="615" spans="1:4" ht="19.95" customHeight="1" x14ac:dyDescent="0.25">
      <c r="A615" s="17" t="s">
        <v>2</v>
      </c>
      <c r="B615" s="18" t="s">
        <v>44</v>
      </c>
      <c r="C615" s="18">
        <v>154537000</v>
      </c>
      <c r="D615" s="18">
        <v>1981</v>
      </c>
    </row>
    <row r="616" spans="1:4" ht="19.95" customHeight="1" x14ac:dyDescent="0.25">
      <c r="A616" s="17" t="s">
        <v>36</v>
      </c>
      <c r="B616" s="18" t="s">
        <v>44</v>
      </c>
      <c r="C616" s="18">
        <v>0</v>
      </c>
      <c r="D616" s="18">
        <v>1981</v>
      </c>
    </row>
    <row r="617" spans="1:4" ht="19.95" customHeight="1" x14ac:dyDescent="0.25">
      <c r="A617" s="17" t="s">
        <v>37</v>
      </c>
      <c r="B617" s="18" t="s">
        <v>44</v>
      </c>
      <c r="C617" s="18">
        <v>528956000</v>
      </c>
      <c r="D617" s="18">
        <v>1981</v>
      </c>
    </row>
    <row r="618" spans="1:4" ht="19.95" customHeight="1" x14ac:dyDescent="0.25">
      <c r="A618" s="17" t="s">
        <v>38</v>
      </c>
      <c r="B618" s="18" t="s">
        <v>44</v>
      </c>
      <c r="C618" s="18">
        <v>61200000</v>
      </c>
      <c r="D618" s="18">
        <v>1981</v>
      </c>
    </row>
    <row r="619" spans="1:4" ht="19.95" customHeight="1" x14ac:dyDescent="0.25">
      <c r="A619" s="17" t="s">
        <v>39</v>
      </c>
      <c r="B619" s="18" t="s">
        <v>44</v>
      </c>
      <c r="C619" s="18">
        <v>350814000</v>
      </c>
      <c r="D619" s="18">
        <v>1981</v>
      </c>
    </row>
    <row r="620" spans="1:4" ht="19.95" customHeight="1" x14ac:dyDescent="0.25">
      <c r="A620" s="17" t="s">
        <v>40</v>
      </c>
      <c r="B620" s="18" t="s">
        <v>44</v>
      </c>
      <c r="C620" s="18">
        <v>56012000</v>
      </c>
      <c r="D620" s="18">
        <v>1981</v>
      </c>
    </row>
    <row r="621" spans="1:4" ht="19.95" customHeight="1" x14ac:dyDescent="0.25">
      <c r="A621" s="17" t="s">
        <v>10</v>
      </c>
      <c r="B621" s="18" t="s">
        <v>44</v>
      </c>
      <c r="C621" s="18">
        <v>65457000</v>
      </c>
      <c r="D621" s="18">
        <v>1982</v>
      </c>
    </row>
    <row r="622" spans="1:4" ht="19.95" customHeight="1" x14ac:dyDescent="0.25">
      <c r="A622" s="17" t="s">
        <v>13</v>
      </c>
      <c r="B622" s="18" t="s">
        <v>44</v>
      </c>
      <c r="C622" s="18">
        <v>386229000</v>
      </c>
      <c r="D622" s="18">
        <v>1982</v>
      </c>
    </row>
    <row r="623" spans="1:4" ht="19.95" customHeight="1" x14ac:dyDescent="0.25">
      <c r="A623" s="17" t="s">
        <v>16</v>
      </c>
      <c r="B623" s="18" t="s">
        <v>44</v>
      </c>
      <c r="C623" s="18">
        <v>36101000</v>
      </c>
      <c r="D623" s="18">
        <v>1982</v>
      </c>
    </row>
    <row r="624" spans="1:4" ht="19.95" customHeight="1" x14ac:dyDescent="0.25">
      <c r="A624" s="17" t="s">
        <v>15</v>
      </c>
      <c r="B624" s="18" t="s">
        <v>44</v>
      </c>
      <c r="C624" s="18">
        <v>7473000</v>
      </c>
      <c r="D624" s="18">
        <v>1982</v>
      </c>
    </row>
    <row r="625" spans="1:4" ht="19.95" customHeight="1" x14ac:dyDescent="0.25">
      <c r="A625" s="17" t="s">
        <v>17</v>
      </c>
      <c r="B625" s="18" t="s">
        <v>44</v>
      </c>
      <c r="C625" s="18">
        <v>0</v>
      </c>
      <c r="D625" s="18">
        <v>1982</v>
      </c>
    </row>
    <row r="626" spans="1:4" ht="19.95" customHeight="1" x14ac:dyDescent="0.25">
      <c r="A626" s="17" t="s">
        <v>18</v>
      </c>
      <c r="B626" s="18" t="s">
        <v>44</v>
      </c>
      <c r="C626" s="18">
        <v>350104000</v>
      </c>
      <c r="D626" s="18">
        <v>1982</v>
      </c>
    </row>
    <row r="627" spans="1:4" ht="19.95" customHeight="1" x14ac:dyDescent="0.25">
      <c r="A627" s="17" t="s">
        <v>19</v>
      </c>
      <c r="B627" s="18" t="s">
        <v>44</v>
      </c>
      <c r="C627" s="18">
        <v>105391000</v>
      </c>
      <c r="D627" s="18">
        <v>1982</v>
      </c>
    </row>
    <row r="628" spans="1:4" ht="19.95" customHeight="1" x14ac:dyDescent="0.25">
      <c r="A628" s="17" t="s">
        <v>20</v>
      </c>
      <c r="B628" s="18" t="s">
        <v>44</v>
      </c>
      <c r="C628" s="18">
        <v>96208000</v>
      </c>
      <c r="D628" s="18">
        <v>1982</v>
      </c>
    </row>
    <row r="629" spans="1:4" ht="19.95" customHeight="1" x14ac:dyDescent="0.25">
      <c r="A629" s="17" t="s">
        <v>21</v>
      </c>
      <c r="B629" s="18" t="s">
        <v>44</v>
      </c>
      <c r="C629" s="18">
        <v>742262000</v>
      </c>
      <c r="D629" s="18">
        <v>1982</v>
      </c>
    </row>
    <row r="630" spans="1:4" ht="19.95" customHeight="1" x14ac:dyDescent="0.25">
      <c r="A630" s="17" t="s">
        <v>22</v>
      </c>
      <c r="B630" s="18" t="s">
        <v>44</v>
      </c>
      <c r="C630" s="18">
        <v>0</v>
      </c>
      <c r="D630" s="18">
        <v>1982</v>
      </c>
    </row>
    <row r="631" spans="1:4" ht="19.95" customHeight="1" x14ac:dyDescent="0.25">
      <c r="A631" s="17" t="s">
        <v>23</v>
      </c>
      <c r="B631" s="18" t="s">
        <v>44</v>
      </c>
      <c r="C631" s="18">
        <v>126852000</v>
      </c>
      <c r="D631" s="18">
        <v>1982</v>
      </c>
    </row>
    <row r="632" spans="1:4" ht="19.95" customHeight="1" x14ac:dyDescent="0.25">
      <c r="A632" s="17" t="s">
        <v>24</v>
      </c>
      <c r="B632" s="18" t="s">
        <v>44</v>
      </c>
      <c r="C632" s="18">
        <v>217974000</v>
      </c>
      <c r="D632" s="18">
        <v>1982</v>
      </c>
    </row>
    <row r="633" spans="1:4" ht="19.95" customHeight="1" x14ac:dyDescent="0.25">
      <c r="A633" s="17" t="s">
        <v>25</v>
      </c>
      <c r="B633" s="18" t="s">
        <v>44</v>
      </c>
      <c r="C633" s="18">
        <v>249001000</v>
      </c>
      <c r="D633" s="18">
        <v>1982</v>
      </c>
    </row>
    <row r="634" spans="1:4" ht="19.95" customHeight="1" x14ac:dyDescent="0.25">
      <c r="A634" s="17" t="s">
        <v>26</v>
      </c>
      <c r="B634" s="18" t="s">
        <v>44</v>
      </c>
      <c r="C634" s="18">
        <v>153823000</v>
      </c>
      <c r="D634" s="18">
        <v>1982</v>
      </c>
    </row>
    <row r="635" spans="1:4" ht="19.95" customHeight="1" x14ac:dyDescent="0.25">
      <c r="A635" s="17" t="s">
        <v>27</v>
      </c>
      <c r="B635" s="18" t="s">
        <v>44</v>
      </c>
      <c r="C635" s="18">
        <v>0</v>
      </c>
      <c r="D635" s="18">
        <v>1982</v>
      </c>
    </row>
    <row r="636" spans="1:4" ht="19.95" customHeight="1" x14ac:dyDescent="0.25">
      <c r="A636" s="17" t="s">
        <v>28</v>
      </c>
      <c r="B636" s="18" t="s">
        <v>44</v>
      </c>
      <c r="C636" s="18">
        <v>0</v>
      </c>
      <c r="D636" s="18">
        <v>1982</v>
      </c>
    </row>
    <row r="637" spans="1:4" ht="19.95" customHeight="1" x14ac:dyDescent="0.25">
      <c r="A637" s="17" t="s">
        <v>29</v>
      </c>
      <c r="B637" s="18" t="s">
        <v>44</v>
      </c>
      <c r="C637" s="18">
        <v>233014000</v>
      </c>
      <c r="D637" s="18">
        <v>1982</v>
      </c>
    </row>
    <row r="638" spans="1:4" ht="19.95" customHeight="1" x14ac:dyDescent="0.25">
      <c r="A638" s="17" t="s">
        <v>31</v>
      </c>
      <c r="B638" s="18" t="s">
        <v>44</v>
      </c>
      <c r="C638" s="18">
        <v>142234000</v>
      </c>
      <c r="D638" s="18">
        <v>1982</v>
      </c>
    </row>
    <row r="639" spans="1:4" ht="19.95" customHeight="1" x14ac:dyDescent="0.25">
      <c r="A639" s="17" t="s">
        <v>32</v>
      </c>
      <c r="B639" s="18" t="s">
        <v>44</v>
      </c>
      <c r="C639" s="18">
        <v>184698000</v>
      </c>
      <c r="D639" s="18">
        <v>1982</v>
      </c>
    </row>
    <row r="640" spans="1:4" ht="19.95" customHeight="1" x14ac:dyDescent="0.25">
      <c r="A640" s="17" t="s">
        <v>33</v>
      </c>
      <c r="B640" s="18" t="s">
        <v>44</v>
      </c>
      <c r="C640" s="18">
        <v>91583000</v>
      </c>
      <c r="D640" s="18">
        <v>1982</v>
      </c>
    </row>
    <row r="641" spans="1:4" ht="19.95" customHeight="1" x14ac:dyDescent="0.25">
      <c r="A641" s="17" t="s">
        <v>34</v>
      </c>
      <c r="B641" s="18" t="s">
        <v>44</v>
      </c>
      <c r="C641" s="18">
        <v>76760000</v>
      </c>
      <c r="D641" s="18">
        <v>1982</v>
      </c>
    </row>
    <row r="642" spans="1:4" ht="19.95" customHeight="1" x14ac:dyDescent="0.25">
      <c r="A642" s="17" t="s">
        <v>35</v>
      </c>
      <c r="B642" s="18" t="s">
        <v>44</v>
      </c>
      <c r="C642" s="18">
        <v>0</v>
      </c>
      <c r="D642" s="18">
        <v>1982</v>
      </c>
    </row>
    <row r="643" spans="1:4" ht="19.95" customHeight="1" x14ac:dyDescent="0.25">
      <c r="A643" s="17" t="s">
        <v>2</v>
      </c>
      <c r="B643" s="18" t="s">
        <v>44</v>
      </c>
      <c r="C643" s="18">
        <v>210664000</v>
      </c>
      <c r="D643" s="18">
        <v>1982</v>
      </c>
    </row>
    <row r="644" spans="1:4" ht="19.95" customHeight="1" x14ac:dyDescent="0.25">
      <c r="A644" s="17" t="s">
        <v>36</v>
      </c>
      <c r="B644" s="18" t="s">
        <v>44</v>
      </c>
      <c r="C644" s="18">
        <v>0</v>
      </c>
      <c r="D644" s="18">
        <v>1982</v>
      </c>
    </row>
    <row r="645" spans="1:4" ht="19.95" customHeight="1" x14ac:dyDescent="0.25">
      <c r="A645" s="17" t="s">
        <v>37</v>
      </c>
      <c r="B645" s="18" t="s">
        <v>44</v>
      </c>
      <c r="C645" s="18">
        <v>625498000</v>
      </c>
      <c r="D645" s="18">
        <v>1982</v>
      </c>
    </row>
    <row r="646" spans="1:4" ht="19.95" customHeight="1" x14ac:dyDescent="0.25">
      <c r="A646" s="17" t="s">
        <v>38</v>
      </c>
      <c r="B646" s="18" t="s">
        <v>44</v>
      </c>
      <c r="C646" s="18">
        <v>91842000</v>
      </c>
      <c r="D646" s="18">
        <v>1982</v>
      </c>
    </row>
    <row r="647" spans="1:4" ht="19.95" customHeight="1" x14ac:dyDescent="0.25">
      <c r="A647" s="17" t="s">
        <v>39</v>
      </c>
      <c r="B647" s="18" t="s">
        <v>44</v>
      </c>
      <c r="C647" s="18">
        <v>359486000</v>
      </c>
      <c r="D647" s="18">
        <v>1982</v>
      </c>
    </row>
    <row r="648" spans="1:4" ht="19.95" customHeight="1" x14ac:dyDescent="0.25">
      <c r="A648" s="17" t="s">
        <v>40</v>
      </c>
      <c r="B648" s="18" t="s">
        <v>44</v>
      </c>
      <c r="C648" s="18">
        <v>68817000</v>
      </c>
      <c r="D648" s="18">
        <v>1982</v>
      </c>
    </row>
    <row r="649" spans="1:4" ht="19.95" customHeight="1" x14ac:dyDescent="0.25">
      <c r="A649" s="17" t="s">
        <v>10</v>
      </c>
      <c r="B649" s="18" t="s">
        <v>44</v>
      </c>
      <c r="C649" s="18">
        <v>92308000</v>
      </c>
      <c r="D649" s="18">
        <v>1983</v>
      </c>
    </row>
    <row r="650" spans="1:4" ht="19.95" customHeight="1" x14ac:dyDescent="0.25">
      <c r="A650" s="17" t="s">
        <v>13</v>
      </c>
      <c r="B650" s="18" t="s">
        <v>44</v>
      </c>
      <c r="C650" s="18">
        <v>433644000</v>
      </c>
      <c r="D650" s="18">
        <v>1983</v>
      </c>
    </row>
    <row r="651" spans="1:4" ht="19.95" customHeight="1" x14ac:dyDescent="0.25">
      <c r="A651" s="17" t="s">
        <v>16</v>
      </c>
      <c r="B651" s="18" t="s">
        <v>44</v>
      </c>
      <c r="C651" s="18">
        <v>36449000</v>
      </c>
      <c r="D651" s="18">
        <v>1983</v>
      </c>
    </row>
    <row r="652" spans="1:4" ht="19.95" customHeight="1" x14ac:dyDescent="0.25">
      <c r="A652" s="17" t="s">
        <v>15</v>
      </c>
      <c r="B652" s="18" t="s">
        <v>44</v>
      </c>
      <c r="C652" s="18">
        <v>9437000</v>
      </c>
      <c r="D652" s="18">
        <v>1983</v>
      </c>
    </row>
    <row r="653" spans="1:4" ht="19.95" customHeight="1" x14ac:dyDescent="0.25">
      <c r="A653" s="17" t="s">
        <v>17</v>
      </c>
      <c r="B653" s="18" t="s">
        <v>44</v>
      </c>
      <c r="C653" s="18">
        <v>523000</v>
      </c>
      <c r="D653" s="18">
        <v>1983</v>
      </c>
    </row>
    <row r="654" spans="1:4" ht="19.95" customHeight="1" x14ac:dyDescent="0.25">
      <c r="A654" s="17" t="s">
        <v>18</v>
      </c>
      <c r="B654" s="18" t="s">
        <v>44</v>
      </c>
      <c r="C654" s="18">
        <v>385975000</v>
      </c>
      <c r="D654" s="18">
        <v>1983</v>
      </c>
    </row>
    <row r="655" spans="1:4" ht="19.95" customHeight="1" x14ac:dyDescent="0.25">
      <c r="A655" s="17" t="s">
        <v>19</v>
      </c>
      <c r="B655" s="18" t="s">
        <v>44</v>
      </c>
      <c r="C655" s="18">
        <v>117134000</v>
      </c>
      <c r="D655" s="18">
        <v>1983</v>
      </c>
    </row>
    <row r="656" spans="1:4" ht="19.95" customHeight="1" x14ac:dyDescent="0.25">
      <c r="A656" s="17" t="s">
        <v>20</v>
      </c>
      <c r="B656" s="18" t="s">
        <v>44</v>
      </c>
      <c r="C656" s="18">
        <v>122201000</v>
      </c>
      <c r="D656" s="18">
        <v>1983</v>
      </c>
    </row>
    <row r="657" spans="1:4" ht="19.95" customHeight="1" x14ac:dyDescent="0.25">
      <c r="A657" s="17" t="s">
        <v>21</v>
      </c>
      <c r="B657" s="18" t="s">
        <v>44</v>
      </c>
      <c r="C657" s="18">
        <v>840297000</v>
      </c>
      <c r="D657" s="18">
        <v>1983</v>
      </c>
    </row>
    <row r="658" spans="1:4" ht="19.95" customHeight="1" x14ac:dyDescent="0.25">
      <c r="A658" s="17" t="s">
        <v>22</v>
      </c>
      <c r="B658" s="18" t="s">
        <v>44</v>
      </c>
      <c r="C658" s="18">
        <v>0</v>
      </c>
      <c r="D658" s="18">
        <v>1983</v>
      </c>
    </row>
    <row r="659" spans="1:4" ht="19.95" customHeight="1" x14ac:dyDescent="0.25">
      <c r="A659" s="17" t="s">
        <v>23</v>
      </c>
      <c r="B659" s="18" t="s">
        <v>44</v>
      </c>
      <c r="C659" s="18">
        <v>141576000</v>
      </c>
      <c r="D659" s="18">
        <v>1983</v>
      </c>
    </row>
    <row r="660" spans="1:4" ht="19.95" customHeight="1" x14ac:dyDescent="0.25">
      <c r="A660" s="17" t="s">
        <v>24</v>
      </c>
      <c r="B660" s="18" t="s">
        <v>44</v>
      </c>
      <c r="C660" s="18">
        <v>252773000</v>
      </c>
      <c r="D660" s="18">
        <v>1983</v>
      </c>
    </row>
    <row r="661" spans="1:4" ht="19.95" customHeight="1" x14ac:dyDescent="0.25">
      <c r="A661" s="17" t="s">
        <v>25</v>
      </c>
      <c r="B661" s="18" t="s">
        <v>44</v>
      </c>
      <c r="C661" s="18">
        <v>277240000</v>
      </c>
      <c r="D661" s="18">
        <v>1983</v>
      </c>
    </row>
    <row r="662" spans="1:4" ht="19.95" customHeight="1" x14ac:dyDescent="0.25">
      <c r="A662" s="17" t="s">
        <v>26</v>
      </c>
      <c r="B662" s="18" t="s">
        <v>44</v>
      </c>
      <c r="C662" s="18">
        <v>171881000</v>
      </c>
      <c r="D662" s="18">
        <v>1983</v>
      </c>
    </row>
    <row r="663" spans="1:4" ht="19.95" customHeight="1" x14ac:dyDescent="0.25">
      <c r="A663" s="17" t="s">
        <v>27</v>
      </c>
      <c r="B663" s="18" t="s">
        <v>44</v>
      </c>
      <c r="C663" s="18">
        <v>0</v>
      </c>
      <c r="D663" s="18">
        <v>1983</v>
      </c>
    </row>
    <row r="664" spans="1:4" ht="19.95" customHeight="1" x14ac:dyDescent="0.25">
      <c r="A664" s="17" t="s">
        <v>28</v>
      </c>
      <c r="B664" s="18" t="s">
        <v>44</v>
      </c>
      <c r="C664" s="18">
        <v>0</v>
      </c>
      <c r="D664" s="18">
        <v>1983</v>
      </c>
    </row>
    <row r="665" spans="1:4" ht="19.95" customHeight="1" x14ac:dyDescent="0.25">
      <c r="A665" s="17" t="s">
        <v>29</v>
      </c>
      <c r="B665" s="18" t="s">
        <v>44</v>
      </c>
      <c r="C665" s="18">
        <v>285339000</v>
      </c>
      <c r="D665" s="18">
        <v>1983</v>
      </c>
    </row>
    <row r="666" spans="1:4" ht="19.95" customHeight="1" x14ac:dyDescent="0.25">
      <c r="A666" s="17" t="s">
        <v>31</v>
      </c>
      <c r="B666" s="18" t="s">
        <v>44</v>
      </c>
      <c r="C666" s="18">
        <v>172055000</v>
      </c>
      <c r="D666" s="18">
        <v>1983</v>
      </c>
    </row>
    <row r="667" spans="1:4" ht="19.95" customHeight="1" x14ac:dyDescent="0.25">
      <c r="A667" s="17" t="s">
        <v>32</v>
      </c>
      <c r="B667" s="18" t="s">
        <v>44</v>
      </c>
      <c r="C667" s="18">
        <v>202979000</v>
      </c>
      <c r="D667" s="18">
        <v>1983</v>
      </c>
    </row>
    <row r="668" spans="1:4" ht="19.95" customHeight="1" x14ac:dyDescent="0.25">
      <c r="A668" s="17" t="s">
        <v>33</v>
      </c>
      <c r="B668" s="18" t="s">
        <v>44</v>
      </c>
      <c r="C668" s="18">
        <v>105207000</v>
      </c>
      <c r="D668" s="18">
        <v>1983</v>
      </c>
    </row>
    <row r="669" spans="1:4" ht="19.95" customHeight="1" x14ac:dyDescent="0.25">
      <c r="A669" s="17" t="s">
        <v>34</v>
      </c>
      <c r="B669" s="18" t="s">
        <v>44</v>
      </c>
      <c r="C669" s="18">
        <v>95000000</v>
      </c>
      <c r="D669" s="18">
        <v>1983</v>
      </c>
    </row>
    <row r="670" spans="1:4" ht="19.95" customHeight="1" x14ac:dyDescent="0.25">
      <c r="A670" s="17" t="s">
        <v>35</v>
      </c>
      <c r="B670" s="18" t="s">
        <v>44</v>
      </c>
      <c r="C670" s="18">
        <v>0</v>
      </c>
      <c r="D670" s="18">
        <v>1983</v>
      </c>
    </row>
    <row r="671" spans="1:4" ht="19.95" customHeight="1" x14ac:dyDescent="0.25">
      <c r="A671" s="17" t="s">
        <v>2</v>
      </c>
      <c r="B671" s="18" t="s">
        <v>44</v>
      </c>
      <c r="C671" s="18">
        <v>280544000</v>
      </c>
      <c r="D671" s="18">
        <v>1983</v>
      </c>
    </row>
    <row r="672" spans="1:4" ht="19.95" customHeight="1" x14ac:dyDescent="0.25">
      <c r="A672" s="17" t="s">
        <v>36</v>
      </c>
      <c r="B672" s="18" t="s">
        <v>44</v>
      </c>
      <c r="C672" s="18">
        <v>0</v>
      </c>
      <c r="D672" s="18">
        <v>1983</v>
      </c>
    </row>
    <row r="673" spans="1:4" ht="19.95" customHeight="1" x14ac:dyDescent="0.25">
      <c r="A673" s="17" t="s">
        <v>37</v>
      </c>
      <c r="B673" s="18" t="s">
        <v>44</v>
      </c>
      <c r="C673" s="18">
        <v>698495000</v>
      </c>
      <c r="D673" s="18">
        <v>1983</v>
      </c>
    </row>
    <row r="674" spans="1:4" ht="19.95" customHeight="1" x14ac:dyDescent="0.25">
      <c r="A674" s="17" t="s">
        <v>38</v>
      </c>
      <c r="B674" s="18" t="s">
        <v>44</v>
      </c>
      <c r="C674" s="18">
        <v>123341000</v>
      </c>
      <c r="D674" s="18">
        <v>1983</v>
      </c>
    </row>
    <row r="675" spans="1:4" ht="19.95" customHeight="1" x14ac:dyDescent="0.25">
      <c r="A675" s="17" t="s">
        <v>39</v>
      </c>
      <c r="B675" s="18" t="s">
        <v>44</v>
      </c>
      <c r="C675" s="18">
        <v>366312000</v>
      </c>
      <c r="D675" s="18">
        <v>1983</v>
      </c>
    </row>
    <row r="676" spans="1:4" ht="19.95" customHeight="1" x14ac:dyDescent="0.25">
      <c r="A676" s="17" t="s">
        <v>40</v>
      </c>
      <c r="B676" s="18" t="s">
        <v>44</v>
      </c>
      <c r="C676" s="18">
        <v>112993000</v>
      </c>
      <c r="D676" s="18">
        <v>1983</v>
      </c>
    </row>
    <row r="677" spans="1:4" ht="19.95" customHeight="1" x14ac:dyDescent="0.25">
      <c r="A677" s="17" t="s">
        <v>10</v>
      </c>
      <c r="B677" s="18" t="s">
        <v>44</v>
      </c>
      <c r="C677" s="18">
        <v>116798000</v>
      </c>
      <c r="D677" s="18">
        <v>1984</v>
      </c>
    </row>
    <row r="678" spans="1:4" ht="19.95" customHeight="1" x14ac:dyDescent="0.25">
      <c r="A678" s="17" t="s">
        <v>13</v>
      </c>
      <c r="B678" s="18" t="s">
        <v>44</v>
      </c>
      <c r="C678" s="18">
        <v>430168000</v>
      </c>
      <c r="D678" s="18">
        <v>1984</v>
      </c>
    </row>
    <row r="679" spans="1:4" ht="19.95" customHeight="1" x14ac:dyDescent="0.25">
      <c r="A679" s="17" t="s">
        <v>16</v>
      </c>
      <c r="B679" s="18" t="s">
        <v>44</v>
      </c>
      <c r="C679" s="18">
        <v>39888000</v>
      </c>
      <c r="D679" s="18">
        <v>1984</v>
      </c>
    </row>
    <row r="680" spans="1:4" ht="19.95" customHeight="1" x14ac:dyDescent="0.25">
      <c r="A680" s="17" t="s">
        <v>15</v>
      </c>
      <c r="B680" s="18" t="s">
        <v>44</v>
      </c>
      <c r="C680" s="18">
        <v>12886000</v>
      </c>
      <c r="D680" s="18">
        <v>1984</v>
      </c>
    </row>
    <row r="681" spans="1:4" ht="19.95" customHeight="1" x14ac:dyDescent="0.25">
      <c r="A681" s="17" t="s">
        <v>17</v>
      </c>
      <c r="B681" s="18" t="s">
        <v>44</v>
      </c>
      <c r="C681" s="18">
        <v>1247000</v>
      </c>
      <c r="D681" s="18">
        <v>1984</v>
      </c>
    </row>
    <row r="682" spans="1:4" ht="19.95" customHeight="1" x14ac:dyDescent="0.25">
      <c r="A682" s="17" t="s">
        <v>18</v>
      </c>
      <c r="B682" s="18" t="s">
        <v>44</v>
      </c>
      <c r="C682" s="18">
        <v>422367000</v>
      </c>
      <c r="D682" s="18">
        <v>1984</v>
      </c>
    </row>
    <row r="683" spans="1:4" ht="19.95" customHeight="1" x14ac:dyDescent="0.25">
      <c r="A683" s="17" t="s">
        <v>19</v>
      </c>
      <c r="B683" s="18" t="s">
        <v>44</v>
      </c>
      <c r="C683" s="18">
        <v>138297000</v>
      </c>
      <c r="D683" s="18">
        <v>1984</v>
      </c>
    </row>
    <row r="684" spans="1:4" ht="19.95" customHeight="1" x14ac:dyDescent="0.25">
      <c r="A684" s="17" t="s">
        <v>20</v>
      </c>
      <c r="B684" s="18" t="s">
        <v>44</v>
      </c>
      <c r="C684" s="18">
        <v>150359000</v>
      </c>
      <c r="D684" s="18">
        <v>1984</v>
      </c>
    </row>
    <row r="685" spans="1:4" ht="19.95" customHeight="1" x14ac:dyDescent="0.25">
      <c r="A685" s="17" t="s">
        <v>21</v>
      </c>
      <c r="B685" s="18" t="s">
        <v>44</v>
      </c>
      <c r="C685" s="18">
        <v>946065000</v>
      </c>
      <c r="D685" s="18">
        <v>1984</v>
      </c>
    </row>
    <row r="686" spans="1:4" ht="19.95" customHeight="1" x14ac:dyDescent="0.25">
      <c r="A686" s="17" t="s">
        <v>22</v>
      </c>
      <c r="B686" s="18" t="s">
        <v>44</v>
      </c>
      <c r="C686" s="18">
        <v>0</v>
      </c>
      <c r="D686" s="18">
        <v>1984</v>
      </c>
    </row>
    <row r="687" spans="1:4" ht="19.95" customHeight="1" x14ac:dyDescent="0.25">
      <c r="A687" s="17" t="s">
        <v>23</v>
      </c>
      <c r="B687" s="18" t="s">
        <v>44</v>
      </c>
      <c r="C687" s="18">
        <v>143702000</v>
      </c>
      <c r="D687" s="18">
        <v>1984</v>
      </c>
    </row>
    <row r="688" spans="1:4" ht="19.95" customHeight="1" x14ac:dyDescent="0.25">
      <c r="A688" s="17" t="s">
        <v>24</v>
      </c>
      <c r="B688" s="18" t="s">
        <v>44</v>
      </c>
      <c r="C688" s="18">
        <v>276463000</v>
      </c>
      <c r="D688" s="18">
        <v>1984</v>
      </c>
    </row>
    <row r="689" spans="1:4" ht="19.95" customHeight="1" x14ac:dyDescent="0.25">
      <c r="A689" s="17" t="s">
        <v>25</v>
      </c>
      <c r="B689" s="18" t="s">
        <v>44</v>
      </c>
      <c r="C689" s="18">
        <v>335812000</v>
      </c>
      <c r="D689" s="18">
        <v>1984</v>
      </c>
    </row>
    <row r="690" spans="1:4" ht="19.95" customHeight="1" x14ac:dyDescent="0.25">
      <c r="A690" s="17" t="s">
        <v>26</v>
      </c>
      <c r="B690" s="18" t="s">
        <v>44</v>
      </c>
      <c r="C690" s="18">
        <v>190893000</v>
      </c>
      <c r="D690" s="18">
        <v>1984</v>
      </c>
    </row>
    <row r="691" spans="1:4" ht="19.95" customHeight="1" x14ac:dyDescent="0.25">
      <c r="A691" s="17" t="s">
        <v>27</v>
      </c>
      <c r="B691" s="18" t="s">
        <v>44</v>
      </c>
      <c r="C691" s="18">
        <v>0</v>
      </c>
      <c r="D691" s="18">
        <v>1984</v>
      </c>
    </row>
    <row r="692" spans="1:4" ht="19.95" customHeight="1" x14ac:dyDescent="0.25">
      <c r="A692" s="17" t="s">
        <v>28</v>
      </c>
      <c r="B692" s="18" t="s">
        <v>44</v>
      </c>
      <c r="C692" s="18">
        <v>0</v>
      </c>
      <c r="D692" s="18">
        <v>1984</v>
      </c>
    </row>
    <row r="693" spans="1:4" ht="19.95" customHeight="1" x14ac:dyDescent="0.25">
      <c r="A693" s="17" t="s">
        <v>29</v>
      </c>
      <c r="B693" s="18" t="s">
        <v>44</v>
      </c>
      <c r="C693" s="18">
        <v>359125000</v>
      </c>
      <c r="D693" s="18">
        <v>1984</v>
      </c>
    </row>
    <row r="694" spans="1:4" ht="19.95" customHeight="1" x14ac:dyDescent="0.25">
      <c r="A694" s="17" t="s">
        <v>31</v>
      </c>
      <c r="B694" s="18" t="s">
        <v>44</v>
      </c>
      <c r="C694" s="18">
        <v>200021000</v>
      </c>
      <c r="D694" s="18">
        <v>1984</v>
      </c>
    </row>
    <row r="695" spans="1:4" ht="19.95" customHeight="1" x14ac:dyDescent="0.25">
      <c r="A695" s="17" t="s">
        <v>32</v>
      </c>
      <c r="B695" s="18" t="s">
        <v>44</v>
      </c>
      <c r="C695" s="18">
        <v>192796000</v>
      </c>
      <c r="D695" s="18">
        <v>1984</v>
      </c>
    </row>
    <row r="696" spans="1:4" ht="19.95" customHeight="1" x14ac:dyDescent="0.25">
      <c r="A696" s="17" t="s">
        <v>33</v>
      </c>
      <c r="B696" s="18" t="s">
        <v>44</v>
      </c>
      <c r="C696" s="18">
        <v>121224000</v>
      </c>
      <c r="D696" s="18">
        <v>1984</v>
      </c>
    </row>
    <row r="697" spans="1:4" ht="19.95" customHeight="1" x14ac:dyDescent="0.25">
      <c r="A697" s="17" t="s">
        <v>34</v>
      </c>
      <c r="B697" s="18" t="s">
        <v>44</v>
      </c>
      <c r="C697" s="18">
        <v>118119000</v>
      </c>
      <c r="D697" s="18">
        <v>1984</v>
      </c>
    </row>
    <row r="698" spans="1:4" ht="19.95" customHeight="1" x14ac:dyDescent="0.25">
      <c r="A698" s="17" t="s">
        <v>35</v>
      </c>
      <c r="B698" s="18" t="s">
        <v>44</v>
      </c>
      <c r="C698" s="18">
        <v>0</v>
      </c>
      <c r="D698" s="18">
        <v>1984</v>
      </c>
    </row>
    <row r="699" spans="1:4" ht="19.95" customHeight="1" x14ac:dyDescent="0.25">
      <c r="A699" s="17" t="s">
        <v>2</v>
      </c>
      <c r="B699" s="18" t="s">
        <v>44</v>
      </c>
      <c r="C699" s="18">
        <v>361794000</v>
      </c>
      <c r="D699" s="18">
        <v>1984</v>
      </c>
    </row>
    <row r="700" spans="1:4" ht="19.95" customHeight="1" x14ac:dyDescent="0.25">
      <c r="A700" s="17" t="s">
        <v>36</v>
      </c>
      <c r="B700" s="18" t="s">
        <v>44</v>
      </c>
      <c r="C700" s="18">
        <v>0</v>
      </c>
      <c r="D700" s="18">
        <v>1984</v>
      </c>
    </row>
    <row r="701" spans="1:4" ht="19.95" customHeight="1" x14ac:dyDescent="0.25">
      <c r="A701" s="17" t="s">
        <v>37</v>
      </c>
      <c r="B701" s="18" t="s">
        <v>44</v>
      </c>
      <c r="C701" s="18">
        <v>724087000</v>
      </c>
      <c r="D701" s="18">
        <v>1984</v>
      </c>
    </row>
    <row r="702" spans="1:4" ht="19.95" customHeight="1" x14ac:dyDescent="0.25">
      <c r="A702" s="17" t="s">
        <v>38</v>
      </c>
      <c r="B702" s="18" t="s">
        <v>44</v>
      </c>
      <c r="C702" s="18">
        <v>212592000</v>
      </c>
      <c r="D702" s="18">
        <v>1984</v>
      </c>
    </row>
    <row r="703" spans="1:4" ht="19.95" customHeight="1" x14ac:dyDescent="0.25">
      <c r="A703" s="17" t="s">
        <v>39</v>
      </c>
      <c r="B703" s="18" t="s">
        <v>44</v>
      </c>
      <c r="C703" s="18">
        <v>323266000</v>
      </c>
      <c r="D703" s="18">
        <v>1984</v>
      </c>
    </row>
    <row r="704" spans="1:4" ht="19.95" customHeight="1" x14ac:dyDescent="0.25">
      <c r="A704" s="17" t="s">
        <v>40</v>
      </c>
      <c r="B704" s="18" t="s">
        <v>44</v>
      </c>
      <c r="C704" s="18">
        <v>150761000</v>
      </c>
      <c r="D704" s="18">
        <v>1984</v>
      </c>
    </row>
    <row r="705" spans="1:4" ht="19.95" customHeight="1" x14ac:dyDescent="0.25">
      <c r="A705" s="17" t="s">
        <v>10</v>
      </c>
      <c r="B705" s="18" t="s">
        <v>44</v>
      </c>
      <c r="C705" s="18">
        <v>139704000</v>
      </c>
      <c r="D705" s="18">
        <v>1985</v>
      </c>
    </row>
    <row r="706" spans="1:4" ht="19.95" customHeight="1" x14ac:dyDescent="0.25">
      <c r="A706" s="17" t="s">
        <v>13</v>
      </c>
      <c r="B706" s="18" t="s">
        <v>44</v>
      </c>
      <c r="C706" s="18">
        <v>513670000</v>
      </c>
      <c r="D706" s="18">
        <v>1985</v>
      </c>
    </row>
    <row r="707" spans="1:4" ht="19.95" customHeight="1" x14ac:dyDescent="0.25">
      <c r="A707" s="17" t="s">
        <v>16</v>
      </c>
      <c r="B707" s="18" t="s">
        <v>44</v>
      </c>
      <c r="C707" s="18">
        <v>39914000</v>
      </c>
      <c r="D707" s="18">
        <v>1985</v>
      </c>
    </row>
    <row r="708" spans="1:4" ht="19.95" customHeight="1" x14ac:dyDescent="0.25">
      <c r="A708" s="17" t="s">
        <v>15</v>
      </c>
      <c r="B708" s="18" t="s">
        <v>44</v>
      </c>
      <c r="C708" s="18">
        <v>19486000</v>
      </c>
      <c r="D708" s="18">
        <v>1985</v>
      </c>
    </row>
    <row r="709" spans="1:4" ht="19.95" customHeight="1" x14ac:dyDescent="0.25">
      <c r="A709" s="17" t="s">
        <v>17</v>
      </c>
      <c r="B709" s="18" t="s">
        <v>44</v>
      </c>
      <c r="C709" s="18">
        <v>6830000</v>
      </c>
      <c r="D709" s="18">
        <v>1985</v>
      </c>
    </row>
    <row r="710" spans="1:4" ht="19.95" customHeight="1" x14ac:dyDescent="0.25">
      <c r="A710" s="17" t="s">
        <v>18</v>
      </c>
      <c r="B710" s="18" t="s">
        <v>44</v>
      </c>
      <c r="C710" s="18">
        <v>485457000</v>
      </c>
      <c r="D710" s="18">
        <v>1985</v>
      </c>
    </row>
    <row r="711" spans="1:4" ht="19.95" customHeight="1" x14ac:dyDescent="0.25">
      <c r="A711" s="17" t="s">
        <v>19</v>
      </c>
      <c r="B711" s="18" t="s">
        <v>44</v>
      </c>
      <c r="C711" s="18">
        <v>171728000</v>
      </c>
      <c r="D711" s="18">
        <v>1985</v>
      </c>
    </row>
    <row r="712" spans="1:4" ht="19.95" customHeight="1" x14ac:dyDescent="0.25">
      <c r="A712" s="17" t="s">
        <v>20</v>
      </c>
      <c r="B712" s="18" t="s">
        <v>44</v>
      </c>
      <c r="C712" s="18">
        <v>173896000</v>
      </c>
      <c r="D712" s="18">
        <v>1985</v>
      </c>
    </row>
    <row r="713" spans="1:4" ht="19.95" customHeight="1" x14ac:dyDescent="0.25">
      <c r="A713" s="17" t="s">
        <v>21</v>
      </c>
      <c r="B713" s="18" t="s">
        <v>44</v>
      </c>
      <c r="C713" s="18">
        <v>1159344000</v>
      </c>
      <c r="D713" s="18">
        <v>1985</v>
      </c>
    </row>
    <row r="714" spans="1:4" ht="19.95" customHeight="1" x14ac:dyDescent="0.25">
      <c r="A714" s="17" t="s">
        <v>22</v>
      </c>
      <c r="B714" s="18" t="s">
        <v>44</v>
      </c>
      <c r="C714" s="18">
        <v>0</v>
      </c>
      <c r="D714" s="18">
        <v>1985</v>
      </c>
    </row>
    <row r="715" spans="1:4" ht="19.95" customHeight="1" x14ac:dyDescent="0.25">
      <c r="A715" s="17" t="s">
        <v>23</v>
      </c>
      <c r="B715" s="18" t="s">
        <v>44</v>
      </c>
      <c r="C715" s="18">
        <v>176356000</v>
      </c>
      <c r="D715" s="18">
        <v>1985</v>
      </c>
    </row>
    <row r="716" spans="1:4" ht="19.95" customHeight="1" x14ac:dyDescent="0.25">
      <c r="A716" s="17" t="s">
        <v>24</v>
      </c>
      <c r="B716" s="18" t="s">
        <v>44</v>
      </c>
      <c r="C716" s="18">
        <v>343384000</v>
      </c>
      <c r="D716" s="18">
        <v>1985</v>
      </c>
    </row>
    <row r="717" spans="1:4" ht="19.95" customHeight="1" x14ac:dyDescent="0.25">
      <c r="A717" s="17" t="s">
        <v>25</v>
      </c>
      <c r="B717" s="18" t="s">
        <v>44</v>
      </c>
      <c r="C717" s="18">
        <v>391323000</v>
      </c>
      <c r="D717" s="18">
        <v>1985</v>
      </c>
    </row>
    <row r="718" spans="1:4" ht="19.95" customHeight="1" x14ac:dyDescent="0.25">
      <c r="A718" s="17" t="s">
        <v>26</v>
      </c>
      <c r="B718" s="18" t="s">
        <v>44</v>
      </c>
      <c r="C718" s="18">
        <v>224441000</v>
      </c>
      <c r="D718" s="18">
        <v>1985</v>
      </c>
    </row>
    <row r="719" spans="1:4" ht="19.95" customHeight="1" x14ac:dyDescent="0.25">
      <c r="A719" s="17" t="s">
        <v>27</v>
      </c>
      <c r="B719" s="18" t="s">
        <v>44</v>
      </c>
      <c r="C719" s="18">
        <v>0</v>
      </c>
      <c r="D719" s="18">
        <v>1985</v>
      </c>
    </row>
    <row r="720" spans="1:4" ht="19.95" customHeight="1" x14ac:dyDescent="0.25">
      <c r="A720" s="17" t="s">
        <v>28</v>
      </c>
      <c r="B720" s="18" t="s">
        <v>44</v>
      </c>
      <c r="C720" s="18">
        <v>5086000</v>
      </c>
      <c r="D720" s="18">
        <v>1985</v>
      </c>
    </row>
    <row r="721" spans="1:4" ht="19.95" customHeight="1" x14ac:dyDescent="0.25">
      <c r="A721" s="17" t="s">
        <v>29</v>
      </c>
      <c r="B721" s="18" t="s">
        <v>44</v>
      </c>
      <c r="C721" s="18">
        <v>411121000</v>
      </c>
      <c r="D721" s="18">
        <v>1985</v>
      </c>
    </row>
    <row r="722" spans="1:4" ht="19.95" customHeight="1" x14ac:dyDescent="0.25">
      <c r="A722" s="17" t="s">
        <v>31</v>
      </c>
      <c r="B722" s="18" t="s">
        <v>44</v>
      </c>
      <c r="C722" s="18">
        <v>236030000</v>
      </c>
      <c r="D722" s="18">
        <v>1985</v>
      </c>
    </row>
    <row r="723" spans="1:4" ht="19.95" customHeight="1" x14ac:dyDescent="0.25">
      <c r="A723" s="17" t="s">
        <v>32</v>
      </c>
      <c r="B723" s="18" t="s">
        <v>44</v>
      </c>
      <c r="C723" s="18">
        <v>222284000</v>
      </c>
      <c r="D723" s="18">
        <v>1985</v>
      </c>
    </row>
    <row r="724" spans="1:4" ht="19.95" customHeight="1" x14ac:dyDescent="0.25">
      <c r="A724" s="17" t="s">
        <v>33</v>
      </c>
      <c r="B724" s="18" t="s">
        <v>44</v>
      </c>
      <c r="C724" s="18">
        <v>146690000</v>
      </c>
      <c r="D724" s="18">
        <v>1985</v>
      </c>
    </row>
    <row r="725" spans="1:4" ht="19.95" customHeight="1" x14ac:dyDescent="0.25">
      <c r="A725" s="17" t="s">
        <v>34</v>
      </c>
      <c r="B725" s="18" t="s">
        <v>44</v>
      </c>
      <c r="C725" s="18">
        <v>151876000</v>
      </c>
      <c r="D725" s="18">
        <v>1985</v>
      </c>
    </row>
    <row r="726" spans="1:4" ht="19.95" customHeight="1" x14ac:dyDescent="0.25">
      <c r="A726" s="17" t="s">
        <v>35</v>
      </c>
      <c r="B726" s="18" t="s">
        <v>44</v>
      </c>
      <c r="C726" s="18">
        <v>0</v>
      </c>
      <c r="D726" s="18">
        <v>1985</v>
      </c>
    </row>
    <row r="727" spans="1:4" ht="19.95" customHeight="1" x14ac:dyDescent="0.25">
      <c r="A727" s="17" t="s">
        <v>2</v>
      </c>
      <c r="B727" s="18" t="s">
        <v>44</v>
      </c>
      <c r="C727" s="18">
        <v>458392000</v>
      </c>
      <c r="D727" s="18">
        <v>1985</v>
      </c>
    </row>
    <row r="728" spans="1:4" ht="19.95" customHeight="1" x14ac:dyDescent="0.25">
      <c r="A728" s="17" t="s">
        <v>36</v>
      </c>
      <c r="B728" s="18" t="s">
        <v>44</v>
      </c>
      <c r="C728" s="18">
        <v>0</v>
      </c>
      <c r="D728" s="18">
        <v>1985</v>
      </c>
    </row>
    <row r="729" spans="1:4" ht="19.95" customHeight="1" x14ac:dyDescent="0.25">
      <c r="A729" s="17" t="s">
        <v>37</v>
      </c>
      <c r="B729" s="18" t="s">
        <v>44</v>
      </c>
      <c r="C729" s="18">
        <v>833955000</v>
      </c>
      <c r="D729" s="18">
        <v>1985</v>
      </c>
    </row>
    <row r="730" spans="1:4" ht="19.95" customHeight="1" x14ac:dyDescent="0.25">
      <c r="A730" s="17" t="s">
        <v>38</v>
      </c>
      <c r="B730" s="18" t="s">
        <v>44</v>
      </c>
      <c r="C730" s="18">
        <v>322267000</v>
      </c>
      <c r="D730" s="18">
        <v>1985</v>
      </c>
    </row>
    <row r="731" spans="1:4" ht="19.95" customHeight="1" x14ac:dyDescent="0.25">
      <c r="A731" s="17" t="s">
        <v>39</v>
      </c>
      <c r="B731" s="18" t="s">
        <v>44</v>
      </c>
      <c r="C731" s="18">
        <v>474788000</v>
      </c>
      <c r="D731" s="18">
        <v>1985</v>
      </c>
    </row>
    <row r="732" spans="1:4" ht="19.95" customHeight="1" x14ac:dyDescent="0.25">
      <c r="A732" s="17" t="s">
        <v>40</v>
      </c>
      <c r="B732" s="18" t="s">
        <v>44</v>
      </c>
      <c r="C732" s="18">
        <v>234830000</v>
      </c>
      <c r="D732" s="18">
        <v>1985</v>
      </c>
    </row>
    <row r="733" spans="1:4" ht="19.95" customHeight="1" x14ac:dyDescent="0.25">
      <c r="A733" s="17" t="s">
        <v>10</v>
      </c>
      <c r="B733" s="18" t="s">
        <v>44</v>
      </c>
      <c r="C733" s="18">
        <v>191033000</v>
      </c>
      <c r="D733" s="18">
        <v>1986</v>
      </c>
    </row>
    <row r="734" spans="1:4" ht="19.95" customHeight="1" x14ac:dyDescent="0.25">
      <c r="A734" s="17" t="s">
        <v>13</v>
      </c>
      <c r="B734" s="18" t="s">
        <v>44</v>
      </c>
      <c r="C734" s="18">
        <v>632558000</v>
      </c>
      <c r="D734" s="18">
        <v>1986</v>
      </c>
    </row>
    <row r="735" spans="1:4" ht="19.95" customHeight="1" x14ac:dyDescent="0.25">
      <c r="A735" s="17" t="s">
        <v>16</v>
      </c>
      <c r="B735" s="18" t="s">
        <v>44</v>
      </c>
      <c r="C735" s="18">
        <v>47984000</v>
      </c>
      <c r="D735" s="18">
        <v>1986</v>
      </c>
    </row>
    <row r="736" spans="1:4" ht="19.95" customHeight="1" x14ac:dyDescent="0.25">
      <c r="A736" s="17" t="s">
        <v>15</v>
      </c>
      <c r="B736" s="18" t="s">
        <v>44</v>
      </c>
      <c r="C736" s="18">
        <v>25633000</v>
      </c>
      <c r="D736" s="18">
        <v>1986</v>
      </c>
    </row>
    <row r="737" spans="1:4" ht="19.95" customHeight="1" x14ac:dyDescent="0.25">
      <c r="A737" s="17" t="s">
        <v>17</v>
      </c>
      <c r="B737" s="18" t="s">
        <v>44</v>
      </c>
      <c r="C737" s="18">
        <v>11426000</v>
      </c>
      <c r="D737" s="18">
        <v>1986</v>
      </c>
    </row>
    <row r="738" spans="1:4" ht="19.95" customHeight="1" x14ac:dyDescent="0.25">
      <c r="A738" s="17" t="s">
        <v>18</v>
      </c>
      <c r="B738" s="18" t="s">
        <v>44</v>
      </c>
      <c r="C738" s="18">
        <v>540083000</v>
      </c>
      <c r="D738" s="18">
        <v>1986</v>
      </c>
    </row>
    <row r="739" spans="1:4" ht="19.95" customHeight="1" x14ac:dyDescent="0.25">
      <c r="A739" s="17" t="s">
        <v>19</v>
      </c>
      <c r="B739" s="18" t="s">
        <v>44</v>
      </c>
      <c r="C739" s="18">
        <v>220680000</v>
      </c>
      <c r="D739" s="18">
        <v>1986</v>
      </c>
    </row>
    <row r="740" spans="1:4" ht="19.95" customHeight="1" x14ac:dyDescent="0.25">
      <c r="A740" s="17" t="s">
        <v>20</v>
      </c>
      <c r="B740" s="18" t="s">
        <v>44</v>
      </c>
      <c r="C740" s="18">
        <v>209307000</v>
      </c>
      <c r="D740" s="18">
        <v>1986</v>
      </c>
    </row>
    <row r="741" spans="1:4" ht="19.95" customHeight="1" x14ac:dyDescent="0.25">
      <c r="A741" s="17" t="s">
        <v>21</v>
      </c>
      <c r="B741" s="18" t="s">
        <v>44</v>
      </c>
      <c r="C741" s="18">
        <v>1382122000</v>
      </c>
      <c r="D741" s="18">
        <v>1986</v>
      </c>
    </row>
    <row r="742" spans="1:4" ht="19.95" customHeight="1" x14ac:dyDescent="0.25">
      <c r="A742" s="17" t="s">
        <v>22</v>
      </c>
      <c r="B742" s="18" t="s">
        <v>44</v>
      </c>
      <c r="C742" s="18">
        <v>0</v>
      </c>
      <c r="D742" s="18">
        <v>1986</v>
      </c>
    </row>
    <row r="743" spans="1:4" ht="19.95" customHeight="1" x14ac:dyDescent="0.25">
      <c r="A743" s="17" t="s">
        <v>23</v>
      </c>
      <c r="B743" s="18" t="s">
        <v>44</v>
      </c>
      <c r="C743" s="18">
        <v>208669000</v>
      </c>
      <c r="D743" s="18">
        <v>1986</v>
      </c>
    </row>
    <row r="744" spans="1:4" ht="19.95" customHeight="1" x14ac:dyDescent="0.25">
      <c r="A744" s="17" t="s">
        <v>24</v>
      </c>
      <c r="B744" s="18" t="s">
        <v>44</v>
      </c>
      <c r="C744" s="18">
        <v>453461000</v>
      </c>
      <c r="D744" s="18">
        <v>1986</v>
      </c>
    </row>
    <row r="745" spans="1:4" ht="19.95" customHeight="1" x14ac:dyDescent="0.25">
      <c r="A745" s="17" t="s">
        <v>25</v>
      </c>
      <c r="B745" s="18" t="s">
        <v>44</v>
      </c>
      <c r="C745" s="18">
        <v>506269000</v>
      </c>
      <c r="D745" s="18">
        <v>1986</v>
      </c>
    </row>
    <row r="746" spans="1:4" ht="19.95" customHeight="1" x14ac:dyDescent="0.25">
      <c r="A746" s="17" t="s">
        <v>26</v>
      </c>
      <c r="B746" s="18" t="s">
        <v>44</v>
      </c>
      <c r="C746" s="18">
        <v>276751000</v>
      </c>
      <c r="D746" s="18">
        <v>1986</v>
      </c>
    </row>
    <row r="747" spans="1:4" ht="19.95" customHeight="1" x14ac:dyDescent="0.25">
      <c r="A747" s="17" t="s">
        <v>27</v>
      </c>
      <c r="B747" s="18" t="s">
        <v>44</v>
      </c>
      <c r="C747" s="18">
        <v>0</v>
      </c>
      <c r="D747" s="18">
        <v>1986</v>
      </c>
    </row>
    <row r="748" spans="1:4" ht="19.95" customHeight="1" x14ac:dyDescent="0.25">
      <c r="A748" s="17" t="s">
        <v>28</v>
      </c>
      <c r="B748" s="18" t="s">
        <v>44</v>
      </c>
      <c r="C748" s="18">
        <v>30063000</v>
      </c>
      <c r="D748" s="18">
        <v>1986</v>
      </c>
    </row>
    <row r="749" spans="1:4" ht="19.95" customHeight="1" x14ac:dyDescent="0.25">
      <c r="A749" s="17" t="s">
        <v>29</v>
      </c>
      <c r="B749" s="18" t="s">
        <v>44</v>
      </c>
      <c r="C749" s="18">
        <v>487532000</v>
      </c>
      <c r="D749" s="18">
        <v>1986</v>
      </c>
    </row>
    <row r="750" spans="1:4" ht="19.95" customHeight="1" x14ac:dyDescent="0.25">
      <c r="A750" s="17" t="s">
        <v>31</v>
      </c>
      <c r="B750" s="18" t="s">
        <v>44</v>
      </c>
      <c r="C750" s="18">
        <v>295427000</v>
      </c>
      <c r="D750" s="18">
        <v>1986</v>
      </c>
    </row>
    <row r="751" spans="1:4" ht="19.95" customHeight="1" x14ac:dyDescent="0.25">
      <c r="A751" s="17" t="s">
        <v>32</v>
      </c>
      <c r="B751" s="18" t="s">
        <v>44</v>
      </c>
      <c r="C751" s="18">
        <v>260019000</v>
      </c>
      <c r="D751" s="18">
        <v>1986</v>
      </c>
    </row>
    <row r="752" spans="1:4" ht="19.95" customHeight="1" x14ac:dyDescent="0.25">
      <c r="A752" s="17" t="s">
        <v>33</v>
      </c>
      <c r="B752" s="18" t="s">
        <v>44</v>
      </c>
      <c r="C752" s="18">
        <v>190870000</v>
      </c>
      <c r="D752" s="18">
        <v>1986</v>
      </c>
    </row>
    <row r="753" spans="1:4" ht="19.95" customHeight="1" x14ac:dyDescent="0.25">
      <c r="A753" s="17" t="s">
        <v>34</v>
      </c>
      <c r="B753" s="18" t="s">
        <v>44</v>
      </c>
      <c r="C753" s="18">
        <v>195103000</v>
      </c>
      <c r="D753" s="18">
        <v>1986</v>
      </c>
    </row>
    <row r="754" spans="1:4" ht="19.95" customHeight="1" x14ac:dyDescent="0.25">
      <c r="A754" s="17" t="s">
        <v>35</v>
      </c>
      <c r="B754" s="18" t="s">
        <v>44</v>
      </c>
      <c r="C754" s="18">
        <v>842000</v>
      </c>
      <c r="D754" s="18">
        <v>1986</v>
      </c>
    </row>
    <row r="755" spans="1:4" ht="19.95" customHeight="1" x14ac:dyDescent="0.25">
      <c r="A755" s="17" t="s">
        <v>2</v>
      </c>
      <c r="B755" s="18" t="s">
        <v>44</v>
      </c>
      <c r="C755" s="18">
        <v>570868000</v>
      </c>
      <c r="D755" s="18">
        <v>1986</v>
      </c>
    </row>
    <row r="756" spans="1:4" ht="19.95" customHeight="1" x14ac:dyDescent="0.25">
      <c r="A756" s="17" t="s">
        <v>36</v>
      </c>
      <c r="B756" s="18" t="s">
        <v>44</v>
      </c>
      <c r="C756" s="18">
        <v>0</v>
      </c>
      <c r="D756" s="18">
        <v>1986</v>
      </c>
    </row>
    <row r="757" spans="1:4" ht="19.95" customHeight="1" x14ac:dyDescent="0.25">
      <c r="A757" s="17" t="s">
        <v>37</v>
      </c>
      <c r="B757" s="18" t="s">
        <v>44</v>
      </c>
      <c r="C757" s="18">
        <v>961317000</v>
      </c>
      <c r="D757" s="18">
        <v>1986</v>
      </c>
    </row>
    <row r="758" spans="1:4" ht="19.95" customHeight="1" x14ac:dyDescent="0.25">
      <c r="A758" s="17" t="s">
        <v>38</v>
      </c>
      <c r="B758" s="18" t="s">
        <v>44</v>
      </c>
      <c r="C758" s="18">
        <v>412954000</v>
      </c>
      <c r="D758" s="18">
        <v>1986</v>
      </c>
    </row>
    <row r="759" spans="1:4" ht="19.95" customHeight="1" x14ac:dyDescent="0.25">
      <c r="A759" s="17" t="s">
        <v>39</v>
      </c>
      <c r="B759" s="18" t="s">
        <v>44</v>
      </c>
      <c r="C759" s="18">
        <v>649959000</v>
      </c>
      <c r="D759" s="18">
        <v>1986</v>
      </c>
    </row>
    <row r="760" spans="1:4" ht="19.95" customHeight="1" x14ac:dyDescent="0.25">
      <c r="A760" s="17" t="s">
        <v>40</v>
      </c>
      <c r="B760" s="18" t="s">
        <v>44</v>
      </c>
      <c r="C760" s="18">
        <v>327186000</v>
      </c>
      <c r="D760" s="18">
        <v>1986</v>
      </c>
    </row>
    <row r="761" spans="1:4" ht="19.95" customHeight="1" x14ac:dyDescent="0.25">
      <c r="A761" s="17" t="s">
        <v>10</v>
      </c>
      <c r="B761" s="18" t="s">
        <v>44</v>
      </c>
      <c r="C761" s="18">
        <v>251839000</v>
      </c>
      <c r="D761" s="18">
        <v>1987</v>
      </c>
    </row>
    <row r="762" spans="1:4" ht="19.95" customHeight="1" x14ac:dyDescent="0.25">
      <c r="A762" s="17" t="s">
        <v>13</v>
      </c>
      <c r="B762" s="18" t="s">
        <v>44</v>
      </c>
      <c r="C762" s="18">
        <v>783713000</v>
      </c>
      <c r="D762" s="18">
        <v>1987</v>
      </c>
    </row>
    <row r="763" spans="1:4" ht="19.95" customHeight="1" x14ac:dyDescent="0.25">
      <c r="A763" s="17" t="s">
        <v>16</v>
      </c>
      <c r="B763" s="18" t="s">
        <v>44</v>
      </c>
      <c r="C763" s="18">
        <v>61319000</v>
      </c>
      <c r="D763" s="18">
        <v>1987</v>
      </c>
    </row>
    <row r="764" spans="1:4" ht="19.95" customHeight="1" x14ac:dyDescent="0.25">
      <c r="A764" s="17" t="s">
        <v>15</v>
      </c>
      <c r="B764" s="18" t="s">
        <v>44</v>
      </c>
      <c r="C764" s="18">
        <v>33115000</v>
      </c>
      <c r="D764" s="18">
        <v>1987</v>
      </c>
    </row>
    <row r="765" spans="1:4" ht="19.95" customHeight="1" x14ac:dyDescent="0.25">
      <c r="A765" s="17" t="s">
        <v>17</v>
      </c>
      <c r="B765" s="18" t="s">
        <v>44</v>
      </c>
      <c r="C765" s="18">
        <v>20748000</v>
      </c>
      <c r="D765" s="18">
        <v>1987</v>
      </c>
    </row>
    <row r="766" spans="1:4" ht="19.95" customHeight="1" x14ac:dyDescent="0.25">
      <c r="A766" s="17" t="s">
        <v>18</v>
      </c>
      <c r="B766" s="18" t="s">
        <v>44</v>
      </c>
      <c r="C766" s="18">
        <v>657817000</v>
      </c>
      <c r="D766" s="18">
        <v>1987</v>
      </c>
    </row>
    <row r="767" spans="1:4" ht="19.95" customHeight="1" x14ac:dyDescent="0.25">
      <c r="A767" s="17" t="s">
        <v>19</v>
      </c>
      <c r="B767" s="18" t="s">
        <v>44</v>
      </c>
      <c r="C767" s="18">
        <v>281978000</v>
      </c>
      <c r="D767" s="18">
        <v>1987</v>
      </c>
    </row>
    <row r="768" spans="1:4" ht="19.95" customHeight="1" x14ac:dyDescent="0.25">
      <c r="A768" s="17" t="s">
        <v>20</v>
      </c>
      <c r="B768" s="18" t="s">
        <v>44</v>
      </c>
      <c r="C768" s="18">
        <v>280047000</v>
      </c>
      <c r="D768" s="18">
        <v>1987</v>
      </c>
    </row>
    <row r="769" spans="1:4" ht="19.95" customHeight="1" x14ac:dyDescent="0.25">
      <c r="A769" s="17" t="s">
        <v>21</v>
      </c>
      <c r="B769" s="18" t="s">
        <v>44</v>
      </c>
      <c r="C769" s="18">
        <v>1681417000</v>
      </c>
      <c r="D769" s="18">
        <v>1987</v>
      </c>
    </row>
    <row r="770" spans="1:4" ht="19.95" customHeight="1" x14ac:dyDescent="0.25">
      <c r="A770" s="17" t="s">
        <v>22</v>
      </c>
      <c r="B770" s="18" t="s">
        <v>44</v>
      </c>
      <c r="C770" s="18">
        <v>0</v>
      </c>
      <c r="D770" s="18">
        <v>1987</v>
      </c>
    </row>
    <row r="771" spans="1:4" ht="19.95" customHeight="1" x14ac:dyDescent="0.25">
      <c r="A771" s="17" t="s">
        <v>23</v>
      </c>
      <c r="B771" s="18" t="s">
        <v>44</v>
      </c>
      <c r="C771" s="18">
        <v>251791000</v>
      </c>
      <c r="D771" s="18">
        <v>1987</v>
      </c>
    </row>
    <row r="772" spans="1:4" ht="19.95" customHeight="1" x14ac:dyDescent="0.25">
      <c r="A772" s="17" t="s">
        <v>24</v>
      </c>
      <c r="B772" s="18" t="s">
        <v>44</v>
      </c>
      <c r="C772" s="18">
        <v>585528000</v>
      </c>
      <c r="D772" s="18">
        <v>1987</v>
      </c>
    </row>
    <row r="773" spans="1:4" ht="19.95" customHeight="1" x14ac:dyDescent="0.25">
      <c r="A773" s="17" t="s">
        <v>25</v>
      </c>
      <c r="B773" s="18" t="s">
        <v>44</v>
      </c>
      <c r="C773" s="18">
        <v>613584000</v>
      </c>
      <c r="D773" s="18">
        <v>1987</v>
      </c>
    </row>
    <row r="774" spans="1:4" ht="19.95" customHeight="1" x14ac:dyDescent="0.25">
      <c r="A774" s="17" t="s">
        <v>26</v>
      </c>
      <c r="B774" s="18" t="s">
        <v>44</v>
      </c>
      <c r="C774" s="18">
        <v>339660000</v>
      </c>
      <c r="D774" s="18">
        <v>1987</v>
      </c>
    </row>
    <row r="775" spans="1:4" ht="19.95" customHeight="1" x14ac:dyDescent="0.25">
      <c r="A775" s="17" t="s">
        <v>27</v>
      </c>
      <c r="B775" s="18" t="s">
        <v>44</v>
      </c>
      <c r="C775" s="18">
        <v>0</v>
      </c>
      <c r="D775" s="18">
        <v>1987</v>
      </c>
    </row>
    <row r="776" spans="1:4" ht="19.95" customHeight="1" x14ac:dyDescent="0.25">
      <c r="A776" s="17" t="s">
        <v>28</v>
      </c>
      <c r="B776" s="18" t="s">
        <v>44</v>
      </c>
      <c r="C776" s="18">
        <v>87193000</v>
      </c>
      <c r="D776" s="18">
        <v>1987</v>
      </c>
    </row>
    <row r="777" spans="1:4" ht="19.95" customHeight="1" x14ac:dyDescent="0.25">
      <c r="A777" s="17" t="s">
        <v>29</v>
      </c>
      <c r="B777" s="18" t="s">
        <v>44</v>
      </c>
      <c r="C777" s="18">
        <v>553048000</v>
      </c>
      <c r="D777" s="18">
        <v>1987</v>
      </c>
    </row>
    <row r="778" spans="1:4" ht="19.95" customHeight="1" x14ac:dyDescent="0.25">
      <c r="A778" s="17" t="s">
        <v>31</v>
      </c>
      <c r="B778" s="18" t="s">
        <v>44</v>
      </c>
      <c r="C778" s="18">
        <v>391848000</v>
      </c>
      <c r="D778" s="18">
        <v>1987</v>
      </c>
    </row>
    <row r="779" spans="1:4" ht="19.95" customHeight="1" x14ac:dyDescent="0.25">
      <c r="A779" s="17" t="s">
        <v>32</v>
      </c>
      <c r="B779" s="18" t="s">
        <v>44</v>
      </c>
      <c r="C779" s="18">
        <v>307924000</v>
      </c>
      <c r="D779" s="18">
        <v>1987</v>
      </c>
    </row>
    <row r="780" spans="1:4" ht="19.95" customHeight="1" x14ac:dyDescent="0.25">
      <c r="A780" s="17" t="s">
        <v>33</v>
      </c>
      <c r="B780" s="18" t="s">
        <v>44</v>
      </c>
      <c r="C780" s="18">
        <v>272823000</v>
      </c>
      <c r="D780" s="18">
        <v>1987</v>
      </c>
    </row>
    <row r="781" spans="1:4" ht="19.95" customHeight="1" x14ac:dyDescent="0.25">
      <c r="A781" s="17" t="s">
        <v>34</v>
      </c>
      <c r="B781" s="18" t="s">
        <v>44</v>
      </c>
      <c r="C781" s="18">
        <v>251176000</v>
      </c>
      <c r="D781" s="18">
        <v>1987</v>
      </c>
    </row>
    <row r="782" spans="1:4" ht="19.95" customHeight="1" x14ac:dyDescent="0.25">
      <c r="A782" s="17" t="s">
        <v>35</v>
      </c>
      <c r="B782" s="18" t="s">
        <v>44</v>
      </c>
      <c r="C782" s="18">
        <v>3147000</v>
      </c>
      <c r="D782" s="18">
        <v>1987</v>
      </c>
    </row>
    <row r="783" spans="1:4" ht="19.95" customHeight="1" x14ac:dyDescent="0.25">
      <c r="A783" s="17" t="s">
        <v>2</v>
      </c>
      <c r="B783" s="18" t="s">
        <v>44</v>
      </c>
      <c r="C783" s="18">
        <v>707403000</v>
      </c>
      <c r="D783" s="18">
        <v>1987</v>
      </c>
    </row>
    <row r="784" spans="1:4" ht="19.95" customHeight="1" x14ac:dyDescent="0.25">
      <c r="A784" s="17" t="s">
        <v>36</v>
      </c>
      <c r="B784" s="18" t="s">
        <v>44</v>
      </c>
      <c r="C784" s="18">
        <v>0</v>
      </c>
      <c r="D784" s="18">
        <v>1987</v>
      </c>
    </row>
    <row r="785" spans="1:4" ht="19.95" customHeight="1" x14ac:dyDescent="0.25">
      <c r="A785" s="17" t="s">
        <v>37</v>
      </c>
      <c r="B785" s="18" t="s">
        <v>44</v>
      </c>
      <c r="C785" s="18">
        <v>1125620000</v>
      </c>
      <c r="D785" s="18">
        <v>1987</v>
      </c>
    </row>
    <row r="786" spans="1:4" ht="19.95" customHeight="1" x14ac:dyDescent="0.25">
      <c r="A786" s="17" t="s">
        <v>38</v>
      </c>
      <c r="B786" s="18" t="s">
        <v>44</v>
      </c>
      <c r="C786" s="18">
        <v>584125000</v>
      </c>
      <c r="D786" s="18">
        <v>1987</v>
      </c>
    </row>
    <row r="787" spans="1:4" ht="19.95" customHeight="1" x14ac:dyDescent="0.25">
      <c r="A787" s="17" t="s">
        <v>39</v>
      </c>
      <c r="B787" s="18" t="s">
        <v>44</v>
      </c>
      <c r="C787" s="18">
        <v>814492000</v>
      </c>
      <c r="D787" s="18">
        <v>1987</v>
      </c>
    </row>
    <row r="788" spans="1:4" ht="19.95" customHeight="1" x14ac:dyDescent="0.25">
      <c r="A788" s="17" t="s">
        <v>40</v>
      </c>
      <c r="B788" s="18" t="s">
        <v>44</v>
      </c>
      <c r="C788" s="18">
        <v>430968000</v>
      </c>
      <c r="D788" s="18">
        <v>1987</v>
      </c>
    </row>
    <row r="789" spans="1:4" ht="19.95" customHeight="1" x14ac:dyDescent="0.25">
      <c r="A789" s="17" t="s">
        <v>10</v>
      </c>
      <c r="B789" s="18" t="s">
        <v>44</v>
      </c>
      <c r="C789" s="18">
        <v>287485000</v>
      </c>
      <c r="D789" s="18">
        <v>1988</v>
      </c>
    </row>
    <row r="790" spans="1:4" ht="19.95" customHeight="1" x14ac:dyDescent="0.25">
      <c r="A790" s="17" t="s">
        <v>13</v>
      </c>
      <c r="B790" s="18" t="s">
        <v>44</v>
      </c>
      <c r="C790" s="18">
        <v>748384000</v>
      </c>
      <c r="D790" s="18">
        <v>1988</v>
      </c>
    </row>
    <row r="791" spans="1:4" ht="19.95" customHeight="1" x14ac:dyDescent="0.25">
      <c r="A791" s="17" t="s">
        <v>16</v>
      </c>
      <c r="B791" s="18" t="s">
        <v>44</v>
      </c>
      <c r="C791" s="18">
        <v>97617000</v>
      </c>
      <c r="D791" s="18">
        <v>1988</v>
      </c>
    </row>
    <row r="792" spans="1:4" ht="19.95" customHeight="1" x14ac:dyDescent="0.25">
      <c r="A792" s="17" t="s">
        <v>15</v>
      </c>
      <c r="B792" s="18" t="s">
        <v>44</v>
      </c>
      <c r="C792" s="18">
        <v>33879000</v>
      </c>
      <c r="D792" s="18">
        <v>1988</v>
      </c>
    </row>
    <row r="793" spans="1:4" ht="19.95" customHeight="1" x14ac:dyDescent="0.25">
      <c r="A793" s="17" t="s">
        <v>17</v>
      </c>
      <c r="B793" s="18" t="s">
        <v>44</v>
      </c>
      <c r="C793" s="18">
        <v>25018000</v>
      </c>
      <c r="D793" s="18">
        <v>1988</v>
      </c>
    </row>
    <row r="794" spans="1:4" ht="19.95" customHeight="1" x14ac:dyDescent="0.25">
      <c r="A794" s="17" t="s">
        <v>18</v>
      </c>
      <c r="B794" s="18" t="s">
        <v>44</v>
      </c>
      <c r="C794" s="18">
        <v>699891000</v>
      </c>
      <c r="D794" s="18">
        <v>1988</v>
      </c>
    </row>
    <row r="795" spans="1:4" ht="19.95" customHeight="1" x14ac:dyDescent="0.25">
      <c r="A795" s="17" t="s">
        <v>19</v>
      </c>
      <c r="B795" s="18" t="s">
        <v>44</v>
      </c>
      <c r="C795" s="18">
        <v>304404000</v>
      </c>
      <c r="D795" s="18">
        <v>1988</v>
      </c>
    </row>
    <row r="796" spans="1:4" ht="19.95" customHeight="1" x14ac:dyDescent="0.25">
      <c r="A796" s="17" t="s">
        <v>20</v>
      </c>
      <c r="B796" s="18" t="s">
        <v>44</v>
      </c>
      <c r="C796" s="18">
        <v>285253000</v>
      </c>
      <c r="D796" s="18">
        <v>1988</v>
      </c>
    </row>
    <row r="797" spans="1:4" ht="19.95" customHeight="1" x14ac:dyDescent="0.25">
      <c r="A797" s="17" t="s">
        <v>21</v>
      </c>
      <c r="B797" s="18" t="s">
        <v>44</v>
      </c>
      <c r="C797" s="18">
        <v>1645746000</v>
      </c>
      <c r="D797" s="18">
        <v>1988</v>
      </c>
    </row>
    <row r="798" spans="1:4" ht="19.95" customHeight="1" x14ac:dyDescent="0.25">
      <c r="A798" s="17" t="s">
        <v>22</v>
      </c>
      <c r="B798" s="18" t="s">
        <v>44</v>
      </c>
      <c r="C798" s="18">
        <v>0</v>
      </c>
      <c r="D798" s="18">
        <v>1988</v>
      </c>
    </row>
    <row r="799" spans="1:4" ht="19.95" customHeight="1" x14ac:dyDescent="0.25">
      <c r="A799" s="17" t="s">
        <v>23</v>
      </c>
      <c r="B799" s="18" t="s">
        <v>44</v>
      </c>
      <c r="C799" s="18">
        <v>236252000</v>
      </c>
      <c r="D799" s="18">
        <v>1988</v>
      </c>
    </row>
    <row r="800" spans="1:4" ht="19.95" customHeight="1" x14ac:dyDescent="0.25">
      <c r="A800" s="17" t="s">
        <v>24</v>
      </c>
      <c r="B800" s="18" t="s">
        <v>44</v>
      </c>
      <c r="C800" s="18">
        <v>636995000</v>
      </c>
      <c r="D800" s="18">
        <v>1988</v>
      </c>
    </row>
    <row r="801" spans="1:4" ht="19.95" customHeight="1" x14ac:dyDescent="0.25">
      <c r="A801" s="17" t="s">
        <v>25</v>
      </c>
      <c r="B801" s="18" t="s">
        <v>44</v>
      </c>
      <c r="C801" s="18">
        <v>654209000</v>
      </c>
      <c r="D801" s="18">
        <v>1988</v>
      </c>
    </row>
    <row r="802" spans="1:4" ht="19.95" customHeight="1" x14ac:dyDescent="0.25">
      <c r="A802" s="17" t="s">
        <v>26</v>
      </c>
      <c r="B802" s="18" t="s">
        <v>44</v>
      </c>
      <c r="C802" s="18">
        <v>389969000</v>
      </c>
      <c r="D802" s="18">
        <v>1988</v>
      </c>
    </row>
    <row r="803" spans="1:4" ht="19.95" customHeight="1" x14ac:dyDescent="0.25">
      <c r="A803" s="17" t="s">
        <v>27</v>
      </c>
      <c r="B803" s="18" t="s">
        <v>44</v>
      </c>
      <c r="C803" s="18">
        <v>0</v>
      </c>
      <c r="D803" s="18">
        <v>1988</v>
      </c>
    </row>
    <row r="804" spans="1:4" ht="19.95" customHeight="1" x14ac:dyDescent="0.25">
      <c r="A804" s="17" t="s">
        <v>28</v>
      </c>
      <c r="B804" s="18" t="s">
        <v>44</v>
      </c>
      <c r="C804" s="18">
        <v>126780000</v>
      </c>
      <c r="D804" s="18">
        <v>1988</v>
      </c>
    </row>
    <row r="805" spans="1:4" ht="19.95" customHeight="1" x14ac:dyDescent="0.25">
      <c r="A805" s="17" t="s">
        <v>29</v>
      </c>
      <c r="B805" s="18" t="s">
        <v>44</v>
      </c>
      <c r="C805" s="18">
        <v>593661000</v>
      </c>
      <c r="D805" s="18">
        <v>1988</v>
      </c>
    </row>
    <row r="806" spans="1:4" ht="19.95" customHeight="1" x14ac:dyDescent="0.25">
      <c r="A806" s="17" t="s">
        <v>31</v>
      </c>
      <c r="B806" s="18" t="s">
        <v>44</v>
      </c>
      <c r="C806" s="18">
        <v>466017000</v>
      </c>
      <c r="D806" s="18">
        <v>1988</v>
      </c>
    </row>
    <row r="807" spans="1:4" ht="19.95" customHeight="1" x14ac:dyDescent="0.25">
      <c r="A807" s="17" t="s">
        <v>32</v>
      </c>
      <c r="B807" s="18" t="s">
        <v>44</v>
      </c>
      <c r="C807" s="18">
        <v>287260000</v>
      </c>
      <c r="D807" s="18">
        <v>1988</v>
      </c>
    </row>
    <row r="808" spans="1:4" ht="19.95" customHeight="1" x14ac:dyDescent="0.25">
      <c r="A808" s="17" t="s">
        <v>33</v>
      </c>
      <c r="B808" s="18" t="s">
        <v>44</v>
      </c>
      <c r="C808" s="18">
        <v>348185000</v>
      </c>
      <c r="D808" s="18">
        <v>1988</v>
      </c>
    </row>
    <row r="809" spans="1:4" ht="19.95" customHeight="1" x14ac:dyDescent="0.25">
      <c r="A809" s="17" t="s">
        <v>34</v>
      </c>
      <c r="B809" s="18" t="s">
        <v>44</v>
      </c>
      <c r="C809" s="18">
        <v>273930000</v>
      </c>
      <c r="D809" s="18">
        <v>1988</v>
      </c>
    </row>
    <row r="810" spans="1:4" ht="19.95" customHeight="1" x14ac:dyDescent="0.25">
      <c r="A810" s="17" t="s">
        <v>35</v>
      </c>
      <c r="B810" s="18" t="s">
        <v>44</v>
      </c>
      <c r="C810" s="18">
        <v>10083000</v>
      </c>
      <c r="D810" s="18">
        <v>1988</v>
      </c>
    </row>
    <row r="811" spans="1:4" ht="19.95" customHeight="1" x14ac:dyDescent="0.25">
      <c r="A811" s="17" t="s">
        <v>2</v>
      </c>
      <c r="B811" s="18" t="s">
        <v>44</v>
      </c>
      <c r="C811" s="18">
        <v>741093000</v>
      </c>
      <c r="D811" s="18">
        <v>1988</v>
      </c>
    </row>
    <row r="812" spans="1:4" ht="19.95" customHeight="1" x14ac:dyDescent="0.25">
      <c r="A812" s="17" t="s">
        <v>36</v>
      </c>
      <c r="B812" s="18" t="s">
        <v>44</v>
      </c>
      <c r="C812" s="18">
        <v>0</v>
      </c>
      <c r="D812" s="18">
        <v>1988</v>
      </c>
    </row>
    <row r="813" spans="1:4" ht="19.95" customHeight="1" x14ac:dyDescent="0.25">
      <c r="A813" s="17" t="s">
        <v>37</v>
      </c>
      <c r="B813" s="18" t="s">
        <v>44</v>
      </c>
      <c r="C813" s="18">
        <v>1193393000</v>
      </c>
      <c r="D813" s="18">
        <v>1988</v>
      </c>
    </row>
    <row r="814" spans="1:4" ht="19.95" customHeight="1" x14ac:dyDescent="0.25">
      <c r="A814" s="17" t="s">
        <v>38</v>
      </c>
      <c r="B814" s="18" t="s">
        <v>44</v>
      </c>
      <c r="C814" s="18">
        <v>628555000</v>
      </c>
      <c r="D814" s="18">
        <v>1988</v>
      </c>
    </row>
    <row r="815" spans="1:4" ht="19.95" customHeight="1" x14ac:dyDescent="0.25">
      <c r="A815" s="17" t="s">
        <v>39</v>
      </c>
      <c r="B815" s="18" t="s">
        <v>44</v>
      </c>
      <c r="C815" s="18">
        <v>761429000</v>
      </c>
      <c r="D815" s="18">
        <v>1988</v>
      </c>
    </row>
    <row r="816" spans="1:4" ht="19.95" customHeight="1" x14ac:dyDescent="0.25">
      <c r="A816" s="17" t="s">
        <v>40</v>
      </c>
      <c r="B816" s="18" t="s">
        <v>44</v>
      </c>
      <c r="C816" s="18">
        <v>407367000</v>
      </c>
      <c r="D816" s="18">
        <v>1988</v>
      </c>
    </row>
    <row r="817" spans="1:4" ht="19.95" customHeight="1" x14ac:dyDescent="0.25">
      <c r="A817" s="17" t="s">
        <v>10</v>
      </c>
      <c r="B817" s="18" t="s">
        <v>44</v>
      </c>
      <c r="C817" s="18">
        <v>328002000</v>
      </c>
      <c r="D817" s="18">
        <v>1989</v>
      </c>
    </row>
    <row r="818" spans="1:4" ht="19.95" customHeight="1" x14ac:dyDescent="0.25">
      <c r="A818" s="17" t="s">
        <v>13</v>
      </c>
      <c r="B818" s="18" t="s">
        <v>44</v>
      </c>
      <c r="C818" s="18">
        <v>811035000</v>
      </c>
      <c r="D818" s="18">
        <v>1989</v>
      </c>
    </row>
    <row r="819" spans="1:4" ht="19.95" customHeight="1" x14ac:dyDescent="0.25">
      <c r="A819" s="17" t="s">
        <v>16</v>
      </c>
      <c r="B819" s="18" t="s">
        <v>44</v>
      </c>
      <c r="C819" s="18">
        <v>129930000</v>
      </c>
      <c r="D819" s="18">
        <v>1989</v>
      </c>
    </row>
    <row r="820" spans="1:4" ht="19.95" customHeight="1" x14ac:dyDescent="0.25">
      <c r="A820" s="17" t="s">
        <v>15</v>
      </c>
      <c r="B820" s="18" t="s">
        <v>44</v>
      </c>
      <c r="C820" s="18">
        <v>34757000</v>
      </c>
      <c r="D820" s="18">
        <v>1989</v>
      </c>
    </row>
    <row r="821" spans="1:4" ht="19.95" customHeight="1" x14ac:dyDescent="0.25">
      <c r="A821" s="17" t="s">
        <v>17</v>
      </c>
      <c r="B821" s="18" t="s">
        <v>44</v>
      </c>
      <c r="C821" s="18">
        <v>26347000</v>
      </c>
      <c r="D821" s="18">
        <v>1989</v>
      </c>
    </row>
    <row r="822" spans="1:4" ht="19.95" customHeight="1" x14ac:dyDescent="0.25">
      <c r="A822" s="17" t="s">
        <v>18</v>
      </c>
      <c r="B822" s="18" t="s">
        <v>44</v>
      </c>
      <c r="C822" s="18">
        <v>749155000</v>
      </c>
      <c r="D822" s="18">
        <v>1989</v>
      </c>
    </row>
    <row r="823" spans="1:4" ht="19.95" customHeight="1" x14ac:dyDescent="0.25">
      <c r="A823" s="17" t="s">
        <v>19</v>
      </c>
      <c r="B823" s="18" t="s">
        <v>44</v>
      </c>
      <c r="C823" s="18">
        <v>354032000</v>
      </c>
      <c r="D823" s="18">
        <v>1989</v>
      </c>
    </row>
    <row r="824" spans="1:4" ht="19.95" customHeight="1" x14ac:dyDescent="0.25">
      <c r="A824" s="17" t="s">
        <v>20</v>
      </c>
      <c r="B824" s="18" t="s">
        <v>44</v>
      </c>
      <c r="C824" s="18">
        <v>293803000</v>
      </c>
      <c r="D824" s="18">
        <v>1989</v>
      </c>
    </row>
    <row r="825" spans="1:4" ht="19.95" customHeight="1" x14ac:dyDescent="0.25">
      <c r="A825" s="17" t="s">
        <v>21</v>
      </c>
      <c r="B825" s="18" t="s">
        <v>44</v>
      </c>
      <c r="C825" s="18">
        <v>1782109000</v>
      </c>
      <c r="D825" s="18">
        <v>1989</v>
      </c>
    </row>
    <row r="826" spans="1:4" ht="19.95" customHeight="1" x14ac:dyDescent="0.25">
      <c r="A826" s="17" t="s">
        <v>22</v>
      </c>
      <c r="B826" s="18" t="s">
        <v>44</v>
      </c>
      <c r="C826" s="18">
        <v>0</v>
      </c>
      <c r="D826" s="18">
        <v>1989</v>
      </c>
    </row>
    <row r="827" spans="1:4" ht="19.95" customHeight="1" x14ac:dyDescent="0.25">
      <c r="A827" s="17" t="s">
        <v>23</v>
      </c>
      <c r="B827" s="18" t="s">
        <v>44</v>
      </c>
      <c r="C827" s="18">
        <v>231420000</v>
      </c>
      <c r="D827" s="18">
        <v>1989</v>
      </c>
    </row>
    <row r="828" spans="1:4" ht="19.95" customHeight="1" x14ac:dyDescent="0.25">
      <c r="A828" s="17" t="s">
        <v>24</v>
      </c>
      <c r="B828" s="18" t="s">
        <v>44</v>
      </c>
      <c r="C828" s="18">
        <v>697209000</v>
      </c>
      <c r="D828" s="18">
        <v>1989</v>
      </c>
    </row>
    <row r="829" spans="1:4" ht="19.95" customHeight="1" x14ac:dyDescent="0.25">
      <c r="A829" s="17" t="s">
        <v>25</v>
      </c>
      <c r="B829" s="18" t="s">
        <v>44</v>
      </c>
      <c r="C829" s="18">
        <v>716626000</v>
      </c>
      <c r="D829" s="18">
        <v>1989</v>
      </c>
    </row>
    <row r="830" spans="1:4" ht="19.95" customHeight="1" x14ac:dyDescent="0.25">
      <c r="A830" s="17" t="s">
        <v>26</v>
      </c>
      <c r="B830" s="18" t="s">
        <v>44</v>
      </c>
      <c r="C830" s="18">
        <v>432098000</v>
      </c>
      <c r="D830" s="18">
        <v>1989</v>
      </c>
    </row>
    <row r="831" spans="1:4" ht="19.95" customHeight="1" x14ac:dyDescent="0.25">
      <c r="A831" s="17" t="s">
        <v>27</v>
      </c>
      <c r="B831" s="18" t="s">
        <v>44</v>
      </c>
      <c r="C831" s="18">
        <v>0</v>
      </c>
      <c r="D831" s="18">
        <v>1989</v>
      </c>
    </row>
    <row r="832" spans="1:4" ht="19.95" customHeight="1" x14ac:dyDescent="0.25">
      <c r="A832" s="17" t="s">
        <v>28</v>
      </c>
      <c r="B832" s="18" t="s">
        <v>44</v>
      </c>
      <c r="C832" s="18">
        <v>175901000</v>
      </c>
      <c r="D832" s="18">
        <v>1989</v>
      </c>
    </row>
    <row r="833" spans="1:4" ht="19.95" customHeight="1" x14ac:dyDescent="0.25">
      <c r="A833" s="17" t="s">
        <v>29</v>
      </c>
      <c r="B833" s="18" t="s">
        <v>44</v>
      </c>
      <c r="C833" s="18">
        <v>652855000</v>
      </c>
      <c r="D833" s="18">
        <v>1989</v>
      </c>
    </row>
    <row r="834" spans="1:4" ht="19.95" customHeight="1" x14ac:dyDescent="0.25">
      <c r="A834" s="17" t="s">
        <v>31</v>
      </c>
      <c r="B834" s="18" t="s">
        <v>44</v>
      </c>
      <c r="C834" s="18">
        <v>571566000</v>
      </c>
      <c r="D834" s="18">
        <v>1989</v>
      </c>
    </row>
    <row r="835" spans="1:4" ht="19.95" customHeight="1" x14ac:dyDescent="0.25">
      <c r="A835" s="17" t="s">
        <v>32</v>
      </c>
      <c r="B835" s="18" t="s">
        <v>44</v>
      </c>
      <c r="C835" s="18">
        <v>280919000</v>
      </c>
      <c r="D835" s="18">
        <v>1989</v>
      </c>
    </row>
    <row r="836" spans="1:4" ht="19.95" customHeight="1" x14ac:dyDescent="0.25">
      <c r="A836" s="17" t="s">
        <v>33</v>
      </c>
      <c r="B836" s="18" t="s">
        <v>44</v>
      </c>
      <c r="C836" s="18">
        <v>382941000</v>
      </c>
      <c r="D836" s="18">
        <v>1989</v>
      </c>
    </row>
    <row r="837" spans="1:4" ht="19.95" customHeight="1" x14ac:dyDescent="0.25">
      <c r="A837" s="17" t="s">
        <v>34</v>
      </c>
      <c r="B837" s="18" t="s">
        <v>44</v>
      </c>
      <c r="C837" s="18">
        <v>302097000</v>
      </c>
      <c r="D837" s="18">
        <v>1989</v>
      </c>
    </row>
    <row r="838" spans="1:4" ht="19.95" customHeight="1" x14ac:dyDescent="0.25">
      <c r="A838" s="17" t="s">
        <v>35</v>
      </c>
      <c r="B838" s="18" t="s">
        <v>44</v>
      </c>
      <c r="C838" s="18">
        <v>16818000</v>
      </c>
      <c r="D838" s="18">
        <v>1989</v>
      </c>
    </row>
    <row r="839" spans="1:4" ht="19.95" customHeight="1" x14ac:dyDescent="0.25">
      <c r="A839" s="17" t="s">
        <v>2</v>
      </c>
      <c r="B839" s="18" t="s">
        <v>44</v>
      </c>
      <c r="C839" s="18">
        <v>784627000</v>
      </c>
      <c r="D839" s="18">
        <v>1989</v>
      </c>
    </row>
    <row r="840" spans="1:4" ht="19.95" customHeight="1" x14ac:dyDescent="0.25">
      <c r="A840" s="17" t="s">
        <v>36</v>
      </c>
      <c r="B840" s="18" t="s">
        <v>44</v>
      </c>
      <c r="C840" s="18">
        <v>0</v>
      </c>
      <c r="D840" s="18">
        <v>1989</v>
      </c>
    </row>
    <row r="841" spans="1:4" ht="19.95" customHeight="1" x14ac:dyDescent="0.25">
      <c r="A841" s="17" t="s">
        <v>37</v>
      </c>
      <c r="B841" s="18" t="s">
        <v>44</v>
      </c>
      <c r="C841" s="18">
        <v>1267133000</v>
      </c>
      <c r="D841" s="18">
        <v>1989</v>
      </c>
    </row>
    <row r="842" spans="1:4" ht="19.95" customHeight="1" x14ac:dyDescent="0.25">
      <c r="A842" s="17" t="s">
        <v>38</v>
      </c>
      <c r="B842" s="18" t="s">
        <v>44</v>
      </c>
      <c r="C842" s="18">
        <v>709562000</v>
      </c>
      <c r="D842" s="18">
        <v>1989</v>
      </c>
    </row>
    <row r="843" spans="1:4" ht="19.95" customHeight="1" x14ac:dyDescent="0.25">
      <c r="A843" s="17" t="s">
        <v>39</v>
      </c>
      <c r="B843" s="18" t="s">
        <v>44</v>
      </c>
      <c r="C843" s="18">
        <v>753802000</v>
      </c>
      <c r="D843" s="18">
        <v>1989</v>
      </c>
    </row>
    <row r="844" spans="1:4" ht="19.95" customHeight="1" x14ac:dyDescent="0.25">
      <c r="A844" s="17" t="s">
        <v>40</v>
      </c>
      <c r="B844" s="18" t="s">
        <v>44</v>
      </c>
      <c r="C844" s="18">
        <v>414829000</v>
      </c>
      <c r="D844" s="18">
        <v>1989</v>
      </c>
    </row>
    <row r="845" spans="1:4" ht="19.95" customHeight="1" x14ac:dyDescent="0.25">
      <c r="A845" s="17" t="s">
        <v>10</v>
      </c>
      <c r="B845" s="18" t="s">
        <v>44</v>
      </c>
      <c r="C845" s="18">
        <v>397964000</v>
      </c>
      <c r="D845" s="18">
        <v>1990</v>
      </c>
    </row>
    <row r="846" spans="1:4" ht="19.95" customHeight="1" x14ac:dyDescent="0.25">
      <c r="A846" s="17" t="s">
        <v>13</v>
      </c>
      <c r="B846" s="18" t="s">
        <v>44</v>
      </c>
      <c r="C846" s="18">
        <v>889397000</v>
      </c>
      <c r="D846" s="18">
        <v>1990</v>
      </c>
    </row>
    <row r="847" spans="1:4" ht="19.95" customHeight="1" x14ac:dyDescent="0.25">
      <c r="A847" s="17" t="s">
        <v>16</v>
      </c>
      <c r="B847" s="18" t="s">
        <v>44</v>
      </c>
      <c r="C847" s="18">
        <v>186390000</v>
      </c>
      <c r="D847" s="18">
        <v>1990</v>
      </c>
    </row>
    <row r="848" spans="1:4" ht="19.95" customHeight="1" x14ac:dyDescent="0.25">
      <c r="A848" s="17" t="s">
        <v>15</v>
      </c>
      <c r="B848" s="18" t="s">
        <v>44</v>
      </c>
      <c r="C848" s="18">
        <v>37511000</v>
      </c>
      <c r="D848" s="18">
        <v>1990</v>
      </c>
    </row>
    <row r="849" spans="1:4" ht="19.95" customHeight="1" x14ac:dyDescent="0.25">
      <c r="A849" s="17" t="s">
        <v>17</v>
      </c>
      <c r="B849" s="18" t="s">
        <v>44</v>
      </c>
      <c r="C849" s="18">
        <v>31116000</v>
      </c>
      <c r="D849" s="18">
        <v>1990</v>
      </c>
    </row>
    <row r="850" spans="1:4" ht="19.95" customHeight="1" x14ac:dyDescent="0.25">
      <c r="A850" s="17" t="s">
        <v>18</v>
      </c>
      <c r="B850" s="18" t="s">
        <v>44</v>
      </c>
      <c r="C850" s="18">
        <v>850931000</v>
      </c>
      <c r="D850" s="18">
        <v>1990</v>
      </c>
    </row>
    <row r="851" spans="1:4" ht="19.95" customHeight="1" x14ac:dyDescent="0.25">
      <c r="A851" s="17" t="s">
        <v>19</v>
      </c>
      <c r="B851" s="18" t="s">
        <v>44</v>
      </c>
      <c r="C851" s="18">
        <v>419432000</v>
      </c>
      <c r="D851" s="18">
        <v>1990</v>
      </c>
    </row>
    <row r="852" spans="1:4" ht="19.95" customHeight="1" x14ac:dyDescent="0.25">
      <c r="A852" s="17" t="s">
        <v>20</v>
      </c>
      <c r="B852" s="18" t="s">
        <v>44</v>
      </c>
      <c r="C852" s="18">
        <v>323581000</v>
      </c>
      <c r="D852" s="18">
        <v>1990</v>
      </c>
    </row>
    <row r="853" spans="1:4" ht="19.95" customHeight="1" x14ac:dyDescent="0.25">
      <c r="A853" s="17" t="s">
        <v>21</v>
      </c>
      <c r="B853" s="18" t="s">
        <v>44</v>
      </c>
      <c r="C853" s="18">
        <v>2056036000</v>
      </c>
      <c r="D853" s="18">
        <v>1990</v>
      </c>
    </row>
    <row r="854" spans="1:4" ht="19.95" customHeight="1" x14ac:dyDescent="0.25">
      <c r="A854" s="17" t="s">
        <v>22</v>
      </c>
      <c r="B854" s="18" t="s">
        <v>44</v>
      </c>
      <c r="C854" s="18">
        <v>0</v>
      </c>
      <c r="D854" s="18">
        <v>1990</v>
      </c>
    </row>
    <row r="855" spans="1:4" ht="19.95" customHeight="1" x14ac:dyDescent="0.25">
      <c r="A855" s="17" t="s">
        <v>23</v>
      </c>
      <c r="B855" s="18" t="s">
        <v>44</v>
      </c>
      <c r="C855" s="18">
        <v>248174000</v>
      </c>
      <c r="D855" s="18">
        <v>1990</v>
      </c>
    </row>
    <row r="856" spans="1:4" ht="19.95" customHeight="1" x14ac:dyDescent="0.25">
      <c r="A856" s="17" t="s">
        <v>24</v>
      </c>
      <c r="B856" s="18" t="s">
        <v>44</v>
      </c>
      <c r="C856" s="18">
        <v>796602000</v>
      </c>
      <c r="D856" s="18">
        <v>1990</v>
      </c>
    </row>
    <row r="857" spans="1:4" ht="19.95" customHeight="1" x14ac:dyDescent="0.25">
      <c r="A857" s="17" t="s">
        <v>25</v>
      </c>
      <c r="B857" s="18" t="s">
        <v>44</v>
      </c>
      <c r="C857" s="18">
        <v>854263000</v>
      </c>
      <c r="D857" s="18">
        <v>1990</v>
      </c>
    </row>
    <row r="858" spans="1:4" ht="19.95" customHeight="1" x14ac:dyDescent="0.25">
      <c r="A858" s="17" t="s">
        <v>26</v>
      </c>
      <c r="B858" s="18" t="s">
        <v>44</v>
      </c>
      <c r="C858" s="18">
        <v>497613000</v>
      </c>
      <c r="D858" s="18">
        <v>1990</v>
      </c>
    </row>
    <row r="859" spans="1:4" ht="19.95" customHeight="1" x14ac:dyDescent="0.25">
      <c r="A859" s="17" t="s">
        <v>27</v>
      </c>
      <c r="B859" s="18" t="s">
        <v>44</v>
      </c>
      <c r="C859" s="18">
        <v>0</v>
      </c>
      <c r="D859" s="18">
        <v>1990</v>
      </c>
    </row>
    <row r="860" spans="1:4" ht="19.95" customHeight="1" x14ac:dyDescent="0.25">
      <c r="A860" s="17" t="s">
        <v>28</v>
      </c>
      <c r="B860" s="18" t="s">
        <v>44</v>
      </c>
      <c r="C860" s="18">
        <v>267939000</v>
      </c>
      <c r="D860" s="18">
        <v>1990</v>
      </c>
    </row>
    <row r="861" spans="1:4" ht="19.95" customHeight="1" x14ac:dyDescent="0.25">
      <c r="A861" s="17" t="s">
        <v>29</v>
      </c>
      <c r="B861" s="18" t="s">
        <v>44</v>
      </c>
      <c r="C861" s="18">
        <v>716161000</v>
      </c>
      <c r="D861" s="18">
        <v>1990</v>
      </c>
    </row>
    <row r="862" spans="1:4" ht="19.95" customHeight="1" x14ac:dyDescent="0.25">
      <c r="A862" s="17" t="s">
        <v>31</v>
      </c>
      <c r="B862" s="18" t="s">
        <v>44</v>
      </c>
      <c r="C862" s="18">
        <v>667474000</v>
      </c>
      <c r="D862" s="18">
        <v>1990</v>
      </c>
    </row>
    <row r="863" spans="1:4" ht="19.95" customHeight="1" x14ac:dyDescent="0.25">
      <c r="A863" s="17" t="s">
        <v>32</v>
      </c>
      <c r="B863" s="18" t="s">
        <v>44</v>
      </c>
      <c r="C863" s="18">
        <v>299363000</v>
      </c>
      <c r="D863" s="18">
        <v>1990</v>
      </c>
    </row>
    <row r="864" spans="1:4" ht="19.95" customHeight="1" x14ac:dyDescent="0.25">
      <c r="A864" s="17" t="s">
        <v>33</v>
      </c>
      <c r="B864" s="18" t="s">
        <v>44</v>
      </c>
      <c r="C864" s="18">
        <v>460638000</v>
      </c>
      <c r="D864" s="18">
        <v>1990</v>
      </c>
    </row>
    <row r="865" spans="1:4" ht="19.95" customHeight="1" x14ac:dyDescent="0.25">
      <c r="A865" s="17" t="s">
        <v>34</v>
      </c>
      <c r="B865" s="18" t="s">
        <v>44</v>
      </c>
      <c r="C865" s="18">
        <v>339899000</v>
      </c>
      <c r="D865" s="18">
        <v>1990</v>
      </c>
    </row>
    <row r="866" spans="1:4" ht="19.95" customHeight="1" x14ac:dyDescent="0.25">
      <c r="A866" s="17" t="s">
        <v>35</v>
      </c>
      <c r="B866" s="18" t="s">
        <v>44</v>
      </c>
      <c r="C866" s="18">
        <v>23872000</v>
      </c>
      <c r="D866" s="18">
        <v>1990</v>
      </c>
    </row>
    <row r="867" spans="1:4" ht="19.95" customHeight="1" x14ac:dyDescent="0.25">
      <c r="A867" s="17" t="s">
        <v>2</v>
      </c>
      <c r="B867" s="18" t="s">
        <v>44</v>
      </c>
      <c r="C867" s="18">
        <v>946328000</v>
      </c>
      <c r="D867" s="18">
        <v>1990</v>
      </c>
    </row>
    <row r="868" spans="1:4" ht="19.95" customHeight="1" x14ac:dyDescent="0.25">
      <c r="A868" s="17" t="s">
        <v>36</v>
      </c>
      <c r="B868" s="18" t="s">
        <v>44</v>
      </c>
      <c r="C868" s="18">
        <v>0</v>
      </c>
      <c r="D868" s="18">
        <v>1990</v>
      </c>
    </row>
    <row r="869" spans="1:4" ht="19.95" customHeight="1" x14ac:dyDescent="0.25">
      <c r="A869" s="17" t="s">
        <v>37</v>
      </c>
      <c r="B869" s="18" t="s">
        <v>44</v>
      </c>
      <c r="C869" s="18">
        <v>1492842000</v>
      </c>
      <c r="D869" s="18">
        <v>1990</v>
      </c>
    </row>
    <row r="870" spans="1:4" ht="19.95" customHeight="1" x14ac:dyDescent="0.25">
      <c r="A870" s="17" t="s">
        <v>38</v>
      </c>
      <c r="B870" s="18" t="s">
        <v>44</v>
      </c>
      <c r="C870" s="18">
        <v>969247000</v>
      </c>
      <c r="D870" s="18">
        <v>1990</v>
      </c>
    </row>
    <row r="871" spans="1:4" ht="19.95" customHeight="1" x14ac:dyDescent="0.25">
      <c r="A871" s="17" t="s">
        <v>39</v>
      </c>
      <c r="B871" s="18" t="s">
        <v>44</v>
      </c>
      <c r="C871" s="18">
        <v>812715000</v>
      </c>
      <c r="D871" s="18">
        <v>1990</v>
      </c>
    </row>
    <row r="872" spans="1:4" ht="19.95" customHeight="1" x14ac:dyDescent="0.25">
      <c r="A872" s="17" t="s">
        <v>40</v>
      </c>
      <c r="B872" s="18" t="s">
        <v>44</v>
      </c>
      <c r="C872" s="18">
        <v>448694000</v>
      </c>
      <c r="D872" s="18">
        <v>1990</v>
      </c>
    </row>
    <row r="873" spans="1:4" ht="19.95" customHeight="1" x14ac:dyDescent="0.25">
      <c r="A873" s="17" t="s">
        <v>10</v>
      </c>
      <c r="B873" s="18" t="s">
        <v>44</v>
      </c>
      <c r="C873" s="18">
        <v>439692000</v>
      </c>
      <c r="D873" s="18">
        <v>1991</v>
      </c>
    </row>
    <row r="874" spans="1:4" ht="19.95" customHeight="1" x14ac:dyDescent="0.25">
      <c r="A874" s="17" t="s">
        <v>13</v>
      </c>
      <c r="B874" s="18" t="s">
        <v>44</v>
      </c>
      <c r="C874" s="18">
        <v>958032000</v>
      </c>
      <c r="D874" s="18">
        <v>1991</v>
      </c>
    </row>
    <row r="875" spans="1:4" ht="19.95" customHeight="1" x14ac:dyDescent="0.25">
      <c r="A875" s="17" t="s">
        <v>16</v>
      </c>
      <c r="B875" s="18" t="s">
        <v>44</v>
      </c>
      <c r="C875" s="18">
        <v>234939000</v>
      </c>
      <c r="D875" s="18">
        <v>1991</v>
      </c>
    </row>
    <row r="876" spans="1:4" ht="19.95" customHeight="1" x14ac:dyDescent="0.25">
      <c r="A876" s="17" t="s">
        <v>15</v>
      </c>
      <c r="B876" s="18" t="s">
        <v>44</v>
      </c>
      <c r="C876" s="18">
        <v>38977000</v>
      </c>
      <c r="D876" s="18">
        <v>1991</v>
      </c>
    </row>
    <row r="877" spans="1:4" ht="19.95" customHeight="1" x14ac:dyDescent="0.25">
      <c r="A877" s="17" t="s">
        <v>17</v>
      </c>
      <c r="B877" s="18" t="s">
        <v>44</v>
      </c>
      <c r="C877" s="18">
        <v>34291000</v>
      </c>
      <c r="D877" s="18">
        <v>1991</v>
      </c>
    </row>
    <row r="878" spans="1:4" ht="19.95" customHeight="1" x14ac:dyDescent="0.25">
      <c r="A878" s="17" t="s">
        <v>18</v>
      </c>
      <c r="B878" s="18" t="s">
        <v>44</v>
      </c>
      <c r="C878" s="18">
        <v>902524000</v>
      </c>
      <c r="D878" s="18">
        <v>1991</v>
      </c>
    </row>
    <row r="879" spans="1:4" ht="19.95" customHeight="1" x14ac:dyDescent="0.25">
      <c r="A879" s="17" t="s">
        <v>19</v>
      </c>
      <c r="B879" s="18" t="s">
        <v>44</v>
      </c>
      <c r="C879" s="18">
        <v>493737000</v>
      </c>
      <c r="D879" s="18">
        <v>1991</v>
      </c>
    </row>
    <row r="880" spans="1:4" ht="19.95" customHeight="1" x14ac:dyDescent="0.25">
      <c r="A880" s="17" t="s">
        <v>20</v>
      </c>
      <c r="B880" s="18" t="s">
        <v>44</v>
      </c>
      <c r="C880" s="18">
        <v>329812000</v>
      </c>
      <c r="D880" s="18">
        <v>1991</v>
      </c>
    </row>
    <row r="881" spans="1:4" ht="19.95" customHeight="1" x14ac:dyDescent="0.25">
      <c r="A881" s="17" t="s">
        <v>21</v>
      </c>
      <c r="B881" s="18" t="s">
        <v>44</v>
      </c>
      <c r="C881" s="18">
        <v>2153454000</v>
      </c>
      <c r="D881" s="18">
        <v>1991</v>
      </c>
    </row>
    <row r="882" spans="1:4" ht="19.95" customHeight="1" x14ac:dyDescent="0.25">
      <c r="A882" s="17" t="s">
        <v>22</v>
      </c>
      <c r="B882" s="18" t="s">
        <v>44</v>
      </c>
      <c r="C882" s="18">
        <v>0</v>
      </c>
      <c r="D882" s="18">
        <v>1991</v>
      </c>
    </row>
    <row r="883" spans="1:4" ht="19.95" customHeight="1" x14ac:dyDescent="0.25">
      <c r="A883" s="17" t="s">
        <v>23</v>
      </c>
      <c r="B883" s="18" t="s">
        <v>44</v>
      </c>
      <c r="C883" s="18">
        <v>249774000</v>
      </c>
      <c r="D883" s="18">
        <v>1991</v>
      </c>
    </row>
    <row r="884" spans="1:4" ht="19.95" customHeight="1" x14ac:dyDescent="0.25">
      <c r="A884" s="17" t="s">
        <v>24</v>
      </c>
      <c r="B884" s="18" t="s">
        <v>44</v>
      </c>
      <c r="C884" s="18">
        <v>903864000</v>
      </c>
      <c r="D884" s="18">
        <v>1991</v>
      </c>
    </row>
    <row r="885" spans="1:4" ht="19.95" customHeight="1" x14ac:dyDescent="0.25">
      <c r="A885" s="17" t="s">
        <v>25</v>
      </c>
      <c r="B885" s="18" t="s">
        <v>44</v>
      </c>
      <c r="C885" s="18">
        <v>951642000</v>
      </c>
      <c r="D885" s="18">
        <v>1991</v>
      </c>
    </row>
    <row r="886" spans="1:4" ht="19.95" customHeight="1" x14ac:dyDescent="0.25">
      <c r="A886" s="17" t="s">
        <v>26</v>
      </c>
      <c r="B886" s="18" t="s">
        <v>44</v>
      </c>
      <c r="C886" s="18">
        <v>569274000</v>
      </c>
      <c r="D886" s="18">
        <v>1991</v>
      </c>
    </row>
    <row r="887" spans="1:4" ht="19.95" customHeight="1" x14ac:dyDescent="0.25">
      <c r="A887" s="17" t="s">
        <v>27</v>
      </c>
      <c r="B887" s="18" t="s">
        <v>44</v>
      </c>
      <c r="C887" s="18">
        <v>0</v>
      </c>
      <c r="D887" s="18">
        <v>1991</v>
      </c>
    </row>
    <row r="888" spans="1:4" ht="19.95" customHeight="1" x14ac:dyDescent="0.25">
      <c r="A888" s="17" t="s">
        <v>28</v>
      </c>
      <c r="B888" s="18" t="s">
        <v>44</v>
      </c>
      <c r="C888" s="18">
        <v>327998000</v>
      </c>
      <c r="D888" s="18">
        <v>1991</v>
      </c>
    </row>
    <row r="889" spans="1:4" ht="19.95" customHeight="1" x14ac:dyDescent="0.25">
      <c r="A889" s="17" t="s">
        <v>29</v>
      </c>
      <c r="B889" s="18" t="s">
        <v>44</v>
      </c>
      <c r="C889" s="18">
        <v>748641000</v>
      </c>
      <c r="D889" s="18">
        <v>1991</v>
      </c>
    </row>
    <row r="890" spans="1:4" ht="19.95" customHeight="1" x14ac:dyDescent="0.25">
      <c r="A890" s="17" t="s">
        <v>31</v>
      </c>
      <c r="B890" s="18" t="s">
        <v>44</v>
      </c>
      <c r="C890" s="18">
        <v>718555000</v>
      </c>
      <c r="D890" s="18">
        <v>1991</v>
      </c>
    </row>
    <row r="891" spans="1:4" ht="19.95" customHeight="1" x14ac:dyDescent="0.25">
      <c r="A891" s="17" t="s">
        <v>32</v>
      </c>
      <c r="B891" s="18" t="s">
        <v>44</v>
      </c>
      <c r="C891" s="18">
        <v>236927000</v>
      </c>
      <c r="D891" s="18">
        <v>1991</v>
      </c>
    </row>
    <row r="892" spans="1:4" ht="19.95" customHeight="1" x14ac:dyDescent="0.25">
      <c r="A892" s="17" t="s">
        <v>33</v>
      </c>
      <c r="B892" s="18" t="s">
        <v>44</v>
      </c>
      <c r="C892" s="18">
        <v>479206000</v>
      </c>
      <c r="D892" s="18">
        <v>1991</v>
      </c>
    </row>
    <row r="893" spans="1:4" ht="19.95" customHeight="1" x14ac:dyDescent="0.25">
      <c r="A893" s="17" t="s">
        <v>34</v>
      </c>
      <c r="B893" s="18" t="s">
        <v>44</v>
      </c>
      <c r="C893" s="18">
        <v>390137000</v>
      </c>
      <c r="D893" s="18">
        <v>1991</v>
      </c>
    </row>
    <row r="894" spans="1:4" ht="19.95" customHeight="1" x14ac:dyDescent="0.25">
      <c r="A894" s="17" t="s">
        <v>35</v>
      </c>
      <c r="B894" s="18" t="s">
        <v>44</v>
      </c>
      <c r="C894" s="18">
        <v>29409000</v>
      </c>
      <c r="D894" s="18">
        <v>1991</v>
      </c>
    </row>
    <row r="895" spans="1:4" ht="19.95" customHeight="1" x14ac:dyDescent="0.25">
      <c r="A895" s="17" t="s">
        <v>2</v>
      </c>
      <c r="B895" s="18" t="s">
        <v>44</v>
      </c>
      <c r="C895" s="18">
        <v>1133383000</v>
      </c>
      <c r="D895" s="18">
        <v>1991</v>
      </c>
    </row>
    <row r="896" spans="1:4" ht="19.95" customHeight="1" x14ac:dyDescent="0.25">
      <c r="A896" s="17" t="s">
        <v>36</v>
      </c>
      <c r="B896" s="18" t="s">
        <v>44</v>
      </c>
      <c r="C896" s="18">
        <v>0</v>
      </c>
      <c r="D896" s="18">
        <v>1991</v>
      </c>
    </row>
    <row r="897" spans="1:4" ht="19.95" customHeight="1" x14ac:dyDescent="0.25">
      <c r="A897" s="17" t="s">
        <v>37</v>
      </c>
      <c r="B897" s="18" t="s">
        <v>44</v>
      </c>
      <c r="C897" s="18">
        <v>1641319000</v>
      </c>
      <c r="D897" s="18">
        <v>1991</v>
      </c>
    </row>
    <row r="898" spans="1:4" ht="19.95" customHeight="1" x14ac:dyDescent="0.25">
      <c r="A898" s="17" t="s">
        <v>38</v>
      </c>
      <c r="B898" s="18" t="s">
        <v>44</v>
      </c>
      <c r="C898" s="18">
        <v>1109167000</v>
      </c>
      <c r="D898" s="18">
        <v>1991</v>
      </c>
    </row>
    <row r="899" spans="1:4" ht="19.95" customHeight="1" x14ac:dyDescent="0.25">
      <c r="A899" s="17" t="s">
        <v>39</v>
      </c>
      <c r="B899" s="18" t="s">
        <v>44</v>
      </c>
      <c r="C899" s="18">
        <v>866228000</v>
      </c>
      <c r="D899" s="18">
        <v>1991</v>
      </c>
    </row>
    <row r="900" spans="1:4" ht="19.95" customHeight="1" x14ac:dyDescent="0.25">
      <c r="A900" s="17" t="s">
        <v>40</v>
      </c>
      <c r="B900" s="18" t="s">
        <v>44</v>
      </c>
      <c r="C900" s="18">
        <v>477389000</v>
      </c>
      <c r="D900" s="18">
        <v>1991</v>
      </c>
    </row>
    <row r="901" spans="1:4" ht="19.95" customHeight="1" x14ac:dyDescent="0.25">
      <c r="A901" s="17" t="s">
        <v>10</v>
      </c>
      <c r="B901" s="18" t="s">
        <v>44</v>
      </c>
      <c r="C901" s="18">
        <v>472858000</v>
      </c>
      <c r="D901" s="18">
        <v>1992</v>
      </c>
    </row>
    <row r="902" spans="1:4" ht="19.95" customHeight="1" x14ac:dyDescent="0.25">
      <c r="A902" s="17" t="s">
        <v>13</v>
      </c>
      <c r="B902" s="18" t="s">
        <v>44</v>
      </c>
      <c r="C902" s="18">
        <v>954997000</v>
      </c>
      <c r="D902" s="18">
        <v>1992</v>
      </c>
    </row>
    <row r="903" spans="1:4" ht="19.95" customHeight="1" x14ac:dyDescent="0.25">
      <c r="A903" s="17" t="s">
        <v>16</v>
      </c>
      <c r="B903" s="18" t="s">
        <v>44</v>
      </c>
      <c r="C903" s="18">
        <v>259151000</v>
      </c>
      <c r="D903" s="18">
        <v>1992</v>
      </c>
    </row>
    <row r="904" spans="1:4" ht="19.95" customHeight="1" x14ac:dyDescent="0.25">
      <c r="A904" s="17" t="s">
        <v>15</v>
      </c>
      <c r="B904" s="18" t="s">
        <v>44</v>
      </c>
      <c r="C904" s="18">
        <v>40077000</v>
      </c>
      <c r="D904" s="18">
        <v>1992</v>
      </c>
    </row>
    <row r="905" spans="1:4" ht="19.95" customHeight="1" x14ac:dyDescent="0.25">
      <c r="A905" s="17" t="s">
        <v>17</v>
      </c>
      <c r="B905" s="18" t="s">
        <v>44</v>
      </c>
      <c r="C905" s="18">
        <v>36047000</v>
      </c>
      <c r="D905" s="18">
        <v>1992</v>
      </c>
    </row>
    <row r="906" spans="1:4" ht="19.95" customHeight="1" x14ac:dyDescent="0.25">
      <c r="A906" s="17" t="s">
        <v>18</v>
      </c>
      <c r="B906" s="18" t="s">
        <v>44</v>
      </c>
      <c r="C906" s="18">
        <v>976039000</v>
      </c>
      <c r="D906" s="18">
        <v>1992</v>
      </c>
    </row>
    <row r="907" spans="1:4" ht="19.95" customHeight="1" x14ac:dyDescent="0.25">
      <c r="A907" s="17" t="s">
        <v>19</v>
      </c>
      <c r="B907" s="18" t="s">
        <v>44</v>
      </c>
      <c r="C907" s="18">
        <v>547771000</v>
      </c>
      <c r="D907" s="18">
        <v>1992</v>
      </c>
    </row>
    <row r="908" spans="1:4" ht="19.95" customHeight="1" x14ac:dyDescent="0.25">
      <c r="A908" s="17" t="s">
        <v>20</v>
      </c>
      <c r="B908" s="18" t="s">
        <v>44</v>
      </c>
      <c r="C908" s="18">
        <v>343517000</v>
      </c>
      <c r="D908" s="18">
        <v>1992</v>
      </c>
    </row>
    <row r="909" spans="1:4" ht="19.95" customHeight="1" x14ac:dyDescent="0.25">
      <c r="A909" s="17" t="s">
        <v>21</v>
      </c>
      <c r="B909" s="18" t="s">
        <v>44</v>
      </c>
      <c r="C909" s="18">
        <v>2066801000</v>
      </c>
      <c r="D909" s="18">
        <v>1992</v>
      </c>
    </row>
    <row r="910" spans="1:4" ht="19.95" customHeight="1" x14ac:dyDescent="0.25">
      <c r="A910" s="17" t="s">
        <v>22</v>
      </c>
      <c r="B910" s="18" t="s">
        <v>44</v>
      </c>
      <c r="C910" s="18">
        <v>0</v>
      </c>
      <c r="D910" s="18">
        <v>1992</v>
      </c>
    </row>
    <row r="911" spans="1:4" ht="19.95" customHeight="1" x14ac:dyDescent="0.25">
      <c r="A911" s="17" t="s">
        <v>23</v>
      </c>
      <c r="B911" s="18" t="s">
        <v>44</v>
      </c>
      <c r="C911" s="18">
        <v>241711000</v>
      </c>
      <c r="D911" s="18">
        <v>1992</v>
      </c>
    </row>
    <row r="912" spans="1:4" ht="19.95" customHeight="1" x14ac:dyDescent="0.25">
      <c r="A912" s="17" t="s">
        <v>24</v>
      </c>
      <c r="B912" s="18" t="s">
        <v>44</v>
      </c>
      <c r="C912" s="18">
        <v>906573000</v>
      </c>
      <c r="D912" s="18">
        <v>1992</v>
      </c>
    </row>
    <row r="913" spans="1:4" ht="19.95" customHeight="1" x14ac:dyDescent="0.25">
      <c r="A913" s="17" t="s">
        <v>25</v>
      </c>
      <c r="B913" s="18" t="s">
        <v>44</v>
      </c>
      <c r="C913" s="18">
        <v>993291000</v>
      </c>
      <c r="D913" s="18">
        <v>1992</v>
      </c>
    </row>
    <row r="914" spans="1:4" ht="19.95" customHeight="1" x14ac:dyDescent="0.25">
      <c r="A914" s="17" t="s">
        <v>26</v>
      </c>
      <c r="B914" s="18" t="s">
        <v>44</v>
      </c>
      <c r="C914" s="18">
        <v>611063000</v>
      </c>
      <c r="D914" s="18">
        <v>1992</v>
      </c>
    </row>
    <row r="915" spans="1:4" ht="19.95" customHeight="1" x14ac:dyDescent="0.25">
      <c r="A915" s="17" t="s">
        <v>27</v>
      </c>
      <c r="B915" s="18" t="s">
        <v>44</v>
      </c>
      <c r="C915" s="18">
        <v>0</v>
      </c>
      <c r="D915" s="18">
        <v>1992</v>
      </c>
    </row>
    <row r="916" spans="1:4" ht="19.95" customHeight="1" x14ac:dyDescent="0.25">
      <c r="A916" s="17" t="s">
        <v>28</v>
      </c>
      <c r="B916" s="18" t="s">
        <v>44</v>
      </c>
      <c r="C916" s="18">
        <v>417388000</v>
      </c>
      <c r="D916" s="18">
        <v>1992</v>
      </c>
    </row>
    <row r="917" spans="1:4" ht="19.95" customHeight="1" x14ac:dyDescent="0.25">
      <c r="A917" s="17" t="s">
        <v>29</v>
      </c>
      <c r="B917" s="18" t="s">
        <v>44</v>
      </c>
      <c r="C917" s="18">
        <v>764996000</v>
      </c>
      <c r="D917" s="18">
        <v>1992</v>
      </c>
    </row>
    <row r="918" spans="1:4" ht="19.95" customHeight="1" x14ac:dyDescent="0.25">
      <c r="A918" s="17" t="s">
        <v>31</v>
      </c>
      <c r="B918" s="18" t="s">
        <v>44</v>
      </c>
      <c r="C918" s="18">
        <v>764881000</v>
      </c>
      <c r="D918" s="18">
        <v>1992</v>
      </c>
    </row>
    <row r="919" spans="1:4" ht="19.95" customHeight="1" x14ac:dyDescent="0.25">
      <c r="A919" s="17" t="s">
        <v>32</v>
      </c>
      <c r="B919" s="18" t="s">
        <v>44</v>
      </c>
      <c r="C919" s="18">
        <v>285832000</v>
      </c>
      <c r="D919" s="18">
        <v>1992</v>
      </c>
    </row>
    <row r="920" spans="1:4" ht="19.95" customHeight="1" x14ac:dyDescent="0.25">
      <c r="A920" s="17" t="s">
        <v>33</v>
      </c>
      <c r="B920" s="18" t="s">
        <v>44</v>
      </c>
      <c r="C920" s="18">
        <v>483200000</v>
      </c>
      <c r="D920" s="18">
        <v>1992</v>
      </c>
    </row>
    <row r="921" spans="1:4" ht="19.95" customHeight="1" x14ac:dyDescent="0.25">
      <c r="A921" s="17" t="s">
        <v>34</v>
      </c>
      <c r="B921" s="18" t="s">
        <v>44</v>
      </c>
      <c r="C921" s="18">
        <v>408155000</v>
      </c>
      <c r="D921" s="18">
        <v>1992</v>
      </c>
    </row>
    <row r="922" spans="1:4" ht="19.95" customHeight="1" x14ac:dyDescent="0.25">
      <c r="A922" s="17" t="s">
        <v>35</v>
      </c>
      <c r="B922" s="18" t="s">
        <v>44</v>
      </c>
      <c r="C922" s="18">
        <v>33583000</v>
      </c>
      <c r="D922" s="18">
        <v>1992</v>
      </c>
    </row>
    <row r="923" spans="1:4" ht="19.95" customHeight="1" x14ac:dyDescent="0.25">
      <c r="A923" s="17" t="s">
        <v>2</v>
      </c>
      <c r="B923" s="18" t="s">
        <v>44</v>
      </c>
      <c r="C923" s="18">
        <v>1160442000</v>
      </c>
      <c r="D923" s="18">
        <v>1992</v>
      </c>
    </row>
    <row r="924" spans="1:4" ht="19.95" customHeight="1" x14ac:dyDescent="0.25">
      <c r="A924" s="17" t="s">
        <v>36</v>
      </c>
      <c r="B924" s="18" t="s">
        <v>44</v>
      </c>
      <c r="C924" s="18">
        <v>0</v>
      </c>
      <c r="D924" s="18">
        <v>1992</v>
      </c>
    </row>
    <row r="925" spans="1:4" ht="19.95" customHeight="1" x14ac:dyDescent="0.25">
      <c r="A925" s="17" t="s">
        <v>37</v>
      </c>
      <c r="B925" s="18" t="s">
        <v>44</v>
      </c>
      <c r="C925" s="18">
        <v>1789138000</v>
      </c>
      <c r="D925" s="18">
        <v>1992</v>
      </c>
    </row>
    <row r="926" spans="1:4" ht="19.95" customHeight="1" x14ac:dyDescent="0.25">
      <c r="A926" s="17" t="s">
        <v>38</v>
      </c>
      <c r="B926" s="18" t="s">
        <v>44</v>
      </c>
      <c r="C926" s="18">
        <v>1209186000</v>
      </c>
      <c r="D926" s="18">
        <v>1992</v>
      </c>
    </row>
    <row r="927" spans="1:4" ht="19.95" customHeight="1" x14ac:dyDescent="0.25">
      <c r="A927" s="17" t="s">
        <v>39</v>
      </c>
      <c r="B927" s="18" t="s">
        <v>44</v>
      </c>
      <c r="C927" s="18">
        <v>932078000</v>
      </c>
      <c r="D927" s="18">
        <v>1992</v>
      </c>
    </row>
    <row r="928" spans="1:4" ht="19.95" customHeight="1" x14ac:dyDescent="0.25">
      <c r="A928" s="17" t="s">
        <v>40</v>
      </c>
      <c r="B928" s="18" t="s">
        <v>44</v>
      </c>
      <c r="C928" s="18">
        <v>579075000</v>
      </c>
      <c r="D928" s="18">
        <v>1992</v>
      </c>
    </row>
    <row r="929" spans="1:4" ht="19.95" customHeight="1" x14ac:dyDescent="0.25">
      <c r="A929" s="17" t="s">
        <v>10</v>
      </c>
      <c r="B929" s="18" t="s">
        <v>44</v>
      </c>
      <c r="C929" s="18">
        <v>508720000</v>
      </c>
      <c r="D929" s="18">
        <v>1993</v>
      </c>
    </row>
    <row r="930" spans="1:4" ht="19.95" customHeight="1" x14ac:dyDescent="0.25">
      <c r="A930" s="17" t="s">
        <v>13</v>
      </c>
      <c r="B930" s="18" t="s">
        <v>44</v>
      </c>
      <c r="C930" s="18">
        <v>933520000</v>
      </c>
      <c r="D930" s="18">
        <v>1993</v>
      </c>
    </row>
    <row r="931" spans="1:4" ht="19.95" customHeight="1" x14ac:dyDescent="0.25">
      <c r="A931" s="17" t="s">
        <v>16</v>
      </c>
      <c r="B931" s="18" t="s">
        <v>44</v>
      </c>
      <c r="C931" s="18">
        <v>283980000</v>
      </c>
      <c r="D931" s="18">
        <v>1993</v>
      </c>
    </row>
    <row r="932" spans="1:4" ht="19.95" customHeight="1" x14ac:dyDescent="0.25">
      <c r="A932" s="17" t="s">
        <v>15</v>
      </c>
      <c r="B932" s="18" t="s">
        <v>44</v>
      </c>
      <c r="C932" s="18">
        <v>44788000</v>
      </c>
      <c r="D932" s="18">
        <v>1993</v>
      </c>
    </row>
    <row r="933" spans="1:4" ht="19.95" customHeight="1" x14ac:dyDescent="0.25">
      <c r="A933" s="17" t="s">
        <v>17</v>
      </c>
      <c r="B933" s="18" t="s">
        <v>44</v>
      </c>
      <c r="C933" s="18">
        <v>39609000</v>
      </c>
      <c r="D933" s="18">
        <v>1993</v>
      </c>
    </row>
    <row r="934" spans="1:4" ht="19.95" customHeight="1" x14ac:dyDescent="0.25">
      <c r="A934" s="17" t="s">
        <v>18</v>
      </c>
      <c r="B934" s="18" t="s">
        <v>44</v>
      </c>
      <c r="C934" s="18">
        <v>1193708000</v>
      </c>
      <c r="D934" s="18">
        <v>1993</v>
      </c>
    </row>
    <row r="935" spans="1:4" ht="19.95" customHeight="1" x14ac:dyDescent="0.25">
      <c r="A935" s="17" t="s">
        <v>19</v>
      </c>
      <c r="B935" s="18" t="s">
        <v>44</v>
      </c>
      <c r="C935" s="18">
        <v>680808000</v>
      </c>
      <c r="D935" s="18">
        <v>1993</v>
      </c>
    </row>
    <row r="936" spans="1:4" ht="19.95" customHeight="1" x14ac:dyDescent="0.25">
      <c r="A936" s="17" t="s">
        <v>20</v>
      </c>
      <c r="B936" s="18" t="s">
        <v>44</v>
      </c>
      <c r="C936" s="18">
        <v>337325000</v>
      </c>
      <c r="D936" s="18">
        <v>1993</v>
      </c>
    </row>
    <row r="937" spans="1:4" ht="19.95" customHeight="1" x14ac:dyDescent="0.25">
      <c r="A937" s="17" t="s">
        <v>21</v>
      </c>
      <c r="B937" s="18" t="s">
        <v>44</v>
      </c>
      <c r="C937" s="18">
        <v>2197331000</v>
      </c>
      <c r="D937" s="18">
        <v>1993</v>
      </c>
    </row>
    <row r="938" spans="1:4" ht="19.95" customHeight="1" x14ac:dyDescent="0.25">
      <c r="A938" s="17" t="s">
        <v>22</v>
      </c>
      <c r="B938" s="18" t="s">
        <v>44</v>
      </c>
      <c r="C938" s="18">
        <v>0</v>
      </c>
      <c r="D938" s="18">
        <v>1993</v>
      </c>
    </row>
    <row r="939" spans="1:4" ht="19.95" customHeight="1" x14ac:dyDescent="0.25">
      <c r="A939" s="17" t="s">
        <v>23</v>
      </c>
      <c r="B939" s="18" t="s">
        <v>44</v>
      </c>
      <c r="C939" s="18">
        <v>244592000</v>
      </c>
      <c r="D939" s="18">
        <v>1993</v>
      </c>
    </row>
    <row r="940" spans="1:4" ht="19.95" customHeight="1" x14ac:dyDescent="0.25">
      <c r="A940" s="17" t="s">
        <v>24</v>
      </c>
      <c r="B940" s="18" t="s">
        <v>44</v>
      </c>
      <c r="C940" s="18">
        <v>948343000</v>
      </c>
      <c r="D940" s="18">
        <v>1993</v>
      </c>
    </row>
    <row r="941" spans="1:4" ht="19.95" customHeight="1" x14ac:dyDescent="0.25">
      <c r="A941" s="17" t="s">
        <v>25</v>
      </c>
      <c r="B941" s="18" t="s">
        <v>44</v>
      </c>
      <c r="C941" s="18">
        <v>1129436000</v>
      </c>
      <c r="D941" s="18">
        <v>1993</v>
      </c>
    </row>
    <row r="942" spans="1:4" ht="19.95" customHeight="1" x14ac:dyDescent="0.25">
      <c r="A942" s="17" t="s">
        <v>26</v>
      </c>
      <c r="B942" s="18" t="s">
        <v>44</v>
      </c>
      <c r="C942" s="18">
        <v>655665000</v>
      </c>
      <c r="D942" s="18">
        <v>1993</v>
      </c>
    </row>
    <row r="943" spans="1:4" ht="19.95" customHeight="1" x14ac:dyDescent="0.25">
      <c r="A943" s="17" t="s">
        <v>27</v>
      </c>
      <c r="B943" s="18" t="s">
        <v>44</v>
      </c>
      <c r="C943" s="18">
        <v>28112000</v>
      </c>
      <c r="D943" s="18">
        <v>1993</v>
      </c>
    </row>
    <row r="944" spans="1:4" ht="19.95" customHeight="1" x14ac:dyDescent="0.25">
      <c r="A944" s="17" t="s">
        <v>28</v>
      </c>
      <c r="B944" s="18" t="s">
        <v>44</v>
      </c>
      <c r="C944" s="18">
        <v>511801000</v>
      </c>
      <c r="D944" s="18">
        <v>1993</v>
      </c>
    </row>
    <row r="945" spans="1:4" ht="19.95" customHeight="1" x14ac:dyDescent="0.25">
      <c r="A945" s="17" t="s">
        <v>29</v>
      </c>
      <c r="B945" s="18" t="s">
        <v>44</v>
      </c>
      <c r="C945" s="18">
        <v>321475000</v>
      </c>
      <c r="D945" s="18">
        <v>1993</v>
      </c>
    </row>
    <row r="946" spans="1:4" ht="19.95" customHeight="1" x14ac:dyDescent="0.25">
      <c r="A946" s="17" t="s">
        <v>31</v>
      </c>
      <c r="B946" s="18" t="s">
        <v>44</v>
      </c>
      <c r="C946" s="18">
        <v>832048000</v>
      </c>
      <c r="D946" s="18">
        <v>1993</v>
      </c>
    </row>
    <row r="947" spans="1:4" ht="19.95" customHeight="1" x14ac:dyDescent="0.25">
      <c r="A947" s="17" t="s">
        <v>32</v>
      </c>
      <c r="B947" s="18" t="s">
        <v>44</v>
      </c>
      <c r="C947" s="18">
        <v>282797000</v>
      </c>
      <c r="D947" s="18">
        <v>1993</v>
      </c>
    </row>
    <row r="948" spans="1:4" ht="19.95" customHeight="1" x14ac:dyDescent="0.25">
      <c r="A948" s="17" t="s">
        <v>33</v>
      </c>
      <c r="B948" s="18" t="s">
        <v>44</v>
      </c>
      <c r="C948" s="18">
        <v>503495000</v>
      </c>
      <c r="D948" s="18">
        <v>1993</v>
      </c>
    </row>
    <row r="949" spans="1:4" ht="19.95" customHeight="1" x14ac:dyDescent="0.25">
      <c r="A949" s="17" t="s">
        <v>34</v>
      </c>
      <c r="B949" s="18" t="s">
        <v>44</v>
      </c>
      <c r="C949" s="18">
        <v>445631000</v>
      </c>
      <c r="D949" s="18">
        <v>1993</v>
      </c>
    </row>
    <row r="950" spans="1:4" ht="19.95" customHeight="1" x14ac:dyDescent="0.25">
      <c r="A950" s="17" t="s">
        <v>35</v>
      </c>
      <c r="B950" s="18" t="s">
        <v>44</v>
      </c>
      <c r="C950" s="18">
        <v>38313000</v>
      </c>
      <c r="D950" s="18">
        <v>1993</v>
      </c>
    </row>
    <row r="951" spans="1:4" ht="19.95" customHeight="1" x14ac:dyDescent="0.25">
      <c r="A951" s="17" t="s">
        <v>2</v>
      </c>
      <c r="B951" s="18" t="s">
        <v>44</v>
      </c>
      <c r="C951" s="18">
        <v>1280011000</v>
      </c>
      <c r="D951" s="18">
        <v>1993</v>
      </c>
    </row>
    <row r="952" spans="1:4" ht="19.95" customHeight="1" x14ac:dyDescent="0.25">
      <c r="A952" s="17" t="s">
        <v>36</v>
      </c>
      <c r="B952" s="18" t="s">
        <v>44</v>
      </c>
      <c r="C952" s="18">
        <v>0</v>
      </c>
      <c r="D952" s="18">
        <v>1993</v>
      </c>
    </row>
    <row r="953" spans="1:4" ht="19.95" customHeight="1" x14ac:dyDescent="0.25">
      <c r="A953" s="17" t="s">
        <v>37</v>
      </c>
      <c r="B953" s="18" t="s">
        <v>44</v>
      </c>
      <c r="C953" s="18">
        <v>1898460000</v>
      </c>
      <c r="D953" s="18">
        <v>1993</v>
      </c>
    </row>
    <row r="954" spans="1:4" ht="19.95" customHeight="1" x14ac:dyDescent="0.25">
      <c r="A954" s="17" t="s">
        <v>38</v>
      </c>
      <c r="B954" s="18" t="s">
        <v>44</v>
      </c>
      <c r="C954" s="18">
        <v>1342224000</v>
      </c>
      <c r="D954" s="18">
        <v>1993</v>
      </c>
    </row>
    <row r="955" spans="1:4" ht="19.95" customHeight="1" x14ac:dyDescent="0.25">
      <c r="A955" s="17" t="s">
        <v>39</v>
      </c>
      <c r="B955" s="18" t="s">
        <v>44</v>
      </c>
      <c r="C955" s="18">
        <v>1057474000</v>
      </c>
      <c r="D955" s="18">
        <v>1993</v>
      </c>
    </row>
    <row r="956" spans="1:4" ht="19.95" customHeight="1" x14ac:dyDescent="0.25">
      <c r="A956" s="17" t="s">
        <v>40</v>
      </c>
      <c r="B956" s="18" t="s">
        <v>44</v>
      </c>
      <c r="C956" s="18">
        <v>727831000</v>
      </c>
      <c r="D956" s="18">
        <v>1993</v>
      </c>
    </row>
    <row r="957" spans="1:4" ht="19.95" customHeight="1" x14ac:dyDescent="0.25">
      <c r="A957" s="17" t="s">
        <v>10</v>
      </c>
      <c r="B957" s="18" t="s">
        <v>44</v>
      </c>
      <c r="C957" s="18">
        <v>555596000</v>
      </c>
      <c r="D957" s="18">
        <v>1994</v>
      </c>
    </row>
    <row r="958" spans="1:4" ht="19.95" customHeight="1" x14ac:dyDescent="0.25">
      <c r="A958" s="17" t="s">
        <v>13</v>
      </c>
      <c r="B958" s="18" t="s">
        <v>44</v>
      </c>
      <c r="C958" s="18">
        <v>1100375000</v>
      </c>
      <c r="D958" s="18">
        <v>1994</v>
      </c>
    </row>
    <row r="959" spans="1:4" ht="19.95" customHeight="1" x14ac:dyDescent="0.25">
      <c r="A959" s="17" t="s">
        <v>16</v>
      </c>
      <c r="B959" s="18" t="s">
        <v>44</v>
      </c>
      <c r="C959" s="18">
        <v>331951000</v>
      </c>
      <c r="D959" s="18">
        <v>1994</v>
      </c>
    </row>
    <row r="960" spans="1:4" ht="19.95" customHeight="1" x14ac:dyDescent="0.25">
      <c r="A960" s="17" t="s">
        <v>15</v>
      </c>
      <c r="B960" s="18" t="s">
        <v>44</v>
      </c>
      <c r="C960" s="18">
        <v>53857000</v>
      </c>
      <c r="D960" s="18">
        <v>1994</v>
      </c>
    </row>
    <row r="961" spans="1:4" ht="19.95" customHeight="1" x14ac:dyDescent="0.25">
      <c r="A961" s="17" t="s">
        <v>17</v>
      </c>
      <c r="B961" s="18" t="s">
        <v>44</v>
      </c>
      <c r="C961" s="18">
        <v>42766000</v>
      </c>
      <c r="D961" s="18">
        <v>1994</v>
      </c>
    </row>
    <row r="962" spans="1:4" ht="19.95" customHeight="1" x14ac:dyDescent="0.25">
      <c r="A962" s="17" t="s">
        <v>18</v>
      </c>
      <c r="B962" s="18" t="s">
        <v>44</v>
      </c>
      <c r="C962" s="18">
        <v>1376270000</v>
      </c>
      <c r="D962" s="18">
        <v>1994</v>
      </c>
    </row>
    <row r="963" spans="1:4" ht="19.95" customHeight="1" x14ac:dyDescent="0.25">
      <c r="A963" s="17" t="s">
        <v>19</v>
      </c>
      <c r="B963" s="18" t="s">
        <v>44</v>
      </c>
      <c r="C963" s="18">
        <v>773128000</v>
      </c>
      <c r="D963" s="18">
        <v>1994</v>
      </c>
    </row>
    <row r="964" spans="1:4" ht="19.95" customHeight="1" x14ac:dyDescent="0.25">
      <c r="A964" s="17" t="s">
        <v>20</v>
      </c>
      <c r="B964" s="18" t="s">
        <v>44</v>
      </c>
      <c r="C964" s="18">
        <v>346153000</v>
      </c>
      <c r="D964" s="18">
        <v>1994</v>
      </c>
    </row>
    <row r="965" spans="1:4" ht="19.95" customHeight="1" x14ac:dyDescent="0.25">
      <c r="A965" s="17" t="s">
        <v>21</v>
      </c>
      <c r="B965" s="18" t="s">
        <v>44</v>
      </c>
      <c r="C965" s="18">
        <v>2290075000</v>
      </c>
      <c r="D965" s="18">
        <v>1994</v>
      </c>
    </row>
    <row r="966" spans="1:4" ht="19.95" customHeight="1" x14ac:dyDescent="0.25">
      <c r="A966" s="17" t="s">
        <v>22</v>
      </c>
      <c r="B966" s="18" t="s">
        <v>44</v>
      </c>
      <c r="C966" s="18">
        <v>0</v>
      </c>
      <c r="D966" s="18">
        <v>1994</v>
      </c>
    </row>
    <row r="967" spans="1:4" ht="19.95" customHeight="1" x14ac:dyDescent="0.25">
      <c r="A967" s="17" t="s">
        <v>23</v>
      </c>
      <c r="B967" s="18" t="s">
        <v>44</v>
      </c>
      <c r="C967" s="18">
        <v>257666000</v>
      </c>
      <c r="D967" s="18">
        <v>1994</v>
      </c>
    </row>
    <row r="968" spans="1:4" ht="19.95" customHeight="1" x14ac:dyDescent="0.25">
      <c r="A968" s="17" t="s">
        <v>24</v>
      </c>
      <c r="B968" s="18" t="s">
        <v>44</v>
      </c>
      <c r="C968" s="18">
        <v>1035458000</v>
      </c>
      <c r="D968" s="18">
        <v>1994</v>
      </c>
    </row>
    <row r="969" spans="1:4" ht="19.95" customHeight="1" x14ac:dyDescent="0.25">
      <c r="A969" s="17" t="s">
        <v>25</v>
      </c>
      <c r="B969" s="18" t="s">
        <v>44</v>
      </c>
      <c r="C969" s="18">
        <v>1224827000</v>
      </c>
      <c r="D969" s="18">
        <v>1994</v>
      </c>
    </row>
    <row r="970" spans="1:4" ht="19.95" customHeight="1" x14ac:dyDescent="0.25">
      <c r="A970" s="17" t="s">
        <v>26</v>
      </c>
      <c r="B970" s="18" t="s">
        <v>44</v>
      </c>
      <c r="C970" s="18">
        <v>769591000</v>
      </c>
      <c r="D970" s="18">
        <v>1994</v>
      </c>
    </row>
    <row r="971" spans="1:4" ht="19.95" customHeight="1" x14ac:dyDescent="0.25">
      <c r="A971" s="17" t="s">
        <v>27</v>
      </c>
      <c r="B971" s="18" t="s">
        <v>44</v>
      </c>
      <c r="C971" s="18">
        <v>98796000</v>
      </c>
      <c r="D971" s="18">
        <v>1994</v>
      </c>
    </row>
    <row r="972" spans="1:4" ht="19.95" customHeight="1" x14ac:dyDescent="0.25">
      <c r="A972" s="17" t="s">
        <v>28</v>
      </c>
      <c r="B972" s="18" t="s">
        <v>44</v>
      </c>
      <c r="C972" s="18">
        <v>714316000</v>
      </c>
      <c r="D972" s="18">
        <v>1994</v>
      </c>
    </row>
    <row r="973" spans="1:4" ht="19.95" customHeight="1" x14ac:dyDescent="0.25">
      <c r="A973" s="17" t="s">
        <v>29</v>
      </c>
      <c r="B973" s="18" t="s">
        <v>44</v>
      </c>
      <c r="C973" s="18">
        <v>817495000</v>
      </c>
      <c r="D973" s="18">
        <v>1994</v>
      </c>
    </row>
    <row r="974" spans="1:4" ht="19.95" customHeight="1" x14ac:dyDescent="0.25">
      <c r="A974" s="17" t="s">
        <v>31</v>
      </c>
      <c r="B974" s="18" t="s">
        <v>44</v>
      </c>
      <c r="C974" s="18">
        <v>931462000</v>
      </c>
      <c r="D974" s="18">
        <v>1994</v>
      </c>
    </row>
    <row r="975" spans="1:4" ht="19.95" customHeight="1" x14ac:dyDescent="0.25">
      <c r="A975" s="17" t="s">
        <v>32</v>
      </c>
      <c r="B975" s="18" t="s">
        <v>44</v>
      </c>
      <c r="C975" s="18">
        <v>329816000</v>
      </c>
      <c r="D975" s="18">
        <v>1994</v>
      </c>
    </row>
    <row r="976" spans="1:4" ht="19.95" customHeight="1" x14ac:dyDescent="0.25">
      <c r="A976" s="17" t="s">
        <v>33</v>
      </c>
      <c r="B976" s="18" t="s">
        <v>44</v>
      </c>
      <c r="C976" s="18">
        <v>565349000</v>
      </c>
      <c r="D976" s="18">
        <v>1994</v>
      </c>
    </row>
    <row r="977" spans="1:4" ht="19.95" customHeight="1" x14ac:dyDescent="0.25">
      <c r="A977" s="17" t="s">
        <v>34</v>
      </c>
      <c r="B977" s="18" t="s">
        <v>44</v>
      </c>
      <c r="C977" s="18">
        <v>474188000</v>
      </c>
      <c r="D977" s="18">
        <v>1994</v>
      </c>
    </row>
    <row r="978" spans="1:4" ht="19.95" customHeight="1" x14ac:dyDescent="0.25">
      <c r="A978" s="17" t="s">
        <v>35</v>
      </c>
      <c r="B978" s="18" t="s">
        <v>44</v>
      </c>
      <c r="C978" s="18">
        <v>46858000</v>
      </c>
      <c r="D978" s="18">
        <v>1994</v>
      </c>
    </row>
    <row r="979" spans="1:4" ht="19.95" customHeight="1" x14ac:dyDescent="0.25">
      <c r="A979" s="17" t="s">
        <v>2</v>
      </c>
      <c r="B979" s="18" t="s">
        <v>44</v>
      </c>
      <c r="C979" s="18">
        <v>1392843000</v>
      </c>
      <c r="D979" s="18">
        <v>1994</v>
      </c>
    </row>
    <row r="980" spans="1:4" ht="19.95" customHeight="1" x14ac:dyDescent="0.25">
      <c r="A980" s="17" t="s">
        <v>36</v>
      </c>
      <c r="B980" s="18" t="s">
        <v>44</v>
      </c>
      <c r="C980" s="18">
        <v>0</v>
      </c>
      <c r="D980" s="18">
        <v>1994</v>
      </c>
    </row>
    <row r="981" spans="1:4" ht="19.95" customHeight="1" x14ac:dyDescent="0.25">
      <c r="A981" s="17" t="s">
        <v>37</v>
      </c>
      <c r="B981" s="18" t="s">
        <v>44</v>
      </c>
      <c r="C981" s="18">
        <v>2112303000</v>
      </c>
      <c r="D981" s="18">
        <v>1994</v>
      </c>
    </row>
    <row r="982" spans="1:4" ht="19.95" customHeight="1" x14ac:dyDescent="0.25">
      <c r="A982" s="17" t="s">
        <v>38</v>
      </c>
      <c r="B982" s="18" t="s">
        <v>44</v>
      </c>
      <c r="C982" s="18">
        <v>1614854000</v>
      </c>
      <c r="D982" s="18">
        <v>1994</v>
      </c>
    </row>
    <row r="983" spans="1:4" ht="19.95" customHeight="1" x14ac:dyDescent="0.25">
      <c r="A983" s="17" t="s">
        <v>39</v>
      </c>
      <c r="B983" s="18" t="s">
        <v>44</v>
      </c>
      <c r="C983" s="18">
        <v>1243586000</v>
      </c>
      <c r="D983" s="18">
        <v>1994</v>
      </c>
    </row>
    <row r="984" spans="1:4" ht="19.95" customHeight="1" x14ac:dyDescent="0.25">
      <c r="A984" s="17" t="s">
        <v>40</v>
      </c>
      <c r="B984" s="18" t="s">
        <v>44</v>
      </c>
      <c r="C984" s="18">
        <v>869427000</v>
      </c>
      <c r="D984" s="18">
        <v>1994</v>
      </c>
    </row>
    <row r="985" spans="1:4" ht="19.95" customHeight="1" x14ac:dyDescent="0.25">
      <c r="A985" s="17" t="s">
        <v>10</v>
      </c>
      <c r="B985" s="18" t="s">
        <v>44</v>
      </c>
      <c r="C985" s="18">
        <v>591412000</v>
      </c>
      <c r="D985" s="18">
        <v>1995</v>
      </c>
    </row>
    <row r="986" spans="1:4" ht="19.95" customHeight="1" x14ac:dyDescent="0.25">
      <c r="A986" s="17" t="s">
        <v>13</v>
      </c>
      <c r="B986" s="18" t="s">
        <v>44</v>
      </c>
      <c r="C986" s="18">
        <v>1081821000</v>
      </c>
      <c r="D986" s="18">
        <v>1995</v>
      </c>
    </row>
    <row r="987" spans="1:4" ht="19.95" customHeight="1" x14ac:dyDescent="0.25">
      <c r="A987" s="17" t="s">
        <v>16</v>
      </c>
      <c r="B987" s="18" t="s">
        <v>44</v>
      </c>
      <c r="C987" s="18">
        <v>378832000</v>
      </c>
      <c r="D987" s="18">
        <v>1995</v>
      </c>
    </row>
    <row r="988" spans="1:4" ht="19.95" customHeight="1" x14ac:dyDescent="0.25">
      <c r="A988" s="17" t="s">
        <v>15</v>
      </c>
      <c r="B988" s="18" t="s">
        <v>44</v>
      </c>
      <c r="C988" s="18">
        <v>64053000</v>
      </c>
      <c r="D988" s="18">
        <v>1995</v>
      </c>
    </row>
    <row r="989" spans="1:4" ht="19.95" customHeight="1" x14ac:dyDescent="0.25">
      <c r="A989" s="17" t="s">
        <v>17</v>
      </c>
      <c r="B989" s="18" t="s">
        <v>44</v>
      </c>
      <c r="C989" s="18">
        <v>46242000</v>
      </c>
      <c r="D989" s="18">
        <v>1995</v>
      </c>
    </row>
    <row r="990" spans="1:4" ht="19.95" customHeight="1" x14ac:dyDescent="0.25">
      <c r="A990" s="17" t="s">
        <v>18</v>
      </c>
      <c r="B990" s="18" t="s">
        <v>44</v>
      </c>
      <c r="C990" s="18">
        <v>1469574000</v>
      </c>
      <c r="D990" s="18">
        <v>1995</v>
      </c>
    </row>
    <row r="991" spans="1:4" ht="19.95" customHeight="1" x14ac:dyDescent="0.25">
      <c r="A991" s="17" t="s">
        <v>19</v>
      </c>
      <c r="B991" s="18" t="s">
        <v>44</v>
      </c>
      <c r="C991" s="18">
        <v>847047000</v>
      </c>
      <c r="D991" s="18">
        <v>1995</v>
      </c>
    </row>
    <row r="992" spans="1:4" ht="19.95" customHeight="1" x14ac:dyDescent="0.25">
      <c r="A992" s="17" t="s">
        <v>20</v>
      </c>
      <c r="B992" s="18" t="s">
        <v>44</v>
      </c>
      <c r="C992" s="18">
        <v>389384000</v>
      </c>
      <c r="D992" s="18">
        <v>1995</v>
      </c>
    </row>
    <row r="993" spans="1:4" ht="19.95" customHeight="1" x14ac:dyDescent="0.25">
      <c r="A993" s="17" t="s">
        <v>21</v>
      </c>
      <c r="B993" s="18" t="s">
        <v>44</v>
      </c>
      <c r="C993" s="18">
        <v>2411887000</v>
      </c>
      <c r="D993" s="18">
        <v>1995</v>
      </c>
    </row>
    <row r="994" spans="1:4" ht="19.95" customHeight="1" x14ac:dyDescent="0.25">
      <c r="A994" s="17" t="s">
        <v>22</v>
      </c>
      <c r="B994" s="18" t="s">
        <v>44</v>
      </c>
      <c r="C994" s="18">
        <v>0</v>
      </c>
      <c r="D994" s="18">
        <v>1995</v>
      </c>
    </row>
    <row r="995" spans="1:4" ht="19.95" customHeight="1" x14ac:dyDescent="0.25">
      <c r="A995" s="17" t="s">
        <v>23</v>
      </c>
      <c r="B995" s="18" t="s">
        <v>44</v>
      </c>
      <c r="C995" s="18">
        <v>269012000</v>
      </c>
      <c r="D995" s="18">
        <v>1995</v>
      </c>
    </row>
    <row r="996" spans="1:4" ht="19.95" customHeight="1" x14ac:dyDescent="0.25">
      <c r="A996" s="17" t="s">
        <v>24</v>
      </c>
      <c r="B996" s="18" t="s">
        <v>44</v>
      </c>
      <c r="C996" s="18">
        <v>1121416000</v>
      </c>
      <c r="D996" s="18">
        <v>1995</v>
      </c>
    </row>
    <row r="997" spans="1:4" ht="19.95" customHeight="1" x14ac:dyDescent="0.25">
      <c r="A997" s="17" t="s">
        <v>25</v>
      </c>
      <c r="B997" s="18" t="s">
        <v>44</v>
      </c>
      <c r="C997" s="18">
        <v>1306303000</v>
      </c>
      <c r="D997" s="18">
        <v>1995</v>
      </c>
    </row>
    <row r="998" spans="1:4" ht="19.95" customHeight="1" x14ac:dyDescent="0.25">
      <c r="A998" s="17" t="s">
        <v>26</v>
      </c>
      <c r="B998" s="18" t="s">
        <v>44</v>
      </c>
      <c r="C998" s="18">
        <v>862998000</v>
      </c>
      <c r="D998" s="18">
        <v>1995</v>
      </c>
    </row>
    <row r="999" spans="1:4" ht="19.95" customHeight="1" x14ac:dyDescent="0.25">
      <c r="A999" s="17" t="s">
        <v>27</v>
      </c>
      <c r="B999" s="18" t="s">
        <v>44</v>
      </c>
      <c r="C999" s="18">
        <v>152402000</v>
      </c>
      <c r="D999" s="18">
        <v>1995</v>
      </c>
    </row>
    <row r="1000" spans="1:4" ht="19.95" customHeight="1" x14ac:dyDescent="0.25">
      <c r="A1000" s="17" t="s">
        <v>28</v>
      </c>
      <c r="B1000" s="18" t="s">
        <v>44</v>
      </c>
      <c r="C1000" s="18">
        <v>889657000</v>
      </c>
      <c r="D1000" s="18">
        <v>1995</v>
      </c>
    </row>
    <row r="1001" spans="1:4" ht="19.95" customHeight="1" x14ac:dyDescent="0.25">
      <c r="A1001" s="17" t="s">
        <v>29</v>
      </c>
      <c r="B1001" s="18" t="s">
        <v>44</v>
      </c>
      <c r="C1001" s="18">
        <v>776631000</v>
      </c>
      <c r="D1001" s="18">
        <v>1995</v>
      </c>
    </row>
    <row r="1002" spans="1:4" ht="19.95" customHeight="1" x14ac:dyDescent="0.25">
      <c r="A1002" s="17" t="s">
        <v>31</v>
      </c>
      <c r="B1002" s="18" t="s">
        <v>44</v>
      </c>
      <c r="C1002" s="18">
        <v>1022680000</v>
      </c>
      <c r="D1002" s="18">
        <v>1995</v>
      </c>
    </row>
    <row r="1003" spans="1:4" ht="19.95" customHeight="1" x14ac:dyDescent="0.25">
      <c r="A1003" s="17" t="s">
        <v>32</v>
      </c>
      <c r="B1003" s="18" t="s">
        <v>44</v>
      </c>
      <c r="C1003" s="18">
        <v>341292000</v>
      </c>
      <c r="D1003" s="18">
        <v>1995</v>
      </c>
    </row>
    <row r="1004" spans="1:4" ht="19.95" customHeight="1" x14ac:dyDescent="0.25">
      <c r="A1004" s="17" t="s">
        <v>33</v>
      </c>
      <c r="B1004" s="18" t="s">
        <v>44</v>
      </c>
      <c r="C1004" s="18">
        <v>597925000</v>
      </c>
      <c r="D1004" s="18">
        <v>1995</v>
      </c>
    </row>
    <row r="1005" spans="1:4" ht="19.95" customHeight="1" x14ac:dyDescent="0.25">
      <c r="A1005" s="17" t="s">
        <v>34</v>
      </c>
      <c r="B1005" s="18" t="s">
        <v>44</v>
      </c>
      <c r="C1005" s="18">
        <v>512045000</v>
      </c>
      <c r="D1005" s="18">
        <v>1995</v>
      </c>
    </row>
    <row r="1006" spans="1:4" ht="19.95" customHeight="1" x14ac:dyDescent="0.25">
      <c r="A1006" s="17" t="s">
        <v>35</v>
      </c>
      <c r="B1006" s="18" t="s">
        <v>44</v>
      </c>
      <c r="C1006" s="18">
        <v>53551000</v>
      </c>
      <c r="D1006" s="18">
        <v>1995</v>
      </c>
    </row>
    <row r="1007" spans="1:4" ht="19.95" customHeight="1" x14ac:dyDescent="0.25">
      <c r="A1007" s="17" t="s">
        <v>2</v>
      </c>
      <c r="B1007" s="18" t="s">
        <v>44</v>
      </c>
      <c r="C1007" s="18">
        <v>1511878000</v>
      </c>
      <c r="D1007" s="18">
        <v>1995</v>
      </c>
    </row>
    <row r="1008" spans="1:4" ht="19.95" customHeight="1" x14ac:dyDescent="0.25">
      <c r="A1008" s="17" t="s">
        <v>36</v>
      </c>
      <c r="B1008" s="18" t="s">
        <v>44</v>
      </c>
      <c r="C1008" s="18">
        <v>0</v>
      </c>
      <c r="D1008" s="18">
        <v>1995</v>
      </c>
    </row>
    <row r="1009" spans="1:4" ht="19.95" customHeight="1" x14ac:dyDescent="0.25">
      <c r="A1009" s="17" t="s">
        <v>37</v>
      </c>
      <c r="B1009" s="18" t="s">
        <v>44</v>
      </c>
      <c r="C1009" s="18">
        <v>2269016000</v>
      </c>
      <c r="D1009" s="18">
        <v>1995</v>
      </c>
    </row>
    <row r="1010" spans="1:4" ht="19.95" customHeight="1" x14ac:dyDescent="0.25">
      <c r="A1010" s="17" t="s">
        <v>38</v>
      </c>
      <c r="B1010" s="18" t="s">
        <v>44</v>
      </c>
      <c r="C1010" s="18">
        <v>1792284000</v>
      </c>
      <c r="D1010" s="18">
        <v>1995</v>
      </c>
    </row>
    <row r="1011" spans="1:4" ht="19.95" customHeight="1" x14ac:dyDescent="0.25">
      <c r="A1011" s="17" t="s">
        <v>39</v>
      </c>
      <c r="B1011" s="18" t="s">
        <v>44</v>
      </c>
      <c r="C1011" s="18">
        <v>1433537000</v>
      </c>
      <c r="D1011" s="18">
        <v>1995</v>
      </c>
    </row>
    <row r="1012" spans="1:4" ht="19.95" customHeight="1" x14ac:dyDescent="0.25">
      <c r="A1012" s="17" t="s">
        <v>40</v>
      </c>
      <c r="B1012" s="18" t="s">
        <v>44</v>
      </c>
      <c r="C1012" s="18">
        <v>895506000</v>
      </c>
      <c r="D1012" s="18">
        <v>1995</v>
      </c>
    </row>
    <row r="1013" spans="1:4" ht="19.95" customHeight="1" x14ac:dyDescent="0.25">
      <c r="A1013" s="17" t="s">
        <v>10</v>
      </c>
      <c r="B1013" s="18" t="s">
        <v>44</v>
      </c>
      <c r="C1013" s="18">
        <v>587717000</v>
      </c>
      <c r="D1013" s="18">
        <v>1996</v>
      </c>
    </row>
    <row r="1014" spans="1:4" ht="19.95" customHeight="1" x14ac:dyDescent="0.25">
      <c r="A1014" s="17" t="s">
        <v>13</v>
      </c>
      <c r="B1014" s="18" t="s">
        <v>44</v>
      </c>
      <c r="C1014" s="18">
        <v>1032742000</v>
      </c>
      <c r="D1014" s="18">
        <v>1996</v>
      </c>
    </row>
    <row r="1015" spans="1:4" ht="19.95" customHeight="1" x14ac:dyDescent="0.25">
      <c r="A1015" s="17" t="s">
        <v>16</v>
      </c>
      <c r="B1015" s="18" t="s">
        <v>44</v>
      </c>
      <c r="C1015" s="18">
        <v>432861000</v>
      </c>
      <c r="D1015" s="18">
        <v>1996</v>
      </c>
    </row>
    <row r="1016" spans="1:4" ht="19.95" customHeight="1" x14ac:dyDescent="0.25">
      <c r="A1016" s="17" t="s">
        <v>15</v>
      </c>
      <c r="B1016" s="18" t="s">
        <v>44</v>
      </c>
      <c r="C1016" s="18">
        <v>68151000</v>
      </c>
      <c r="D1016" s="18">
        <v>1996</v>
      </c>
    </row>
    <row r="1017" spans="1:4" ht="19.95" customHeight="1" x14ac:dyDescent="0.25">
      <c r="A1017" s="17" t="s">
        <v>17</v>
      </c>
      <c r="B1017" s="18" t="s">
        <v>44</v>
      </c>
      <c r="C1017" s="18">
        <v>45686000</v>
      </c>
      <c r="D1017" s="18">
        <v>1996</v>
      </c>
    </row>
    <row r="1018" spans="1:4" ht="19.95" customHeight="1" x14ac:dyDescent="0.25">
      <c r="A1018" s="17" t="s">
        <v>18</v>
      </c>
      <c r="B1018" s="18" t="s">
        <v>44</v>
      </c>
      <c r="C1018" s="18">
        <v>1554660000</v>
      </c>
      <c r="D1018" s="18">
        <v>1996</v>
      </c>
    </row>
    <row r="1019" spans="1:4" ht="19.95" customHeight="1" x14ac:dyDescent="0.25">
      <c r="A1019" s="17" t="s">
        <v>19</v>
      </c>
      <c r="B1019" s="18" t="s">
        <v>44</v>
      </c>
      <c r="C1019" s="18">
        <v>862608000</v>
      </c>
      <c r="D1019" s="18">
        <v>1996</v>
      </c>
    </row>
    <row r="1020" spans="1:4" ht="19.95" customHeight="1" x14ac:dyDescent="0.25">
      <c r="A1020" s="17" t="s">
        <v>20</v>
      </c>
      <c r="B1020" s="18" t="s">
        <v>44</v>
      </c>
      <c r="C1020" s="18">
        <v>441526000</v>
      </c>
      <c r="D1020" s="18">
        <v>1996</v>
      </c>
    </row>
    <row r="1021" spans="1:4" ht="19.95" customHeight="1" x14ac:dyDescent="0.25">
      <c r="A1021" s="17" t="s">
        <v>21</v>
      </c>
      <c r="B1021" s="18" t="s">
        <v>44</v>
      </c>
      <c r="C1021" s="18">
        <v>2374843000</v>
      </c>
      <c r="D1021" s="18">
        <v>1996</v>
      </c>
    </row>
    <row r="1022" spans="1:4" ht="19.95" customHeight="1" x14ac:dyDescent="0.25">
      <c r="A1022" s="17" t="s">
        <v>22</v>
      </c>
      <c r="B1022" s="18" t="s">
        <v>44</v>
      </c>
      <c r="C1022" s="18">
        <v>0</v>
      </c>
      <c r="D1022" s="18">
        <v>1996</v>
      </c>
    </row>
    <row r="1023" spans="1:4" ht="19.95" customHeight="1" x14ac:dyDescent="0.25">
      <c r="A1023" s="17" t="s">
        <v>23</v>
      </c>
      <c r="B1023" s="18" t="s">
        <v>44</v>
      </c>
      <c r="C1023" s="18">
        <v>252319000</v>
      </c>
      <c r="D1023" s="18">
        <v>1996</v>
      </c>
    </row>
    <row r="1024" spans="1:4" ht="19.95" customHeight="1" x14ac:dyDescent="0.25">
      <c r="A1024" s="17" t="s">
        <v>24</v>
      </c>
      <c r="B1024" s="18" t="s">
        <v>44</v>
      </c>
      <c r="C1024" s="18">
        <v>1153381000</v>
      </c>
      <c r="D1024" s="18">
        <v>1996</v>
      </c>
    </row>
    <row r="1025" spans="1:4" ht="19.95" customHeight="1" x14ac:dyDescent="0.25">
      <c r="A1025" s="17" t="s">
        <v>25</v>
      </c>
      <c r="B1025" s="18" t="s">
        <v>44</v>
      </c>
      <c r="C1025" s="18">
        <v>1387986000</v>
      </c>
      <c r="D1025" s="18">
        <v>1996</v>
      </c>
    </row>
    <row r="1026" spans="1:4" ht="19.95" customHeight="1" x14ac:dyDescent="0.25">
      <c r="A1026" s="17" t="s">
        <v>26</v>
      </c>
      <c r="B1026" s="18" t="s">
        <v>44</v>
      </c>
      <c r="C1026" s="18">
        <v>915199000</v>
      </c>
      <c r="D1026" s="18">
        <v>1996</v>
      </c>
    </row>
    <row r="1027" spans="1:4" ht="19.95" customHeight="1" x14ac:dyDescent="0.25">
      <c r="A1027" s="17" t="s">
        <v>27</v>
      </c>
      <c r="B1027" s="18" t="s">
        <v>44</v>
      </c>
      <c r="C1027" s="18">
        <v>141642000</v>
      </c>
      <c r="D1027" s="18">
        <v>1996</v>
      </c>
    </row>
    <row r="1028" spans="1:4" ht="19.95" customHeight="1" x14ac:dyDescent="0.25">
      <c r="A1028" s="17" t="s">
        <v>28</v>
      </c>
      <c r="B1028" s="18" t="s">
        <v>44</v>
      </c>
      <c r="C1028" s="18">
        <v>1076433000</v>
      </c>
      <c r="D1028" s="18">
        <v>1996</v>
      </c>
    </row>
    <row r="1029" spans="1:4" ht="19.95" customHeight="1" x14ac:dyDescent="0.25">
      <c r="A1029" s="17" t="s">
        <v>29</v>
      </c>
      <c r="B1029" s="18" t="s">
        <v>44</v>
      </c>
      <c r="C1029" s="18">
        <v>742138000</v>
      </c>
      <c r="D1029" s="18">
        <v>1996</v>
      </c>
    </row>
    <row r="1030" spans="1:4" ht="19.95" customHeight="1" x14ac:dyDescent="0.25">
      <c r="A1030" s="17" t="s">
        <v>31</v>
      </c>
      <c r="B1030" s="18" t="s">
        <v>44</v>
      </c>
      <c r="C1030" s="18">
        <v>1048712000</v>
      </c>
      <c r="D1030" s="18">
        <v>1996</v>
      </c>
    </row>
    <row r="1031" spans="1:4" ht="19.95" customHeight="1" x14ac:dyDescent="0.25">
      <c r="A1031" s="17" t="s">
        <v>32</v>
      </c>
      <c r="B1031" s="18" t="s">
        <v>44</v>
      </c>
      <c r="C1031" s="18">
        <v>379259000</v>
      </c>
      <c r="D1031" s="18">
        <v>1996</v>
      </c>
    </row>
    <row r="1032" spans="1:4" ht="19.95" customHeight="1" x14ac:dyDescent="0.25">
      <c r="A1032" s="17" t="s">
        <v>33</v>
      </c>
      <c r="B1032" s="18" t="s">
        <v>44</v>
      </c>
      <c r="C1032" s="18">
        <v>609227000</v>
      </c>
      <c r="D1032" s="18">
        <v>1996</v>
      </c>
    </row>
    <row r="1033" spans="1:4" ht="19.95" customHeight="1" x14ac:dyDescent="0.25">
      <c r="A1033" s="17" t="s">
        <v>34</v>
      </c>
      <c r="B1033" s="18" t="s">
        <v>44</v>
      </c>
      <c r="C1033" s="18">
        <v>535656000</v>
      </c>
      <c r="D1033" s="18">
        <v>1996</v>
      </c>
    </row>
    <row r="1034" spans="1:4" ht="19.95" customHeight="1" x14ac:dyDescent="0.25">
      <c r="A1034" s="17" t="s">
        <v>35</v>
      </c>
      <c r="B1034" s="18" t="s">
        <v>44</v>
      </c>
      <c r="C1034" s="18">
        <v>59476000</v>
      </c>
      <c r="D1034" s="18">
        <v>1996</v>
      </c>
    </row>
    <row r="1035" spans="1:4" ht="19.95" customHeight="1" x14ac:dyDescent="0.25">
      <c r="A1035" s="17" t="s">
        <v>2</v>
      </c>
      <c r="B1035" s="18" t="s">
        <v>44</v>
      </c>
      <c r="C1035" s="18">
        <v>1555688000</v>
      </c>
      <c r="D1035" s="18">
        <v>1996</v>
      </c>
    </row>
    <row r="1036" spans="1:4" ht="19.95" customHeight="1" x14ac:dyDescent="0.25">
      <c r="A1036" s="17" t="s">
        <v>36</v>
      </c>
      <c r="B1036" s="18" t="s">
        <v>44</v>
      </c>
      <c r="C1036" s="18">
        <v>30212000</v>
      </c>
      <c r="D1036" s="18">
        <v>1996</v>
      </c>
    </row>
    <row r="1037" spans="1:4" ht="19.95" customHeight="1" x14ac:dyDescent="0.25">
      <c r="A1037" s="17" t="s">
        <v>37</v>
      </c>
      <c r="B1037" s="18" t="s">
        <v>44</v>
      </c>
      <c r="C1037" s="18">
        <v>2297881000</v>
      </c>
      <c r="D1037" s="18">
        <v>1996</v>
      </c>
    </row>
    <row r="1038" spans="1:4" ht="19.95" customHeight="1" x14ac:dyDescent="0.25">
      <c r="A1038" s="17" t="s">
        <v>38</v>
      </c>
      <c r="B1038" s="18" t="s">
        <v>44</v>
      </c>
      <c r="C1038" s="18">
        <v>1848546000</v>
      </c>
      <c r="D1038" s="18">
        <v>1996</v>
      </c>
    </row>
    <row r="1039" spans="1:4" ht="19.95" customHeight="1" x14ac:dyDescent="0.25">
      <c r="A1039" s="17" t="s">
        <v>39</v>
      </c>
      <c r="B1039" s="18" t="s">
        <v>44</v>
      </c>
      <c r="C1039" s="18">
        <v>1509905000</v>
      </c>
      <c r="D1039" s="18">
        <v>1996</v>
      </c>
    </row>
    <row r="1040" spans="1:4" ht="19.95" customHeight="1" x14ac:dyDescent="0.25">
      <c r="A1040" s="17" t="s">
        <v>40</v>
      </c>
      <c r="B1040" s="18" t="s">
        <v>44</v>
      </c>
      <c r="C1040" s="18">
        <v>847833000</v>
      </c>
      <c r="D1040" s="18">
        <v>1996</v>
      </c>
    </row>
    <row r="1041" spans="1:4" ht="19.95" customHeight="1" x14ac:dyDescent="0.25">
      <c r="A1041" s="17" t="s">
        <v>10</v>
      </c>
      <c r="B1041" s="18" t="s">
        <v>44</v>
      </c>
      <c r="C1041" s="18">
        <v>566498000</v>
      </c>
      <c r="D1041" s="18">
        <v>1997</v>
      </c>
    </row>
    <row r="1042" spans="1:4" ht="19.95" customHeight="1" x14ac:dyDescent="0.25">
      <c r="A1042" s="17" t="s">
        <v>13</v>
      </c>
      <c r="B1042" s="18" t="s">
        <v>44</v>
      </c>
      <c r="C1042" s="18">
        <v>1019435000</v>
      </c>
      <c r="D1042" s="18">
        <v>1997</v>
      </c>
    </row>
    <row r="1043" spans="1:4" ht="19.95" customHeight="1" x14ac:dyDescent="0.25">
      <c r="A1043" s="17" t="s">
        <v>16</v>
      </c>
      <c r="B1043" s="18" t="s">
        <v>44</v>
      </c>
      <c r="C1043" s="18">
        <v>457193000</v>
      </c>
      <c r="D1043" s="18">
        <v>1997</v>
      </c>
    </row>
    <row r="1044" spans="1:4" ht="19.95" customHeight="1" x14ac:dyDescent="0.25">
      <c r="A1044" s="17" t="s">
        <v>15</v>
      </c>
      <c r="B1044" s="18" t="s">
        <v>44</v>
      </c>
      <c r="C1044" s="18">
        <v>69551000</v>
      </c>
      <c r="D1044" s="18">
        <v>1997</v>
      </c>
    </row>
    <row r="1045" spans="1:4" ht="19.95" customHeight="1" x14ac:dyDescent="0.25">
      <c r="A1045" s="17" t="s">
        <v>17</v>
      </c>
      <c r="B1045" s="18" t="s">
        <v>44</v>
      </c>
      <c r="C1045" s="18">
        <v>46059000</v>
      </c>
      <c r="D1045" s="18">
        <v>1997</v>
      </c>
    </row>
    <row r="1046" spans="1:4" ht="19.95" customHeight="1" x14ac:dyDescent="0.25">
      <c r="A1046" s="17" t="s">
        <v>18</v>
      </c>
      <c r="B1046" s="18" t="s">
        <v>44</v>
      </c>
      <c r="C1046" s="18">
        <v>1531768000</v>
      </c>
      <c r="D1046" s="18">
        <v>1997</v>
      </c>
    </row>
    <row r="1047" spans="1:4" ht="19.95" customHeight="1" x14ac:dyDescent="0.25">
      <c r="A1047" s="17" t="s">
        <v>19</v>
      </c>
      <c r="B1047" s="18" t="s">
        <v>44</v>
      </c>
      <c r="C1047" s="18">
        <v>921622000</v>
      </c>
      <c r="D1047" s="18">
        <v>1997</v>
      </c>
    </row>
    <row r="1048" spans="1:4" ht="19.95" customHeight="1" x14ac:dyDescent="0.25">
      <c r="A1048" s="17" t="s">
        <v>20</v>
      </c>
      <c r="B1048" s="18" t="s">
        <v>44</v>
      </c>
      <c r="C1048" s="18">
        <v>458056000</v>
      </c>
      <c r="D1048" s="18">
        <v>1997</v>
      </c>
    </row>
    <row r="1049" spans="1:4" ht="19.95" customHeight="1" x14ac:dyDescent="0.25">
      <c r="A1049" s="17" t="s">
        <v>21</v>
      </c>
      <c r="B1049" s="18" t="s">
        <v>44</v>
      </c>
      <c r="C1049" s="18">
        <v>2245323000</v>
      </c>
      <c r="D1049" s="18">
        <v>1997</v>
      </c>
    </row>
    <row r="1050" spans="1:4" ht="19.95" customHeight="1" x14ac:dyDescent="0.25">
      <c r="A1050" s="17" t="s">
        <v>22</v>
      </c>
      <c r="B1050" s="18" t="s">
        <v>44</v>
      </c>
      <c r="C1050" s="18">
        <v>0</v>
      </c>
      <c r="D1050" s="18">
        <v>1997</v>
      </c>
    </row>
    <row r="1051" spans="1:4" ht="19.95" customHeight="1" x14ac:dyDescent="0.25">
      <c r="A1051" s="17" t="s">
        <v>23</v>
      </c>
      <c r="B1051" s="18" t="s">
        <v>44</v>
      </c>
      <c r="C1051" s="18">
        <v>238046000</v>
      </c>
      <c r="D1051" s="18">
        <v>1997</v>
      </c>
    </row>
    <row r="1052" spans="1:4" ht="19.95" customHeight="1" x14ac:dyDescent="0.25">
      <c r="A1052" s="17" t="s">
        <v>24</v>
      </c>
      <c r="B1052" s="18" t="s">
        <v>44</v>
      </c>
      <c r="C1052" s="18">
        <v>1214278000</v>
      </c>
      <c r="D1052" s="18">
        <v>1997</v>
      </c>
    </row>
    <row r="1053" spans="1:4" ht="19.95" customHeight="1" x14ac:dyDescent="0.25">
      <c r="A1053" s="17" t="s">
        <v>25</v>
      </c>
      <c r="B1053" s="18" t="s">
        <v>44</v>
      </c>
      <c r="C1053" s="18">
        <v>1409085000</v>
      </c>
      <c r="D1053" s="18">
        <v>1997</v>
      </c>
    </row>
    <row r="1054" spans="1:4" ht="19.95" customHeight="1" x14ac:dyDescent="0.25">
      <c r="A1054" s="17" t="s">
        <v>26</v>
      </c>
      <c r="B1054" s="18" t="s">
        <v>44</v>
      </c>
      <c r="C1054" s="18">
        <v>938801000</v>
      </c>
      <c r="D1054" s="18">
        <v>1997</v>
      </c>
    </row>
    <row r="1055" spans="1:4" ht="19.95" customHeight="1" x14ac:dyDescent="0.25">
      <c r="A1055" s="17" t="s">
        <v>27</v>
      </c>
      <c r="B1055" s="18" t="s">
        <v>44</v>
      </c>
      <c r="C1055" s="18">
        <v>169889000</v>
      </c>
      <c r="D1055" s="18">
        <v>1997</v>
      </c>
    </row>
    <row r="1056" spans="1:4" ht="19.95" customHeight="1" x14ac:dyDescent="0.25">
      <c r="A1056" s="17" t="s">
        <v>28</v>
      </c>
      <c r="B1056" s="18" t="s">
        <v>44</v>
      </c>
      <c r="C1056" s="18">
        <v>1159878000</v>
      </c>
      <c r="D1056" s="18">
        <v>1997</v>
      </c>
    </row>
    <row r="1057" spans="1:4" ht="19.95" customHeight="1" x14ac:dyDescent="0.25">
      <c r="A1057" s="17" t="s">
        <v>29</v>
      </c>
      <c r="B1057" s="18" t="s">
        <v>44</v>
      </c>
      <c r="C1057" s="18">
        <v>723819000</v>
      </c>
      <c r="D1057" s="18">
        <v>1997</v>
      </c>
    </row>
    <row r="1058" spans="1:4" ht="19.95" customHeight="1" x14ac:dyDescent="0.25">
      <c r="A1058" s="17" t="s">
        <v>31</v>
      </c>
      <c r="B1058" s="18" t="s">
        <v>44</v>
      </c>
      <c r="C1058" s="18">
        <v>1046906000</v>
      </c>
      <c r="D1058" s="18">
        <v>1997</v>
      </c>
    </row>
    <row r="1059" spans="1:4" ht="19.95" customHeight="1" x14ac:dyDescent="0.25">
      <c r="A1059" s="17" t="s">
        <v>32</v>
      </c>
      <c r="B1059" s="18" t="s">
        <v>44</v>
      </c>
      <c r="C1059" s="18">
        <v>391770000</v>
      </c>
      <c r="D1059" s="18">
        <v>1997</v>
      </c>
    </row>
    <row r="1060" spans="1:4" ht="19.95" customHeight="1" x14ac:dyDescent="0.25">
      <c r="A1060" s="17" t="s">
        <v>33</v>
      </c>
      <c r="B1060" s="18" t="s">
        <v>44</v>
      </c>
      <c r="C1060" s="18">
        <v>624655000</v>
      </c>
      <c r="D1060" s="18">
        <v>1997</v>
      </c>
    </row>
    <row r="1061" spans="1:4" ht="19.95" customHeight="1" x14ac:dyDescent="0.25">
      <c r="A1061" s="17" t="s">
        <v>34</v>
      </c>
      <c r="B1061" s="18" t="s">
        <v>44</v>
      </c>
      <c r="C1061" s="18">
        <v>557896000</v>
      </c>
      <c r="D1061" s="18">
        <v>1997</v>
      </c>
    </row>
    <row r="1062" spans="1:4" ht="19.95" customHeight="1" x14ac:dyDescent="0.25">
      <c r="A1062" s="17" t="s">
        <v>35</v>
      </c>
      <c r="B1062" s="18" t="s">
        <v>44</v>
      </c>
      <c r="C1062" s="18">
        <v>57426000</v>
      </c>
      <c r="D1062" s="18">
        <v>1997</v>
      </c>
    </row>
    <row r="1063" spans="1:4" ht="19.95" customHeight="1" x14ac:dyDescent="0.25">
      <c r="A1063" s="17" t="s">
        <v>2</v>
      </c>
      <c r="B1063" s="18" t="s">
        <v>44</v>
      </c>
      <c r="C1063" s="18">
        <v>1544260000</v>
      </c>
      <c r="D1063" s="18">
        <v>1997</v>
      </c>
    </row>
    <row r="1064" spans="1:4" ht="19.95" customHeight="1" x14ac:dyDescent="0.25">
      <c r="A1064" s="17" t="s">
        <v>36</v>
      </c>
      <c r="B1064" s="18" t="s">
        <v>44</v>
      </c>
      <c r="C1064" s="18">
        <v>50102000</v>
      </c>
      <c r="D1064" s="18">
        <v>1997</v>
      </c>
    </row>
    <row r="1065" spans="1:4" ht="19.95" customHeight="1" x14ac:dyDescent="0.25">
      <c r="A1065" s="17" t="s">
        <v>37</v>
      </c>
      <c r="B1065" s="18" t="s">
        <v>44</v>
      </c>
      <c r="C1065" s="18">
        <v>2339474000</v>
      </c>
      <c r="D1065" s="18">
        <v>1997</v>
      </c>
    </row>
    <row r="1066" spans="1:4" ht="19.95" customHeight="1" x14ac:dyDescent="0.25">
      <c r="A1066" s="17" t="s">
        <v>38</v>
      </c>
      <c r="B1066" s="18" t="s">
        <v>44</v>
      </c>
      <c r="C1066" s="18">
        <v>1954204000</v>
      </c>
      <c r="D1066" s="18">
        <v>1997</v>
      </c>
    </row>
    <row r="1067" spans="1:4" ht="19.95" customHeight="1" x14ac:dyDescent="0.25">
      <c r="A1067" s="17" t="s">
        <v>39</v>
      </c>
      <c r="B1067" s="18" t="s">
        <v>44</v>
      </c>
      <c r="C1067" s="18">
        <v>1555005000</v>
      </c>
      <c r="D1067" s="18">
        <v>1997</v>
      </c>
    </row>
    <row r="1068" spans="1:4" ht="19.95" customHeight="1" x14ac:dyDescent="0.25">
      <c r="A1068" s="17" t="s">
        <v>40</v>
      </c>
      <c r="B1068" s="18" t="s">
        <v>44</v>
      </c>
      <c r="C1068" s="18">
        <v>871843000</v>
      </c>
      <c r="D1068" s="18">
        <v>1997</v>
      </c>
    </row>
    <row r="1069" spans="1:4" ht="19.95" customHeight="1" x14ac:dyDescent="0.25">
      <c r="A1069" s="17" t="s">
        <v>10</v>
      </c>
      <c r="B1069" s="18" t="s">
        <v>44</v>
      </c>
      <c r="C1069" s="18">
        <v>603432000</v>
      </c>
      <c r="D1069" s="18">
        <v>1998</v>
      </c>
    </row>
    <row r="1070" spans="1:4" ht="19.95" customHeight="1" x14ac:dyDescent="0.25">
      <c r="A1070" s="17" t="s">
        <v>13</v>
      </c>
      <c r="B1070" s="18" t="s">
        <v>44</v>
      </c>
      <c r="C1070" s="18">
        <v>1050424000</v>
      </c>
      <c r="D1070" s="18">
        <v>1998</v>
      </c>
    </row>
    <row r="1071" spans="1:4" ht="19.95" customHeight="1" x14ac:dyDescent="0.25">
      <c r="A1071" s="17" t="s">
        <v>16</v>
      </c>
      <c r="B1071" s="18" t="s">
        <v>44</v>
      </c>
      <c r="C1071" s="18">
        <v>487708000</v>
      </c>
      <c r="D1071" s="18">
        <v>1998</v>
      </c>
    </row>
    <row r="1072" spans="1:4" ht="19.95" customHeight="1" x14ac:dyDescent="0.25">
      <c r="A1072" s="17" t="s">
        <v>15</v>
      </c>
      <c r="B1072" s="18" t="s">
        <v>44</v>
      </c>
      <c r="C1072" s="18">
        <v>74763000</v>
      </c>
      <c r="D1072" s="18">
        <v>1998</v>
      </c>
    </row>
    <row r="1073" spans="1:4" ht="19.95" customHeight="1" x14ac:dyDescent="0.25">
      <c r="A1073" s="17" t="s">
        <v>17</v>
      </c>
      <c r="B1073" s="18" t="s">
        <v>44</v>
      </c>
      <c r="C1073" s="18">
        <v>49465000</v>
      </c>
      <c r="D1073" s="18">
        <v>1998</v>
      </c>
    </row>
    <row r="1074" spans="1:4" ht="19.95" customHeight="1" x14ac:dyDescent="0.25">
      <c r="A1074" s="17" t="s">
        <v>18</v>
      </c>
      <c r="B1074" s="18" t="s">
        <v>44</v>
      </c>
      <c r="C1074" s="18">
        <v>1631967000</v>
      </c>
      <c r="D1074" s="18">
        <v>1998</v>
      </c>
    </row>
    <row r="1075" spans="1:4" ht="19.95" customHeight="1" x14ac:dyDescent="0.25">
      <c r="A1075" s="17" t="s">
        <v>19</v>
      </c>
      <c r="B1075" s="18" t="s">
        <v>44</v>
      </c>
      <c r="C1075" s="18">
        <v>1015979000</v>
      </c>
      <c r="D1075" s="18">
        <v>1998</v>
      </c>
    </row>
    <row r="1076" spans="1:4" ht="19.95" customHeight="1" x14ac:dyDescent="0.25">
      <c r="A1076" s="17" t="s">
        <v>20</v>
      </c>
      <c r="B1076" s="18" t="s">
        <v>44</v>
      </c>
      <c r="C1076" s="18">
        <v>492919000</v>
      </c>
      <c r="D1076" s="18">
        <v>1998</v>
      </c>
    </row>
    <row r="1077" spans="1:4" ht="19.95" customHeight="1" x14ac:dyDescent="0.25">
      <c r="A1077" s="17" t="s">
        <v>21</v>
      </c>
      <c r="B1077" s="18" t="s">
        <v>44</v>
      </c>
      <c r="C1077" s="18">
        <v>2364431000</v>
      </c>
      <c r="D1077" s="18">
        <v>1998</v>
      </c>
    </row>
    <row r="1078" spans="1:4" ht="19.95" customHeight="1" x14ac:dyDescent="0.25">
      <c r="A1078" s="17" t="s">
        <v>22</v>
      </c>
      <c r="B1078" s="18" t="s">
        <v>44</v>
      </c>
      <c r="C1078" s="18">
        <v>0</v>
      </c>
      <c r="D1078" s="18">
        <v>1998</v>
      </c>
    </row>
    <row r="1079" spans="1:4" ht="19.95" customHeight="1" x14ac:dyDescent="0.25">
      <c r="A1079" s="17" t="s">
        <v>23</v>
      </c>
      <c r="B1079" s="18" t="s">
        <v>44</v>
      </c>
      <c r="C1079" s="18">
        <v>247786000</v>
      </c>
      <c r="D1079" s="18">
        <v>1998</v>
      </c>
    </row>
    <row r="1080" spans="1:4" ht="19.95" customHeight="1" x14ac:dyDescent="0.25">
      <c r="A1080" s="17" t="s">
        <v>24</v>
      </c>
      <c r="B1080" s="18" t="s">
        <v>44</v>
      </c>
      <c r="C1080" s="18">
        <v>1318291000</v>
      </c>
      <c r="D1080" s="18">
        <v>1998</v>
      </c>
    </row>
    <row r="1081" spans="1:4" ht="19.95" customHeight="1" x14ac:dyDescent="0.25">
      <c r="A1081" s="17" t="s">
        <v>25</v>
      </c>
      <c r="B1081" s="18" t="s">
        <v>44</v>
      </c>
      <c r="C1081" s="18">
        <v>1567666000</v>
      </c>
      <c r="D1081" s="18">
        <v>1998</v>
      </c>
    </row>
    <row r="1082" spans="1:4" ht="19.95" customHeight="1" x14ac:dyDescent="0.25">
      <c r="A1082" s="17" t="s">
        <v>26</v>
      </c>
      <c r="B1082" s="18" t="s">
        <v>44</v>
      </c>
      <c r="C1082" s="18">
        <v>1008729000</v>
      </c>
      <c r="D1082" s="18">
        <v>1998</v>
      </c>
    </row>
    <row r="1083" spans="1:4" ht="19.95" customHeight="1" x14ac:dyDescent="0.25">
      <c r="A1083" s="17" t="s">
        <v>27</v>
      </c>
      <c r="B1083" s="18" t="s">
        <v>44</v>
      </c>
      <c r="C1083" s="18">
        <v>206891000</v>
      </c>
      <c r="D1083" s="18">
        <v>1998</v>
      </c>
    </row>
    <row r="1084" spans="1:4" ht="19.95" customHeight="1" x14ac:dyDescent="0.25">
      <c r="A1084" s="17" t="s">
        <v>28</v>
      </c>
      <c r="B1084" s="18" t="s">
        <v>44</v>
      </c>
      <c r="C1084" s="18">
        <v>1335248000</v>
      </c>
      <c r="D1084" s="18">
        <v>1998</v>
      </c>
    </row>
    <row r="1085" spans="1:4" ht="19.95" customHeight="1" x14ac:dyDescent="0.25">
      <c r="A1085" s="17" t="s">
        <v>29</v>
      </c>
      <c r="B1085" s="18" t="s">
        <v>44</v>
      </c>
      <c r="C1085" s="18">
        <v>726764000</v>
      </c>
      <c r="D1085" s="18">
        <v>1998</v>
      </c>
    </row>
    <row r="1086" spans="1:4" ht="19.95" customHeight="1" x14ac:dyDescent="0.25">
      <c r="A1086" s="17" t="s">
        <v>31</v>
      </c>
      <c r="B1086" s="18" t="s">
        <v>44</v>
      </c>
      <c r="C1086" s="18">
        <v>1131036000</v>
      </c>
      <c r="D1086" s="18">
        <v>1998</v>
      </c>
    </row>
    <row r="1087" spans="1:4" ht="19.95" customHeight="1" x14ac:dyDescent="0.25">
      <c r="A1087" s="17" t="s">
        <v>32</v>
      </c>
      <c r="B1087" s="18" t="s">
        <v>44</v>
      </c>
      <c r="C1087" s="18">
        <v>502510000</v>
      </c>
      <c r="D1087" s="18">
        <v>1998</v>
      </c>
    </row>
    <row r="1088" spans="1:4" ht="19.95" customHeight="1" x14ac:dyDescent="0.25">
      <c r="A1088" s="17" t="s">
        <v>33</v>
      </c>
      <c r="B1088" s="18" t="s">
        <v>44</v>
      </c>
      <c r="C1088" s="18">
        <v>687454000</v>
      </c>
      <c r="D1088" s="18">
        <v>1998</v>
      </c>
    </row>
    <row r="1089" spans="1:4" ht="19.95" customHeight="1" x14ac:dyDescent="0.25">
      <c r="A1089" s="17" t="s">
        <v>34</v>
      </c>
      <c r="B1089" s="18" t="s">
        <v>44</v>
      </c>
      <c r="C1089" s="18">
        <v>639090000</v>
      </c>
      <c r="D1089" s="18">
        <v>1998</v>
      </c>
    </row>
    <row r="1090" spans="1:4" ht="19.95" customHeight="1" x14ac:dyDescent="0.25">
      <c r="A1090" s="17" t="s">
        <v>35</v>
      </c>
      <c r="B1090" s="18" t="s">
        <v>44</v>
      </c>
      <c r="C1090" s="18">
        <v>61317000</v>
      </c>
      <c r="D1090" s="18">
        <v>1998</v>
      </c>
    </row>
    <row r="1091" spans="1:4" ht="19.95" customHeight="1" x14ac:dyDescent="0.25">
      <c r="A1091" s="17" t="s">
        <v>2</v>
      </c>
      <c r="B1091" s="18" t="s">
        <v>44</v>
      </c>
      <c r="C1091" s="18">
        <v>1674330000</v>
      </c>
      <c r="D1091" s="18">
        <v>1998</v>
      </c>
    </row>
    <row r="1092" spans="1:4" ht="19.95" customHeight="1" x14ac:dyDescent="0.25">
      <c r="A1092" s="17" t="s">
        <v>36</v>
      </c>
      <c r="B1092" s="18" t="s">
        <v>44</v>
      </c>
      <c r="C1092" s="18">
        <v>91824000</v>
      </c>
      <c r="D1092" s="18">
        <v>1998</v>
      </c>
    </row>
    <row r="1093" spans="1:4" ht="19.95" customHeight="1" x14ac:dyDescent="0.25">
      <c r="A1093" s="17" t="s">
        <v>37</v>
      </c>
      <c r="B1093" s="18" t="s">
        <v>44</v>
      </c>
      <c r="C1093" s="18">
        <v>2484902000</v>
      </c>
      <c r="D1093" s="18">
        <v>1998</v>
      </c>
    </row>
    <row r="1094" spans="1:4" ht="19.95" customHeight="1" x14ac:dyDescent="0.25">
      <c r="A1094" s="17" t="s">
        <v>38</v>
      </c>
      <c r="B1094" s="18" t="s">
        <v>44</v>
      </c>
      <c r="C1094" s="18">
        <v>1947211000</v>
      </c>
      <c r="D1094" s="18">
        <v>1998</v>
      </c>
    </row>
    <row r="1095" spans="1:4" ht="19.95" customHeight="1" x14ac:dyDescent="0.25">
      <c r="A1095" s="17" t="s">
        <v>39</v>
      </c>
      <c r="B1095" s="18" t="s">
        <v>44</v>
      </c>
      <c r="C1095" s="18">
        <v>1628288000</v>
      </c>
      <c r="D1095" s="18">
        <v>1998</v>
      </c>
    </row>
    <row r="1096" spans="1:4" ht="19.95" customHeight="1" x14ac:dyDescent="0.25">
      <c r="A1096" s="17" t="s">
        <v>40</v>
      </c>
      <c r="B1096" s="18" t="s">
        <v>44</v>
      </c>
      <c r="C1096" s="18">
        <v>940720000</v>
      </c>
      <c r="D1096" s="18">
        <v>1998</v>
      </c>
    </row>
    <row r="1097" spans="1:4" ht="19.95" customHeight="1" x14ac:dyDescent="0.25">
      <c r="A1097" s="17" t="s">
        <v>10</v>
      </c>
      <c r="B1097" s="18" t="s">
        <v>44</v>
      </c>
      <c r="C1097" s="18">
        <v>599105000</v>
      </c>
      <c r="D1097" s="18">
        <v>1999</v>
      </c>
    </row>
    <row r="1098" spans="1:4" ht="19.95" customHeight="1" x14ac:dyDescent="0.25">
      <c r="A1098" s="17" t="s">
        <v>13</v>
      </c>
      <c r="B1098" s="18" t="s">
        <v>44</v>
      </c>
      <c r="C1098" s="18">
        <v>1025461000</v>
      </c>
      <c r="D1098" s="18">
        <v>1999</v>
      </c>
    </row>
    <row r="1099" spans="1:4" ht="19.95" customHeight="1" x14ac:dyDescent="0.25">
      <c r="A1099" s="17" t="s">
        <v>16</v>
      </c>
      <c r="B1099" s="18" t="s">
        <v>44</v>
      </c>
      <c r="C1099" s="18">
        <v>526610000</v>
      </c>
      <c r="D1099" s="18">
        <v>1999</v>
      </c>
    </row>
    <row r="1100" spans="1:4" ht="19.95" customHeight="1" x14ac:dyDescent="0.25">
      <c r="A1100" s="17" t="s">
        <v>15</v>
      </c>
      <c r="B1100" s="18" t="s">
        <v>44</v>
      </c>
      <c r="C1100" s="18">
        <v>72718000</v>
      </c>
      <c r="D1100" s="18">
        <v>1999</v>
      </c>
    </row>
    <row r="1101" spans="1:4" ht="19.95" customHeight="1" x14ac:dyDescent="0.25">
      <c r="A1101" s="17" t="s">
        <v>17</v>
      </c>
      <c r="B1101" s="18" t="s">
        <v>44</v>
      </c>
      <c r="C1101" s="18">
        <v>49017000</v>
      </c>
      <c r="D1101" s="18">
        <v>1999</v>
      </c>
    </row>
    <row r="1102" spans="1:4" ht="19.95" customHeight="1" x14ac:dyDescent="0.25">
      <c r="A1102" s="17" t="s">
        <v>18</v>
      </c>
      <c r="B1102" s="18" t="s">
        <v>44</v>
      </c>
      <c r="C1102" s="18">
        <v>1739398000</v>
      </c>
      <c r="D1102" s="18">
        <v>1999</v>
      </c>
    </row>
    <row r="1103" spans="1:4" ht="19.95" customHeight="1" x14ac:dyDescent="0.25">
      <c r="A1103" s="17" t="s">
        <v>19</v>
      </c>
      <c r="B1103" s="18" t="s">
        <v>44</v>
      </c>
      <c r="C1103" s="18">
        <v>1013674000</v>
      </c>
      <c r="D1103" s="18">
        <v>1999</v>
      </c>
    </row>
    <row r="1104" spans="1:4" ht="19.95" customHeight="1" x14ac:dyDescent="0.25">
      <c r="A1104" s="17" t="s">
        <v>20</v>
      </c>
      <c r="B1104" s="18" t="s">
        <v>44</v>
      </c>
      <c r="C1104" s="18">
        <v>503634000</v>
      </c>
      <c r="D1104" s="18">
        <v>1999</v>
      </c>
    </row>
    <row r="1105" spans="1:4" ht="19.95" customHeight="1" x14ac:dyDescent="0.25">
      <c r="A1105" s="17" t="s">
        <v>21</v>
      </c>
      <c r="B1105" s="18" t="s">
        <v>44</v>
      </c>
      <c r="C1105" s="18">
        <v>2310621000</v>
      </c>
      <c r="D1105" s="18">
        <v>1999</v>
      </c>
    </row>
    <row r="1106" spans="1:4" ht="19.95" customHeight="1" x14ac:dyDescent="0.25">
      <c r="A1106" s="17" t="s">
        <v>22</v>
      </c>
      <c r="B1106" s="18" t="s">
        <v>44</v>
      </c>
      <c r="C1106" s="18">
        <v>0</v>
      </c>
      <c r="D1106" s="18">
        <v>1999</v>
      </c>
    </row>
    <row r="1107" spans="1:4" ht="19.95" customHeight="1" x14ac:dyDescent="0.25">
      <c r="A1107" s="17" t="s">
        <v>23</v>
      </c>
      <c r="B1107" s="18" t="s">
        <v>44</v>
      </c>
      <c r="C1107" s="18">
        <v>228452000</v>
      </c>
      <c r="D1107" s="18">
        <v>1999</v>
      </c>
    </row>
    <row r="1108" spans="1:4" ht="19.95" customHeight="1" x14ac:dyDescent="0.25">
      <c r="A1108" s="17" t="s">
        <v>24</v>
      </c>
      <c r="B1108" s="18" t="s">
        <v>44</v>
      </c>
      <c r="C1108" s="18">
        <v>1360592000</v>
      </c>
      <c r="D1108" s="18">
        <v>1999</v>
      </c>
    </row>
    <row r="1109" spans="1:4" ht="19.95" customHeight="1" x14ac:dyDescent="0.25">
      <c r="A1109" s="17" t="s">
        <v>25</v>
      </c>
      <c r="B1109" s="18" t="s">
        <v>44</v>
      </c>
      <c r="C1109" s="18">
        <v>1602986000</v>
      </c>
      <c r="D1109" s="18">
        <v>1999</v>
      </c>
    </row>
    <row r="1110" spans="1:4" ht="19.95" customHeight="1" x14ac:dyDescent="0.25">
      <c r="A1110" s="17" t="s">
        <v>26</v>
      </c>
      <c r="B1110" s="18" t="s">
        <v>44</v>
      </c>
      <c r="C1110" s="18">
        <v>1035086000</v>
      </c>
      <c r="D1110" s="18">
        <v>1999</v>
      </c>
    </row>
    <row r="1111" spans="1:4" ht="19.95" customHeight="1" x14ac:dyDescent="0.25">
      <c r="A1111" s="17" t="s">
        <v>27</v>
      </c>
      <c r="B1111" s="18" t="s">
        <v>44</v>
      </c>
      <c r="C1111" s="18">
        <v>275769000</v>
      </c>
      <c r="D1111" s="18">
        <v>1999</v>
      </c>
    </row>
    <row r="1112" spans="1:4" ht="19.95" customHeight="1" x14ac:dyDescent="0.25">
      <c r="A1112" s="17" t="s">
        <v>28</v>
      </c>
      <c r="B1112" s="18" t="s">
        <v>44</v>
      </c>
      <c r="C1112" s="18">
        <v>702144000</v>
      </c>
      <c r="D1112" s="18">
        <v>1999</v>
      </c>
    </row>
    <row r="1113" spans="1:4" ht="19.95" customHeight="1" x14ac:dyDescent="0.25">
      <c r="A1113" s="17" t="s">
        <v>29</v>
      </c>
      <c r="B1113" s="18" t="s">
        <v>44</v>
      </c>
      <c r="C1113" s="18">
        <v>722537000</v>
      </c>
      <c r="D1113" s="18">
        <v>1999</v>
      </c>
    </row>
    <row r="1114" spans="1:4" ht="19.95" customHeight="1" x14ac:dyDescent="0.25">
      <c r="A1114" s="17" t="s">
        <v>31</v>
      </c>
      <c r="B1114" s="18" t="s">
        <v>44</v>
      </c>
      <c r="C1114" s="18">
        <v>1146849000</v>
      </c>
      <c r="D1114" s="18">
        <v>1999</v>
      </c>
    </row>
    <row r="1115" spans="1:4" ht="19.95" customHeight="1" x14ac:dyDescent="0.25">
      <c r="A1115" s="17" t="s">
        <v>32</v>
      </c>
      <c r="B1115" s="18" t="s">
        <v>44</v>
      </c>
      <c r="C1115" s="18">
        <v>607091000</v>
      </c>
      <c r="D1115" s="18">
        <v>1999</v>
      </c>
    </row>
    <row r="1116" spans="1:4" ht="19.95" customHeight="1" x14ac:dyDescent="0.25">
      <c r="A1116" s="17" t="s">
        <v>33</v>
      </c>
      <c r="B1116" s="18" t="s">
        <v>44</v>
      </c>
      <c r="C1116" s="18">
        <v>693574000</v>
      </c>
      <c r="D1116" s="18">
        <v>1999</v>
      </c>
    </row>
    <row r="1117" spans="1:4" ht="19.95" customHeight="1" x14ac:dyDescent="0.25">
      <c r="A1117" s="17" t="s">
        <v>34</v>
      </c>
      <c r="B1117" s="18" t="s">
        <v>44</v>
      </c>
      <c r="C1117" s="18">
        <v>691455000</v>
      </c>
      <c r="D1117" s="18">
        <v>1999</v>
      </c>
    </row>
    <row r="1118" spans="1:4" ht="19.95" customHeight="1" x14ac:dyDescent="0.25">
      <c r="A1118" s="17" t="s">
        <v>35</v>
      </c>
      <c r="B1118" s="18" t="s">
        <v>44</v>
      </c>
      <c r="C1118" s="18">
        <v>60680000</v>
      </c>
      <c r="D1118" s="18">
        <v>1999</v>
      </c>
    </row>
    <row r="1119" spans="1:4" ht="19.95" customHeight="1" x14ac:dyDescent="0.25">
      <c r="A1119" s="17" t="s">
        <v>2</v>
      </c>
      <c r="B1119" s="18" t="s">
        <v>44</v>
      </c>
      <c r="C1119" s="18">
        <v>1671183000</v>
      </c>
      <c r="D1119" s="18">
        <v>1999</v>
      </c>
    </row>
    <row r="1120" spans="1:4" ht="19.95" customHeight="1" x14ac:dyDescent="0.25">
      <c r="A1120" s="17" t="s">
        <v>36</v>
      </c>
      <c r="B1120" s="18" t="s">
        <v>44</v>
      </c>
      <c r="C1120" s="18">
        <v>126049000</v>
      </c>
      <c r="D1120" s="18">
        <v>1999</v>
      </c>
    </row>
    <row r="1121" spans="1:4" ht="19.95" customHeight="1" x14ac:dyDescent="0.25">
      <c r="A1121" s="17" t="s">
        <v>37</v>
      </c>
      <c r="B1121" s="18" t="s">
        <v>44</v>
      </c>
      <c r="C1121" s="18">
        <v>2609849000</v>
      </c>
      <c r="D1121" s="18">
        <v>1999</v>
      </c>
    </row>
    <row r="1122" spans="1:4" ht="19.95" customHeight="1" x14ac:dyDescent="0.25">
      <c r="A1122" s="17" t="s">
        <v>38</v>
      </c>
      <c r="B1122" s="18" t="s">
        <v>44</v>
      </c>
      <c r="C1122" s="18">
        <v>2042723000</v>
      </c>
      <c r="D1122" s="18">
        <v>1999</v>
      </c>
    </row>
    <row r="1123" spans="1:4" ht="19.95" customHeight="1" x14ac:dyDescent="0.25">
      <c r="A1123" s="17" t="s">
        <v>39</v>
      </c>
      <c r="B1123" s="18" t="s">
        <v>44</v>
      </c>
      <c r="C1123" s="18">
        <v>1736361000</v>
      </c>
      <c r="D1123" s="18">
        <v>1999</v>
      </c>
    </row>
    <row r="1124" spans="1:4" ht="19.95" customHeight="1" x14ac:dyDescent="0.25">
      <c r="A1124" s="17" t="s">
        <v>40</v>
      </c>
      <c r="B1124" s="18" t="s">
        <v>44</v>
      </c>
      <c r="C1124" s="18">
        <v>925341000</v>
      </c>
      <c r="D1124" s="18">
        <v>1999</v>
      </c>
    </row>
    <row r="1125" spans="1:4" ht="19.95" customHeight="1" x14ac:dyDescent="0.25">
      <c r="A1125" s="17" t="s">
        <v>10</v>
      </c>
      <c r="B1125" s="18" t="s">
        <v>44</v>
      </c>
      <c r="C1125" s="18">
        <v>600469000</v>
      </c>
      <c r="D1125" s="18">
        <v>2000</v>
      </c>
    </row>
    <row r="1126" spans="1:4" ht="19.95" customHeight="1" x14ac:dyDescent="0.25">
      <c r="A1126" s="17" t="s">
        <v>13</v>
      </c>
      <c r="B1126" s="18" t="s">
        <v>44</v>
      </c>
      <c r="C1126" s="18">
        <v>986712000</v>
      </c>
      <c r="D1126" s="18">
        <v>2000</v>
      </c>
    </row>
    <row r="1127" spans="1:4" ht="19.95" customHeight="1" x14ac:dyDescent="0.25">
      <c r="A1127" s="17" t="s">
        <v>16</v>
      </c>
      <c r="B1127" s="18" t="s">
        <v>44</v>
      </c>
      <c r="C1127" s="18">
        <v>515389000</v>
      </c>
      <c r="D1127" s="18">
        <v>2000</v>
      </c>
    </row>
    <row r="1128" spans="1:4" ht="19.95" customHeight="1" x14ac:dyDescent="0.25">
      <c r="A1128" s="17" t="s">
        <v>15</v>
      </c>
      <c r="B1128" s="18" t="s">
        <v>44</v>
      </c>
      <c r="C1128" s="18">
        <v>70841000</v>
      </c>
      <c r="D1128" s="18">
        <v>2000</v>
      </c>
    </row>
    <row r="1129" spans="1:4" ht="19.95" customHeight="1" x14ac:dyDescent="0.25">
      <c r="A1129" s="17" t="s">
        <v>17</v>
      </c>
      <c r="B1129" s="18" t="s">
        <v>44</v>
      </c>
      <c r="C1129" s="18">
        <v>49901000</v>
      </c>
      <c r="D1129" s="18">
        <v>2000</v>
      </c>
    </row>
    <row r="1130" spans="1:4" ht="19.95" customHeight="1" x14ac:dyDescent="0.25">
      <c r="A1130" s="17" t="s">
        <v>18</v>
      </c>
      <c r="B1130" s="18" t="s">
        <v>44</v>
      </c>
      <c r="C1130" s="18">
        <v>1779264000</v>
      </c>
      <c r="D1130" s="18">
        <v>2000</v>
      </c>
    </row>
    <row r="1131" spans="1:4" ht="19.95" customHeight="1" x14ac:dyDescent="0.25">
      <c r="A1131" s="17" t="s">
        <v>19</v>
      </c>
      <c r="B1131" s="18" t="s">
        <v>44</v>
      </c>
      <c r="C1131" s="18">
        <v>981869000</v>
      </c>
      <c r="D1131" s="18">
        <v>2000</v>
      </c>
    </row>
    <row r="1132" spans="1:4" ht="19.95" customHeight="1" x14ac:dyDescent="0.25">
      <c r="A1132" s="17" t="s">
        <v>20</v>
      </c>
      <c r="B1132" s="18" t="s">
        <v>44</v>
      </c>
      <c r="C1132" s="18">
        <v>480060000</v>
      </c>
      <c r="D1132" s="18">
        <v>2000</v>
      </c>
    </row>
    <row r="1133" spans="1:4" ht="19.95" customHeight="1" x14ac:dyDescent="0.25">
      <c r="A1133" s="17" t="s">
        <v>21</v>
      </c>
      <c r="B1133" s="18" t="s">
        <v>44</v>
      </c>
      <c r="C1133" s="18">
        <v>2309409000</v>
      </c>
      <c r="D1133" s="18">
        <v>2000</v>
      </c>
    </row>
    <row r="1134" spans="1:4" ht="19.95" customHeight="1" x14ac:dyDescent="0.25">
      <c r="A1134" s="17" t="s">
        <v>22</v>
      </c>
      <c r="B1134" s="18" t="s">
        <v>44</v>
      </c>
      <c r="C1134" s="18">
        <v>0</v>
      </c>
      <c r="D1134" s="18">
        <v>2000</v>
      </c>
    </row>
    <row r="1135" spans="1:4" ht="19.95" customHeight="1" x14ac:dyDescent="0.25">
      <c r="A1135" s="17" t="s">
        <v>23</v>
      </c>
      <c r="B1135" s="18" t="s">
        <v>44</v>
      </c>
      <c r="C1135" s="18">
        <v>229929000</v>
      </c>
      <c r="D1135" s="18">
        <v>2000</v>
      </c>
    </row>
    <row r="1136" spans="1:4" ht="19.95" customHeight="1" x14ac:dyDescent="0.25">
      <c r="A1136" s="17" t="s">
        <v>24</v>
      </c>
      <c r="B1136" s="18" t="s">
        <v>44</v>
      </c>
      <c r="C1136" s="18">
        <v>1377614000</v>
      </c>
      <c r="D1136" s="18">
        <v>2000</v>
      </c>
    </row>
    <row r="1137" spans="1:4" ht="19.95" customHeight="1" x14ac:dyDescent="0.25">
      <c r="A1137" s="17" t="s">
        <v>25</v>
      </c>
      <c r="B1137" s="18" t="s">
        <v>44</v>
      </c>
      <c r="C1137" s="18">
        <v>1600709000</v>
      </c>
      <c r="D1137" s="18">
        <v>2000</v>
      </c>
    </row>
    <row r="1138" spans="1:4" ht="19.95" customHeight="1" x14ac:dyDescent="0.25">
      <c r="A1138" s="17" t="s">
        <v>26</v>
      </c>
      <c r="B1138" s="18" t="s">
        <v>44</v>
      </c>
      <c r="C1138" s="18">
        <v>956887000</v>
      </c>
      <c r="D1138" s="18">
        <v>2000</v>
      </c>
    </row>
    <row r="1139" spans="1:4" ht="19.95" customHeight="1" x14ac:dyDescent="0.25">
      <c r="A1139" s="17" t="s">
        <v>27</v>
      </c>
      <c r="B1139" s="18" t="s">
        <v>44</v>
      </c>
      <c r="C1139" s="18">
        <v>294477000</v>
      </c>
      <c r="D1139" s="18">
        <v>2000</v>
      </c>
    </row>
    <row r="1140" spans="1:4" ht="19.95" customHeight="1" x14ac:dyDescent="0.25">
      <c r="A1140" s="17" t="s">
        <v>28</v>
      </c>
      <c r="B1140" s="18" t="s">
        <v>44</v>
      </c>
      <c r="C1140" s="18">
        <v>760297000</v>
      </c>
      <c r="D1140" s="18">
        <v>2000</v>
      </c>
    </row>
    <row r="1141" spans="1:4" ht="19.95" customHeight="1" x14ac:dyDescent="0.25">
      <c r="A1141" s="17" t="s">
        <v>29</v>
      </c>
      <c r="B1141" s="18" t="s">
        <v>44</v>
      </c>
      <c r="C1141" s="18">
        <v>683846000</v>
      </c>
      <c r="D1141" s="18">
        <v>2000</v>
      </c>
    </row>
    <row r="1142" spans="1:4" ht="19.95" customHeight="1" x14ac:dyDescent="0.25">
      <c r="A1142" s="17" t="s">
        <v>31</v>
      </c>
      <c r="B1142" s="18" t="s">
        <v>44</v>
      </c>
      <c r="C1142" s="18">
        <v>1132348000</v>
      </c>
      <c r="D1142" s="18">
        <v>2000</v>
      </c>
    </row>
    <row r="1143" spans="1:4" ht="19.95" customHeight="1" x14ac:dyDescent="0.25">
      <c r="A1143" s="17" t="s">
        <v>32</v>
      </c>
      <c r="B1143" s="18" t="s">
        <v>44</v>
      </c>
      <c r="C1143" s="18">
        <v>659018000</v>
      </c>
      <c r="D1143" s="18">
        <v>2000</v>
      </c>
    </row>
    <row r="1144" spans="1:4" ht="19.95" customHeight="1" x14ac:dyDescent="0.25">
      <c r="A1144" s="17" t="s">
        <v>33</v>
      </c>
      <c r="B1144" s="18" t="s">
        <v>44</v>
      </c>
      <c r="C1144" s="18">
        <v>723201000</v>
      </c>
      <c r="D1144" s="18">
        <v>2000</v>
      </c>
    </row>
    <row r="1145" spans="1:4" ht="19.95" customHeight="1" x14ac:dyDescent="0.25">
      <c r="A1145" s="17" t="s">
        <v>34</v>
      </c>
      <c r="B1145" s="18" t="s">
        <v>44</v>
      </c>
      <c r="C1145" s="18">
        <v>691917000</v>
      </c>
      <c r="D1145" s="18">
        <v>2000</v>
      </c>
    </row>
    <row r="1146" spans="1:4" ht="19.95" customHeight="1" x14ac:dyDescent="0.25">
      <c r="A1146" s="17" t="s">
        <v>35</v>
      </c>
      <c r="B1146" s="18" t="s">
        <v>44</v>
      </c>
      <c r="C1146" s="18">
        <v>58898000</v>
      </c>
      <c r="D1146" s="18">
        <v>2000</v>
      </c>
    </row>
    <row r="1147" spans="1:4" ht="19.95" customHeight="1" x14ac:dyDescent="0.25">
      <c r="A1147" s="17" t="s">
        <v>2</v>
      </c>
      <c r="B1147" s="18" t="s">
        <v>44</v>
      </c>
      <c r="C1147" s="18">
        <v>1623568000</v>
      </c>
      <c r="D1147" s="18">
        <v>2000</v>
      </c>
    </row>
    <row r="1148" spans="1:4" ht="19.95" customHeight="1" x14ac:dyDescent="0.25">
      <c r="A1148" s="17" t="s">
        <v>36</v>
      </c>
      <c r="B1148" s="18" t="s">
        <v>44</v>
      </c>
      <c r="C1148" s="18">
        <v>142620000</v>
      </c>
      <c r="D1148" s="18">
        <v>2000</v>
      </c>
    </row>
    <row r="1149" spans="1:4" ht="19.95" customHeight="1" x14ac:dyDescent="0.25">
      <c r="A1149" s="17" t="s">
        <v>37</v>
      </c>
      <c r="B1149" s="18" t="s">
        <v>44</v>
      </c>
      <c r="C1149" s="18">
        <v>2603996000</v>
      </c>
      <c r="D1149" s="18">
        <v>2000</v>
      </c>
    </row>
    <row r="1150" spans="1:4" ht="19.95" customHeight="1" x14ac:dyDescent="0.25">
      <c r="A1150" s="17" t="s">
        <v>38</v>
      </c>
      <c r="B1150" s="18" t="s">
        <v>44</v>
      </c>
      <c r="C1150" s="18">
        <v>2114716000</v>
      </c>
      <c r="D1150" s="18">
        <v>2000</v>
      </c>
    </row>
    <row r="1151" spans="1:4" ht="19.95" customHeight="1" x14ac:dyDescent="0.25">
      <c r="A1151" s="17" t="s">
        <v>39</v>
      </c>
      <c r="B1151" s="18" t="s">
        <v>44</v>
      </c>
      <c r="C1151" s="18">
        <v>1848122000</v>
      </c>
      <c r="D1151" s="18">
        <v>2000</v>
      </c>
    </row>
    <row r="1152" spans="1:4" ht="19.95" customHeight="1" x14ac:dyDescent="0.25">
      <c r="A1152" s="17" t="s">
        <v>40</v>
      </c>
      <c r="B1152" s="18" t="s">
        <v>44</v>
      </c>
      <c r="C1152" s="18">
        <v>853164000</v>
      </c>
      <c r="D1152" s="18">
        <v>2000</v>
      </c>
    </row>
    <row r="1153" spans="1:4" ht="19.95" customHeight="1" x14ac:dyDescent="0.25">
      <c r="A1153" s="17" t="s">
        <v>10</v>
      </c>
      <c r="B1153" s="18" t="s">
        <v>44</v>
      </c>
      <c r="C1153" s="18">
        <v>582342000</v>
      </c>
      <c r="D1153" s="18">
        <v>2001</v>
      </c>
    </row>
    <row r="1154" spans="1:4" ht="19.95" customHeight="1" x14ac:dyDescent="0.25">
      <c r="A1154" s="17" t="s">
        <v>13</v>
      </c>
      <c r="B1154" s="18" t="s">
        <v>44</v>
      </c>
      <c r="C1154" s="18">
        <v>936223000</v>
      </c>
      <c r="D1154" s="18">
        <v>2001</v>
      </c>
    </row>
    <row r="1155" spans="1:4" ht="19.95" customHeight="1" x14ac:dyDescent="0.25">
      <c r="A1155" s="17" t="s">
        <v>16</v>
      </c>
      <c r="B1155" s="18" t="s">
        <v>44</v>
      </c>
      <c r="C1155" s="18">
        <v>524689000</v>
      </c>
      <c r="D1155" s="18">
        <v>2001</v>
      </c>
    </row>
    <row r="1156" spans="1:4" ht="19.95" customHeight="1" x14ac:dyDescent="0.25">
      <c r="A1156" s="17" t="s">
        <v>15</v>
      </c>
      <c r="B1156" s="18" t="s">
        <v>44</v>
      </c>
      <c r="C1156" s="18">
        <v>79008000</v>
      </c>
      <c r="D1156" s="18">
        <v>2001</v>
      </c>
    </row>
    <row r="1157" spans="1:4" ht="19.95" customHeight="1" x14ac:dyDescent="0.25">
      <c r="A1157" s="17" t="s">
        <v>17</v>
      </c>
      <c r="B1157" s="18" t="s">
        <v>44</v>
      </c>
      <c r="C1157" s="18">
        <v>56123000</v>
      </c>
      <c r="D1157" s="18">
        <v>2001</v>
      </c>
    </row>
    <row r="1158" spans="1:4" ht="19.95" customHeight="1" x14ac:dyDescent="0.25">
      <c r="A1158" s="17" t="s">
        <v>18</v>
      </c>
      <c r="B1158" s="18" t="s">
        <v>44</v>
      </c>
      <c r="C1158" s="18">
        <v>2150493000</v>
      </c>
      <c r="D1158" s="18">
        <v>2001</v>
      </c>
    </row>
    <row r="1159" spans="1:4" ht="19.95" customHeight="1" x14ac:dyDescent="0.25">
      <c r="A1159" s="17" t="s">
        <v>19</v>
      </c>
      <c r="B1159" s="18" t="s">
        <v>44</v>
      </c>
      <c r="C1159" s="18">
        <v>1003117000</v>
      </c>
      <c r="D1159" s="18">
        <v>2001</v>
      </c>
    </row>
    <row r="1160" spans="1:4" ht="19.95" customHeight="1" x14ac:dyDescent="0.25">
      <c r="A1160" s="17" t="s">
        <v>20</v>
      </c>
      <c r="B1160" s="18" t="s">
        <v>44</v>
      </c>
      <c r="C1160" s="18">
        <v>466777000</v>
      </c>
      <c r="D1160" s="18">
        <v>2001</v>
      </c>
    </row>
    <row r="1161" spans="1:4" ht="19.95" customHeight="1" x14ac:dyDescent="0.25">
      <c r="A1161" s="17" t="s">
        <v>21</v>
      </c>
      <c r="B1161" s="18" t="s">
        <v>44</v>
      </c>
      <c r="C1161" s="18">
        <v>2286842000</v>
      </c>
      <c r="D1161" s="18">
        <v>2001</v>
      </c>
    </row>
    <row r="1162" spans="1:4" ht="19.95" customHeight="1" x14ac:dyDescent="0.25">
      <c r="A1162" s="17" t="s">
        <v>22</v>
      </c>
      <c r="B1162" s="18" t="s">
        <v>44</v>
      </c>
      <c r="C1162" s="18">
        <v>0</v>
      </c>
      <c r="D1162" s="18">
        <v>2001</v>
      </c>
    </row>
    <row r="1163" spans="1:4" ht="19.95" customHeight="1" x14ac:dyDescent="0.25">
      <c r="A1163" s="17" t="s">
        <v>23</v>
      </c>
      <c r="B1163" s="18" t="s">
        <v>44</v>
      </c>
      <c r="C1163" s="18">
        <v>221068000</v>
      </c>
      <c r="D1163" s="18">
        <v>2001</v>
      </c>
    </row>
    <row r="1164" spans="1:4" ht="19.95" customHeight="1" x14ac:dyDescent="0.25">
      <c r="A1164" s="17" t="s">
        <v>24</v>
      </c>
      <c r="B1164" s="18" t="s">
        <v>44</v>
      </c>
      <c r="C1164" s="18">
        <v>1408525000</v>
      </c>
      <c r="D1164" s="18">
        <v>2001</v>
      </c>
    </row>
    <row r="1165" spans="1:4" ht="19.95" customHeight="1" x14ac:dyDescent="0.25">
      <c r="A1165" s="17" t="s">
        <v>25</v>
      </c>
      <c r="B1165" s="18" t="s">
        <v>44</v>
      </c>
      <c r="C1165" s="18">
        <v>1627342000</v>
      </c>
      <c r="D1165" s="18">
        <v>2001</v>
      </c>
    </row>
    <row r="1166" spans="1:4" ht="19.95" customHeight="1" x14ac:dyDescent="0.25">
      <c r="A1166" s="17" t="s">
        <v>26</v>
      </c>
      <c r="B1166" s="18" t="s">
        <v>44</v>
      </c>
      <c r="C1166" s="18">
        <v>980748000</v>
      </c>
      <c r="D1166" s="18">
        <v>2001</v>
      </c>
    </row>
    <row r="1167" spans="1:4" ht="19.95" customHeight="1" x14ac:dyDescent="0.25">
      <c r="A1167" s="17" t="s">
        <v>27</v>
      </c>
      <c r="B1167" s="18" t="s">
        <v>44</v>
      </c>
      <c r="C1167" s="18">
        <v>293801000</v>
      </c>
      <c r="D1167" s="18">
        <v>2001</v>
      </c>
    </row>
    <row r="1168" spans="1:4" ht="19.95" customHeight="1" x14ac:dyDescent="0.25">
      <c r="A1168" s="17" t="s">
        <v>28</v>
      </c>
      <c r="B1168" s="18" t="s">
        <v>44</v>
      </c>
      <c r="C1168" s="18">
        <v>777287000</v>
      </c>
      <c r="D1168" s="18">
        <v>2001</v>
      </c>
    </row>
    <row r="1169" spans="1:4" ht="19.95" customHeight="1" x14ac:dyDescent="0.25">
      <c r="A1169" s="17" t="s">
        <v>29</v>
      </c>
      <c r="B1169" s="18" t="s">
        <v>44</v>
      </c>
      <c r="C1169" s="18">
        <v>692842000</v>
      </c>
      <c r="D1169" s="18">
        <v>2001</v>
      </c>
    </row>
    <row r="1170" spans="1:4" ht="19.95" customHeight="1" x14ac:dyDescent="0.25">
      <c r="A1170" s="17" t="s">
        <v>31</v>
      </c>
      <c r="B1170" s="18" t="s">
        <v>44</v>
      </c>
      <c r="C1170" s="18">
        <v>1122067000</v>
      </c>
      <c r="D1170" s="18">
        <v>2001</v>
      </c>
    </row>
    <row r="1171" spans="1:4" ht="19.95" customHeight="1" x14ac:dyDescent="0.25">
      <c r="A1171" s="17" t="s">
        <v>32</v>
      </c>
      <c r="B1171" s="18" t="s">
        <v>44</v>
      </c>
      <c r="C1171" s="18">
        <v>690608000</v>
      </c>
      <c r="D1171" s="18">
        <v>2001</v>
      </c>
    </row>
    <row r="1172" spans="1:4" ht="19.95" customHeight="1" x14ac:dyDescent="0.25">
      <c r="A1172" s="17" t="s">
        <v>33</v>
      </c>
      <c r="B1172" s="18" t="s">
        <v>44</v>
      </c>
      <c r="C1172" s="18">
        <v>753357000</v>
      </c>
      <c r="D1172" s="18">
        <v>2001</v>
      </c>
    </row>
    <row r="1173" spans="1:4" ht="19.95" customHeight="1" x14ac:dyDescent="0.25">
      <c r="A1173" s="17" t="s">
        <v>34</v>
      </c>
      <c r="B1173" s="18" t="s">
        <v>44</v>
      </c>
      <c r="C1173" s="18">
        <v>712719000</v>
      </c>
      <c r="D1173" s="18">
        <v>2001</v>
      </c>
    </row>
    <row r="1174" spans="1:4" ht="19.95" customHeight="1" x14ac:dyDescent="0.25">
      <c r="A1174" s="17" t="s">
        <v>35</v>
      </c>
      <c r="B1174" s="18" t="s">
        <v>44</v>
      </c>
      <c r="C1174" s="18">
        <v>60961000</v>
      </c>
      <c r="D1174" s="18">
        <v>2001</v>
      </c>
    </row>
    <row r="1175" spans="1:4" ht="19.95" customHeight="1" x14ac:dyDescent="0.25">
      <c r="A1175" s="17" t="s">
        <v>2</v>
      </c>
      <c r="B1175" s="18" t="s">
        <v>44</v>
      </c>
      <c r="C1175" s="18">
        <v>1578159000</v>
      </c>
      <c r="D1175" s="18">
        <v>2001</v>
      </c>
    </row>
    <row r="1176" spans="1:4" ht="19.95" customHeight="1" x14ac:dyDescent="0.25">
      <c r="A1176" s="17" t="s">
        <v>36</v>
      </c>
      <c r="B1176" s="18" t="s">
        <v>44</v>
      </c>
      <c r="C1176" s="18">
        <v>171646000</v>
      </c>
      <c r="D1176" s="18">
        <v>2001</v>
      </c>
    </row>
    <row r="1177" spans="1:4" ht="19.95" customHeight="1" x14ac:dyDescent="0.25">
      <c r="A1177" s="17" t="s">
        <v>37</v>
      </c>
      <c r="B1177" s="18" t="s">
        <v>44</v>
      </c>
      <c r="C1177" s="18">
        <v>2595852000</v>
      </c>
      <c r="D1177" s="18">
        <v>2001</v>
      </c>
    </row>
    <row r="1178" spans="1:4" ht="19.95" customHeight="1" x14ac:dyDescent="0.25">
      <c r="A1178" s="17" t="s">
        <v>38</v>
      </c>
      <c r="B1178" s="18" t="s">
        <v>44</v>
      </c>
      <c r="C1178" s="18">
        <v>2309621000</v>
      </c>
      <c r="D1178" s="18">
        <v>2001</v>
      </c>
    </row>
    <row r="1179" spans="1:4" ht="19.95" customHeight="1" x14ac:dyDescent="0.25">
      <c r="A1179" s="17" t="s">
        <v>39</v>
      </c>
      <c r="B1179" s="18" t="s">
        <v>44</v>
      </c>
      <c r="C1179" s="18">
        <v>1885659000</v>
      </c>
      <c r="D1179" s="18">
        <v>2001</v>
      </c>
    </row>
    <row r="1180" spans="1:4" ht="19.95" customHeight="1" x14ac:dyDescent="0.25">
      <c r="A1180" s="17" t="s">
        <v>40</v>
      </c>
      <c r="B1180" s="18" t="s">
        <v>44</v>
      </c>
      <c r="C1180" s="18">
        <v>809835000</v>
      </c>
      <c r="D1180" s="18">
        <v>2001</v>
      </c>
    </row>
    <row r="1181" spans="1:4" ht="19.95" customHeight="1" x14ac:dyDescent="0.25">
      <c r="A1181" s="17" t="s">
        <v>10</v>
      </c>
      <c r="B1181" s="18" t="s">
        <v>44</v>
      </c>
      <c r="C1181" s="18">
        <v>647713000</v>
      </c>
      <c r="D1181" s="18">
        <v>2002</v>
      </c>
    </row>
    <row r="1182" spans="1:4" ht="19.95" customHeight="1" x14ac:dyDescent="0.25">
      <c r="A1182" s="17" t="s">
        <v>13</v>
      </c>
      <c r="B1182" s="18" t="s">
        <v>44</v>
      </c>
      <c r="C1182" s="18">
        <v>988517000</v>
      </c>
      <c r="D1182" s="18">
        <v>2002</v>
      </c>
    </row>
    <row r="1183" spans="1:4" ht="19.95" customHeight="1" x14ac:dyDescent="0.25">
      <c r="A1183" s="17" t="s">
        <v>16</v>
      </c>
      <c r="B1183" s="18" t="s">
        <v>44</v>
      </c>
      <c r="C1183" s="18">
        <v>632295000</v>
      </c>
      <c r="D1183" s="18">
        <v>2002</v>
      </c>
    </row>
    <row r="1184" spans="1:4" ht="19.95" customHeight="1" x14ac:dyDescent="0.25">
      <c r="A1184" s="17" t="s">
        <v>15</v>
      </c>
      <c r="B1184" s="18" t="s">
        <v>44</v>
      </c>
      <c r="C1184" s="18">
        <v>96078000</v>
      </c>
      <c r="D1184" s="18">
        <v>2002</v>
      </c>
    </row>
    <row r="1185" spans="1:4" ht="19.95" customHeight="1" x14ac:dyDescent="0.25">
      <c r="A1185" s="17" t="s">
        <v>17</v>
      </c>
      <c r="B1185" s="18" t="s">
        <v>44</v>
      </c>
      <c r="C1185" s="18">
        <v>78479000</v>
      </c>
      <c r="D1185" s="18">
        <v>2002</v>
      </c>
    </row>
    <row r="1186" spans="1:4" ht="19.95" customHeight="1" x14ac:dyDescent="0.25">
      <c r="A1186" s="17" t="s">
        <v>18</v>
      </c>
      <c r="B1186" s="18" t="s">
        <v>44</v>
      </c>
      <c r="C1186" s="18">
        <v>2755978000</v>
      </c>
      <c r="D1186" s="18">
        <v>2002</v>
      </c>
    </row>
    <row r="1187" spans="1:4" ht="19.95" customHeight="1" x14ac:dyDescent="0.25">
      <c r="A1187" s="17" t="s">
        <v>19</v>
      </c>
      <c r="B1187" s="18" t="s">
        <v>44</v>
      </c>
      <c r="C1187" s="18">
        <v>1096012000</v>
      </c>
      <c r="D1187" s="18">
        <v>2002</v>
      </c>
    </row>
    <row r="1188" spans="1:4" ht="19.95" customHeight="1" x14ac:dyDescent="0.25">
      <c r="A1188" s="17" t="s">
        <v>20</v>
      </c>
      <c r="B1188" s="18" t="s">
        <v>44</v>
      </c>
      <c r="C1188" s="18">
        <v>501182000</v>
      </c>
      <c r="D1188" s="18">
        <v>2002</v>
      </c>
    </row>
    <row r="1189" spans="1:4" ht="19.95" customHeight="1" x14ac:dyDescent="0.25">
      <c r="A1189" s="17" t="s">
        <v>21</v>
      </c>
      <c r="B1189" s="18" t="s">
        <v>44</v>
      </c>
      <c r="C1189" s="18">
        <v>2459856000</v>
      </c>
      <c r="D1189" s="18">
        <v>2002</v>
      </c>
    </row>
    <row r="1190" spans="1:4" ht="19.95" customHeight="1" x14ac:dyDescent="0.25">
      <c r="A1190" s="17" t="s">
        <v>22</v>
      </c>
      <c r="B1190" s="18" t="s">
        <v>44</v>
      </c>
      <c r="C1190" s="18">
        <v>0</v>
      </c>
      <c r="D1190" s="18">
        <v>2002</v>
      </c>
    </row>
    <row r="1191" spans="1:4" ht="19.95" customHeight="1" x14ac:dyDescent="0.25">
      <c r="A1191" s="17" t="s">
        <v>23</v>
      </c>
      <c r="B1191" s="18" t="s">
        <v>44</v>
      </c>
      <c r="C1191" s="18">
        <v>239647000</v>
      </c>
      <c r="D1191" s="18">
        <v>2002</v>
      </c>
    </row>
    <row r="1192" spans="1:4" ht="19.95" customHeight="1" x14ac:dyDescent="0.25">
      <c r="A1192" s="17" t="s">
        <v>24</v>
      </c>
      <c r="B1192" s="18" t="s">
        <v>44</v>
      </c>
      <c r="C1192" s="18">
        <v>1652156000</v>
      </c>
      <c r="D1192" s="18">
        <v>2002</v>
      </c>
    </row>
    <row r="1193" spans="1:4" ht="19.95" customHeight="1" x14ac:dyDescent="0.25">
      <c r="A1193" s="17" t="s">
        <v>25</v>
      </c>
      <c r="B1193" s="18" t="s">
        <v>44</v>
      </c>
      <c r="C1193" s="18">
        <v>1772622000</v>
      </c>
      <c r="D1193" s="18">
        <v>2002</v>
      </c>
    </row>
    <row r="1194" spans="1:4" ht="19.95" customHeight="1" x14ac:dyDescent="0.25">
      <c r="A1194" s="17" t="s">
        <v>26</v>
      </c>
      <c r="B1194" s="18" t="s">
        <v>44</v>
      </c>
      <c r="C1194" s="18">
        <v>1133709000</v>
      </c>
      <c r="D1194" s="18">
        <v>2002</v>
      </c>
    </row>
    <row r="1195" spans="1:4" ht="19.95" customHeight="1" x14ac:dyDescent="0.25">
      <c r="A1195" s="17" t="s">
        <v>27</v>
      </c>
      <c r="B1195" s="18" t="s">
        <v>44</v>
      </c>
      <c r="C1195" s="18">
        <v>330864000</v>
      </c>
      <c r="D1195" s="18">
        <v>2002</v>
      </c>
    </row>
    <row r="1196" spans="1:4" ht="19.95" customHeight="1" x14ac:dyDescent="0.25">
      <c r="A1196" s="17" t="s">
        <v>28</v>
      </c>
      <c r="B1196" s="18" t="s">
        <v>44</v>
      </c>
      <c r="C1196" s="18">
        <v>985329000</v>
      </c>
      <c r="D1196" s="18">
        <v>2002</v>
      </c>
    </row>
    <row r="1197" spans="1:4" ht="19.95" customHeight="1" x14ac:dyDescent="0.25">
      <c r="A1197" s="17" t="s">
        <v>29</v>
      </c>
      <c r="B1197" s="18" t="s">
        <v>44</v>
      </c>
      <c r="C1197" s="18">
        <v>729019000</v>
      </c>
      <c r="D1197" s="18">
        <v>2002</v>
      </c>
    </row>
    <row r="1198" spans="1:4" ht="19.95" customHeight="1" x14ac:dyDescent="0.25">
      <c r="A1198" s="17" t="s">
        <v>31</v>
      </c>
      <c r="B1198" s="18" t="s">
        <v>44</v>
      </c>
      <c r="C1198" s="18">
        <v>1209560000</v>
      </c>
      <c r="D1198" s="18">
        <v>2002</v>
      </c>
    </row>
    <row r="1199" spans="1:4" ht="19.95" customHeight="1" x14ac:dyDescent="0.25">
      <c r="A1199" s="17" t="s">
        <v>32</v>
      </c>
      <c r="B1199" s="18" t="s">
        <v>44</v>
      </c>
      <c r="C1199" s="18">
        <v>811002000</v>
      </c>
      <c r="D1199" s="18">
        <v>2002</v>
      </c>
    </row>
    <row r="1200" spans="1:4" ht="19.95" customHeight="1" x14ac:dyDescent="0.25">
      <c r="A1200" s="17" t="s">
        <v>33</v>
      </c>
      <c r="B1200" s="18" t="s">
        <v>44</v>
      </c>
      <c r="C1200" s="18">
        <v>867301000</v>
      </c>
      <c r="D1200" s="18">
        <v>2002</v>
      </c>
    </row>
    <row r="1201" spans="1:4" ht="19.95" customHeight="1" x14ac:dyDescent="0.25">
      <c r="A1201" s="17" t="s">
        <v>34</v>
      </c>
      <c r="B1201" s="18" t="s">
        <v>44</v>
      </c>
      <c r="C1201" s="18">
        <v>825638000</v>
      </c>
      <c r="D1201" s="18">
        <v>2002</v>
      </c>
    </row>
    <row r="1202" spans="1:4" ht="19.95" customHeight="1" x14ac:dyDescent="0.25">
      <c r="A1202" s="17" t="s">
        <v>35</v>
      </c>
      <c r="B1202" s="18" t="s">
        <v>44</v>
      </c>
      <c r="C1202" s="18">
        <v>65589000</v>
      </c>
      <c r="D1202" s="18">
        <v>2002</v>
      </c>
    </row>
    <row r="1203" spans="1:4" ht="19.95" customHeight="1" x14ac:dyDescent="0.25">
      <c r="A1203" s="17" t="s">
        <v>2</v>
      </c>
      <c r="B1203" s="18" t="s">
        <v>44</v>
      </c>
      <c r="C1203" s="18">
        <v>1738467000</v>
      </c>
      <c r="D1203" s="18">
        <v>2002</v>
      </c>
    </row>
    <row r="1204" spans="1:4" ht="19.95" customHeight="1" x14ac:dyDescent="0.25">
      <c r="A1204" s="17" t="s">
        <v>36</v>
      </c>
      <c r="B1204" s="18" t="s">
        <v>44</v>
      </c>
      <c r="C1204" s="18">
        <v>194982000</v>
      </c>
      <c r="D1204" s="18">
        <v>2002</v>
      </c>
    </row>
    <row r="1205" spans="1:4" ht="19.95" customHeight="1" x14ac:dyDescent="0.25">
      <c r="A1205" s="17" t="s">
        <v>37</v>
      </c>
      <c r="B1205" s="18" t="s">
        <v>44</v>
      </c>
      <c r="C1205" s="18">
        <v>2874035000</v>
      </c>
      <c r="D1205" s="18">
        <v>2002</v>
      </c>
    </row>
    <row r="1206" spans="1:4" ht="19.95" customHeight="1" x14ac:dyDescent="0.25">
      <c r="A1206" s="17" t="s">
        <v>38</v>
      </c>
      <c r="B1206" s="18" t="s">
        <v>44</v>
      </c>
      <c r="C1206" s="18">
        <v>2575760000</v>
      </c>
      <c r="D1206" s="18">
        <v>2002</v>
      </c>
    </row>
    <row r="1207" spans="1:4" ht="19.95" customHeight="1" x14ac:dyDescent="0.25">
      <c r="A1207" s="17" t="s">
        <v>39</v>
      </c>
      <c r="B1207" s="18" t="s">
        <v>44</v>
      </c>
      <c r="C1207" s="18">
        <v>2154946000</v>
      </c>
      <c r="D1207" s="18">
        <v>2002</v>
      </c>
    </row>
    <row r="1208" spans="1:4" ht="19.95" customHeight="1" x14ac:dyDescent="0.25">
      <c r="A1208" s="17" t="s">
        <v>40</v>
      </c>
      <c r="B1208" s="18" t="s">
        <v>44</v>
      </c>
      <c r="C1208" s="18">
        <v>870802000</v>
      </c>
      <c r="D1208" s="18">
        <v>2002</v>
      </c>
    </row>
    <row r="1209" spans="1:4" ht="19.95" customHeight="1" x14ac:dyDescent="0.25">
      <c r="A1209" s="17" t="s">
        <v>10</v>
      </c>
      <c r="B1209" s="18" t="s">
        <v>44</v>
      </c>
      <c r="C1209" s="18">
        <v>731741000</v>
      </c>
      <c r="D1209" s="18">
        <v>2003</v>
      </c>
    </row>
    <row r="1210" spans="1:4" ht="19.95" customHeight="1" x14ac:dyDescent="0.25">
      <c r="A1210" s="17" t="s">
        <v>13</v>
      </c>
      <c r="B1210" s="18" t="s">
        <v>44</v>
      </c>
      <c r="C1210" s="18">
        <v>1089550000</v>
      </c>
      <c r="D1210" s="18">
        <v>2003</v>
      </c>
    </row>
    <row r="1211" spans="1:4" ht="19.95" customHeight="1" x14ac:dyDescent="0.25">
      <c r="A1211" s="17" t="s">
        <v>16</v>
      </c>
      <c r="B1211" s="18" t="s">
        <v>44</v>
      </c>
      <c r="C1211" s="18">
        <v>803480000</v>
      </c>
      <c r="D1211" s="18">
        <v>2003</v>
      </c>
    </row>
    <row r="1212" spans="1:4" ht="19.95" customHeight="1" x14ac:dyDescent="0.25">
      <c r="A1212" s="17" t="s">
        <v>15</v>
      </c>
      <c r="B1212" s="18" t="s">
        <v>44</v>
      </c>
      <c r="C1212" s="18">
        <v>112373000</v>
      </c>
      <c r="D1212" s="18">
        <v>2003</v>
      </c>
    </row>
    <row r="1213" spans="1:4" ht="19.95" customHeight="1" x14ac:dyDescent="0.25">
      <c r="A1213" s="17" t="s">
        <v>17</v>
      </c>
      <c r="B1213" s="18" t="s">
        <v>44</v>
      </c>
      <c r="C1213" s="18">
        <v>112140000</v>
      </c>
      <c r="D1213" s="18">
        <v>2003</v>
      </c>
    </row>
    <row r="1214" spans="1:4" ht="19.95" customHeight="1" x14ac:dyDescent="0.25">
      <c r="A1214" s="17" t="s">
        <v>18</v>
      </c>
      <c r="B1214" s="18" t="s">
        <v>44</v>
      </c>
      <c r="C1214" s="18">
        <v>3179154000</v>
      </c>
      <c r="D1214" s="18">
        <v>2003</v>
      </c>
    </row>
    <row r="1215" spans="1:4" ht="19.95" customHeight="1" x14ac:dyDescent="0.25">
      <c r="A1215" s="17" t="s">
        <v>19</v>
      </c>
      <c r="B1215" s="18" t="s">
        <v>44</v>
      </c>
      <c r="C1215" s="18">
        <v>1212237000</v>
      </c>
      <c r="D1215" s="18">
        <v>2003</v>
      </c>
    </row>
    <row r="1216" spans="1:4" ht="19.95" customHeight="1" x14ac:dyDescent="0.25">
      <c r="A1216" s="17" t="s">
        <v>20</v>
      </c>
      <c r="B1216" s="18" t="s">
        <v>44</v>
      </c>
      <c r="C1216" s="18">
        <v>517647000</v>
      </c>
      <c r="D1216" s="18">
        <v>2003</v>
      </c>
    </row>
    <row r="1217" spans="1:4" ht="19.95" customHeight="1" x14ac:dyDescent="0.25">
      <c r="A1217" s="17" t="s">
        <v>21</v>
      </c>
      <c r="B1217" s="18" t="s">
        <v>44</v>
      </c>
      <c r="C1217" s="18">
        <v>2741964000</v>
      </c>
      <c r="D1217" s="18">
        <v>2003</v>
      </c>
    </row>
    <row r="1218" spans="1:4" ht="19.95" customHeight="1" x14ac:dyDescent="0.25">
      <c r="A1218" s="17" t="s">
        <v>22</v>
      </c>
      <c r="B1218" s="18" t="s">
        <v>44</v>
      </c>
      <c r="C1218" s="18">
        <v>0</v>
      </c>
      <c r="D1218" s="18">
        <v>2003</v>
      </c>
    </row>
    <row r="1219" spans="1:4" ht="19.95" customHeight="1" x14ac:dyDescent="0.25">
      <c r="A1219" s="17" t="s">
        <v>23</v>
      </c>
      <c r="B1219" s="18" t="s">
        <v>44</v>
      </c>
      <c r="C1219" s="18">
        <v>260197000</v>
      </c>
      <c r="D1219" s="18">
        <v>2003</v>
      </c>
    </row>
    <row r="1220" spans="1:4" ht="19.95" customHeight="1" x14ac:dyDescent="0.25">
      <c r="A1220" s="17" t="s">
        <v>24</v>
      </c>
      <c r="B1220" s="18" t="s">
        <v>44</v>
      </c>
      <c r="C1220" s="18">
        <v>1975078000</v>
      </c>
      <c r="D1220" s="18">
        <v>2003</v>
      </c>
    </row>
    <row r="1221" spans="1:4" ht="19.95" customHeight="1" x14ac:dyDescent="0.25">
      <c r="A1221" s="17" t="s">
        <v>25</v>
      </c>
      <c r="B1221" s="18" t="s">
        <v>44</v>
      </c>
      <c r="C1221" s="18">
        <v>1958851000</v>
      </c>
      <c r="D1221" s="18">
        <v>2003</v>
      </c>
    </row>
    <row r="1222" spans="1:4" ht="19.95" customHeight="1" x14ac:dyDescent="0.25">
      <c r="A1222" s="17" t="s">
        <v>26</v>
      </c>
      <c r="B1222" s="18" t="s">
        <v>44</v>
      </c>
      <c r="C1222" s="18">
        <v>1321761000</v>
      </c>
      <c r="D1222" s="18">
        <v>2003</v>
      </c>
    </row>
    <row r="1223" spans="1:4" ht="19.95" customHeight="1" x14ac:dyDescent="0.25">
      <c r="A1223" s="17" t="s">
        <v>27</v>
      </c>
      <c r="B1223" s="18" t="s">
        <v>44</v>
      </c>
      <c r="C1223" s="18">
        <v>364747000</v>
      </c>
      <c r="D1223" s="18">
        <v>2003</v>
      </c>
    </row>
    <row r="1224" spans="1:4" ht="19.95" customHeight="1" x14ac:dyDescent="0.25">
      <c r="A1224" s="17" t="s">
        <v>28</v>
      </c>
      <c r="B1224" s="18" t="s">
        <v>44</v>
      </c>
      <c r="C1224" s="18">
        <v>1231640000</v>
      </c>
      <c r="D1224" s="18">
        <v>2003</v>
      </c>
    </row>
    <row r="1225" spans="1:4" ht="19.95" customHeight="1" x14ac:dyDescent="0.25">
      <c r="A1225" s="17" t="s">
        <v>29</v>
      </c>
      <c r="B1225" s="18" t="s">
        <v>44</v>
      </c>
      <c r="C1225" s="18">
        <v>762472000</v>
      </c>
      <c r="D1225" s="18">
        <v>2003</v>
      </c>
    </row>
    <row r="1226" spans="1:4" ht="19.95" customHeight="1" x14ac:dyDescent="0.25">
      <c r="A1226" s="17" t="s">
        <v>31</v>
      </c>
      <c r="B1226" s="18" t="s">
        <v>44</v>
      </c>
      <c r="C1226" s="18">
        <v>1387939000</v>
      </c>
      <c r="D1226" s="18">
        <v>2003</v>
      </c>
    </row>
    <row r="1227" spans="1:4" ht="19.95" customHeight="1" x14ac:dyDescent="0.25">
      <c r="A1227" s="17" t="s">
        <v>32</v>
      </c>
      <c r="B1227" s="18" t="s">
        <v>44</v>
      </c>
      <c r="C1227" s="18">
        <v>997635000</v>
      </c>
      <c r="D1227" s="18">
        <v>2003</v>
      </c>
    </row>
    <row r="1228" spans="1:4" ht="19.95" customHeight="1" x14ac:dyDescent="0.25">
      <c r="A1228" s="17" t="s">
        <v>33</v>
      </c>
      <c r="B1228" s="18" t="s">
        <v>44</v>
      </c>
      <c r="C1228" s="18">
        <v>1007409000</v>
      </c>
      <c r="D1228" s="18">
        <v>2003</v>
      </c>
    </row>
    <row r="1229" spans="1:4" ht="19.95" customHeight="1" x14ac:dyDescent="0.25">
      <c r="A1229" s="17" t="s">
        <v>34</v>
      </c>
      <c r="B1229" s="18" t="s">
        <v>44</v>
      </c>
      <c r="C1229" s="18">
        <v>909241000</v>
      </c>
      <c r="D1229" s="18">
        <v>2003</v>
      </c>
    </row>
    <row r="1230" spans="1:4" ht="19.95" customHeight="1" x14ac:dyDescent="0.25">
      <c r="A1230" s="17" t="s">
        <v>35</v>
      </c>
      <c r="B1230" s="18" t="s">
        <v>44</v>
      </c>
      <c r="C1230" s="18">
        <v>71429000</v>
      </c>
      <c r="D1230" s="18">
        <v>2003</v>
      </c>
    </row>
    <row r="1231" spans="1:4" ht="19.95" customHeight="1" x14ac:dyDescent="0.25">
      <c r="A1231" s="17" t="s">
        <v>2</v>
      </c>
      <c r="B1231" s="18" t="s">
        <v>44</v>
      </c>
      <c r="C1231" s="18">
        <v>2054258000</v>
      </c>
      <c r="D1231" s="18">
        <v>2003</v>
      </c>
    </row>
    <row r="1232" spans="1:4" ht="19.95" customHeight="1" x14ac:dyDescent="0.25">
      <c r="A1232" s="17" t="s">
        <v>36</v>
      </c>
      <c r="B1232" s="18" t="s">
        <v>44</v>
      </c>
      <c r="C1232" s="18">
        <v>227543000</v>
      </c>
      <c r="D1232" s="18">
        <v>2003</v>
      </c>
    </row>
    <row r="1233" spans="1:4" ht="19.95" customHeight="1" x14ac:dyDescent="0.25">
      <c r="A1233" s="17" t="s">
        <v>37</v>
      </c>
      <c r="B1233" s="18" t="s">
        <v>44</v>
      </c>
      <c r="C1233" s="18">
        <v>3476682000</v>
      </c>
      <c r="D1233" s="18">
        <v>2003</v>
      </c>
    </row>
    <row r="1234" spans="1:4" ht="19.95" customHeight="1" x14ac:dyDescent="0.25">
      <c r="A1234" s="17" t="s">
        <v>38</v>
      </c>
      <c r="B1234" s="18" t="s">
        <v>44</v>
      </c>
      <c r="C1234" s="18">
        <v>3060832000</v>
      </c>
      <c r="D1234" s="18">
        <v>2003</v>
      </c>
    </row>
    <row r="1235" spans="1:4" ht="19.95" customHeight="1" x14ac:dyDescent="0.25">
      <c r="A1235" s="17" t="s">
        <v>39</v>
      </c>
      <c r="B1235" s="18" t="s">
        <v>44</v>
      </c>
      <c r="C1235" s="18">
        <v>2408573000</v>
      </c>
      <c r="D1235" s="18">
        <v>2003</v>
      </c>
    </row>
    <row r="1236" spans="1:4" ht="19.95" customHeight="1" x14ac:dyDescent="0.25">
      <c r="A1236" s="17" t="s">
        <v>40</v>
      </c>
      <c r="B1236" s="18" t="s">
        <v>44</v>
      </c>
      <c r="C1236" s="18">
        <v>946450000</v>
      </c>
      <c r="D1236" s="18">
        <v>2003</v>
      </c>
    </row>
    <row r="1237" spans="1:4" ht="19.95" customHeight="1" x14ac:dyDescent="0.25">
      <c r="A1237" s="17" t="s">
        <v>10</v>
      </c>
      <c r="B1237" s="18" t="s">
        <v>44</v>
      </c>
      <c r="C1237" s="18">
        <v>792785000</v>
      </c>
      <c r="D1237" s="18">
        <v>2004</v>
      </c>
    </row>
    <row r="1238" spans="1:4" ht="19.95" customHeight="1" x14ac:dyDescent="0.25">
      <c r="A1238" s="17" t="s">
        <v>13</v>
      </c>
      <c r="B1238" s="18" t="s">
        <v>44</v>
      </c>
      <c r="C1238" s="18">
        <v>1199980000</v>
      </c>
      <c r="D1238" s="18">
        <v>2004</v>
      </c>
    </row>
    <row r="1239" spans="1:4" ht="19.95" customHeight="1" x14ac:dyDescent="0.25">
      <c r="A1239" s="17" t="s">
        <v>16</v>
      </c>
      <c r="B1239" s="18" t="s">
        <v>44</v>
      </c>
      <c r="C1239" s="18">
        <v>910435000</v>
      </c>
      <c r="D1239" s="18">
        <v>2004</v>
      </c>
    </row>
    <row r="1240" spans="1:4" ht="19.95" customHeight="1" x14ac:dyDescent="0.25">
      <c r="A1240" s="17" t="s">
        <v>15</v>
      </c>
      <c r="B1240" s="18" t="s">
        <v>44</v>
      </c>
      <c r="C1240" s="18">
        <v>118720000</v>
      </c>
      <c r="D1240" s="18">
        <v>2004</v>
      </c>
    </row>
    <row r="1241" spans="1:4" ht="19.95" customHeight="1" x14ac:dyDescent="0.25">
      <c r="A1241" s="17" t="s">
        <v>17</v>
      </c>
      <c r="B1241" s="18" t="s">
        <v>44</v>
      </c>
      <c r="C1241" s="18">
        <v>126386000</v>
      </c>
      <c r="D1241" s="18">
        <v>2004</v>
      </c>
    </row>
    <row r="1242" spans="1:4" ht="19.95" customHeight="1" x14ac:dyDescent="0.25">
      <c r="A1242" s="17" t="s">
        <v>18</v>
      </c>
      <c r="B1242" s="18" t="s">
        <v>44</v>
      </c>
      <c r="C1242" s="18">
        <v>3488363000</v>
      </c>
      <c r="D1242" s="18">
        <v>2004</v>
      </c>
    </row>
    <row r="1243" spans="1:4" ht="19.95" customHeight="1" x14ac:dyDescent="0.25">
      <c r="A1243" s="17" t="s">
        <v>19</v>
      </c>
      <c r="B1243" s="18" t="s">
        <v>44</v>
      </c>
      <c r="C1243" s="18">
        <v>1287046000</v>
      </c>
      <c r="D1243" s="18">
        <v>2004</v>
      </c>
    </row>
    <row r="1244" spans="1:4" ht="19.95" customHeight="1" x14ac:dyDescent="0.25">
      <c r="A1244" s="17" t="s">
        <v>20</v>
      </c>
      <c r="B1244" s="18" t="s">
        <v>44</v>
      </c>
      <c r="C1244" s="18">
        <v>504382000</v>
      </c>
      <c r="D1244" s="18">
        <v>2004</v>
      </c>
    </row>
    <row r="1245" spans="1:4" ht="19.95" customHeight="1" x14ac:dyDescent="0.25">
      <c r="A1245" s="17" t="s">
        <v>21</v>
      </c>
      <c r="B1245" s="18" t="s">
        <v>44</v>
      </c>
      <c r="C1245" s="18">
        <v>2882726000</v>
      </c>
      <c r="D1245" s="18">
        <v>2004</v>
      </c>
    </row>
    <row r="1246" spans="1:4" ht="19.95" customHeight="1" x14ac:dyDescent="0.25">
      <c r="A1246" s="17" t="s">
        <v>22</v>
      </c>
      <c r="B1246" s="18" t="s">
        <v>44</v>
      </c>
      <c r="C1246" s="18">
        <v>0</v>
      </c>
      <c r="D1246" s="18">
        <v>2004</v>
      </c>
    </row>
    <row r="1247" spans="1:4" ht="19.95" customHeight="1" x14ac:dyDescent="0.25">
      <c r="A1247" s="17" t="s">
        <v>23</v>
      </c>
      <c r="B1247" s="18" t="s">
        <v>44</v>
      </c>
      <c r="C1247" s="18">
        <v>272462000</v>
      </c>
      <c r="D1247" s="18">
        <v>2004</v>
      </c>
    </row>
    <row r="1248" spans="1:4" ht="19.95" customHeight="1" x14ac:dyDescent="0.25">
      <c r="A1248" s="17" t="s">
        <v>24</v>
      </c>
      <c r="B1248" s="18" t="s">
        <v>44</v>
      </c>
      <c r="C1248" s="18">
        <v>2268870000</v>
      </c>
      <c r="D1248" s="18">
        <v>2004</v>
      </c>
    </row>
    <row r="1249" spans="1:4" ht="19.95" customHeight="1" x14ac:dyDescent="0.25">
      <c r="A1249" s="17" t="s">
        <v>25</v>
      </c>
      <c r="B1249" s="18" t="s">
        <v>44</v>
      </c>
      <c r="C1249" s="18">
        <v>2075557000</v>
      </c>
      <c r="D1249" s="18">
        <v>2004</v>
      </c>
    </row>
    <row r="1250" spans="1:4" ht="19.95" customHeight="1" x14ac:dyDescent="0.25">
      <c r="A1250" s="17" t="s">
        <v>26</v>
      </c>
      <c r="B1250" s="18" t="s">
        <v>44</v>
      </c>
      <c r="C1250" s="18">
        <v>1440710000</v>
      </c>
      <c r="D1250" s="18">
        <v>2004</v>
      </c>
    </row>
    <row r="1251" spans="1:4" ht="19.95" customHeight="1" x14ac:dyDescent="0.25">
      <c r="A1251" s="17" t="s">
        <v>27</v>
      </c>
      <c r="B1251" s="18" t="s">
        <v>44</v>
      </c>
      <c r="C1251" s="18">
        <v>385763000</v>
      </c>
      <c r="D1251" s="18">
        <v>2004</v>
      </c>
    </row>
    <row r="1252" spans="1:4" ht="19.95" customHeight="1" x14ac:dyDescent="0.25">
      <c r="A1252" s="17" t="s">
        <v>28</v>
      </c>
      <c r="B1252" s="18" t="s">
        <v>44</v>
      </c>
      <c r="C1252" s="18">
        <v>1475223000</v>
      </c>
      <c r="D1252" s="18">
        <v>2004</v>
      </c>
    </row>
    <row r="1253" spans="1:4" ht="19.95" customHeight="1" x14ac:dyDescent="0.25">
      <c r="A1253" s="17" t="s">
        <v>29</v>
      </c>
      <c r="B1253" s="18" t="s">
        <v>44</v>
      </c>
      <c r="C1253" s="18">
        <v>774238000</v>
      </c>
      <c r="D1253" s="18">
        <v>2004</v>
      </c>
    </row>
    <row r="1254" spans="1:4" ht="19.95" customHeight="1" x14ac:dyDescent="0.25">
      <c r="A1254" s="17" t="s">
        <v>31</v>
      </c>
      <c r="B1254" s="18" t="s">
        <v>44</v>
      </c>
      <c r="C1254" s="18">
        <v>1490945000</v>
      </c>
      <c r="D1254" s="18">
        <v>2004</v>
      </c>
    </row>
    <row r="1255" spans="1:4" ht="19.95" customHeight="1" x14ac:dyDescent="0.25">
      <c r="A1255" s="17" t="s">
        <v>32</v>
      </c>
      <c r="B1255" s="18" t="s">
        <v>44</v>
      </c>
      <c r="C1255" s="18">
        <v>1166845000</v>
      </c>
      <c r="D1255" s="18">
        <v>2004</v>
      </c>
    </row>
    <row r="1256" spans="1:4" ht="19.95" customHeight="1" x14ac:dyDescent="0.25">
      <c r="A1256" s="17" t="s">
        <v>33</v>
      </c>
      <c r="B1256" s="18" t="s">
        <v>44</v>
      </c>
      <c r="C1256" s="18">
        <v>1106072000</v>
      </c>
      <c r="D1256" s="18">
        <v>2004</v>
      </c>
    </row>
    <row r="1257" spans="1:4" ht="19.95" customHeight="1" x14ac:dyDescent="0.25">
      <c r="A1257" s="17" t="s">
        <v>34</v>
      </c>
      <c r="B1257" s="18" t="s">
        <v>44</v>
      </c>
      <c r="C1257" s="18">
        <v>1019855000</v>
      </c>
      <c r="D1257" s="18">
        <v>2004</v>
      </c>
    </row>
    <row r="1258" spans="1:4" ht="19.95" customHeight="1" x14ac:dyDescent="0.25">
      <c r="A1258" s="17" t="s">
        <v>35</v>
      </c>
      <c r="B1258" s="18" t="s">
        <v>44</v>
      </c>
      <c r="C1258" s="18">
        <v>76884000</v>
      </c>
      <c r="D1258" s="18">
        <v>2004</v>
      </c>
    </row>
    <row r="1259" spans="1:4" ht="19.95" customHeight="1" x14ac:dyDescent="0.25">
      <c r="A1259" s="17" t="s">
        <v>2</v>
      </c>
      <c r="B1259" s="18" t="s">
        <v>44</v>
      </c>
      <c r="C1259" s="18">
        <v>2168301000</v>
      </c>
      <c r="D1259" s="18">
        <v>2004</v>
      </c>
    </row>
    <row r="1260" spans="1:4" ht="19.95" customHeight="1" x14ac:dyDescent="0.25">
      <c r="A1260" s="17" t="s">
        <v>36</v>
      </c>
      <c r="B1260" s="18" t="s">
        <v>44</v>
      </c>
      <c r="C1260" s="18">
        <v>295673000</v>
      </c>
      <c r="D1260" s="18">
        <v>2004</v>
      </c>
    </row>
    <row r="1261" spans="1:4" ht="19.95" customHeight="1" x14ac:dyDescent="0.25">
      <c r="A1261" s="17" t="s">
        <v>37</v>
      </c>
      <c r="B1261" s="18" t="s">
        <v>44</v>
      </c>
      <c r="C1261" s="18">
        <v>3915514000</v>
      </c>
      <c r="D1261" s="18">
        <v>2004</v>
      </c>
    </row>
    <row r="1262" spans="1:4" ht="19.95" customHeight="1" x14ac:dyDescent="0.25">
      <c r="A1262" s="17" t="s">
        <v>38</v>
      </c>
      <c r="B1262" s="18" t="s">
        <v>44</v>
      </c>
      <c r="C1262" s="18">
        <v>3302693000</v>
      </c>
      <c r="D1262" s="18">
        <v>2004</v>
      </c>
    </row>
    <row r="1263" spans="1:4" ht="19.95" customHeight="1" x14ac:dyDescent="0.25">
      <c r="A1263" s="17" t="s">
        <v>39</v>
      </c>
      <c r="B1263" s="18" t="s">
        <v>44</v>
      </c>
      <c r="C1263" s="18">
        <v>2637410000</v>
      </c>
      <c r="D1263" s="18">
        <v>2004</v>
      </c>
    </row>
    <row r="1264" spans="1:4" ht="19.95" customHeight="1" x14ac:dyDescent="0.25">
      <c r="A1264" s="17" t="s">
        <v>40</v>
      </c>
      <c r="B1264" s="18" t="s">
        <v>44</v>
      </c>
      <c r="C1264" s="18">
        <v>982879000</v>
      </c>
      <c r="D1264" s="18">
        <v>2004</v>
      </c>
    </row>
    <row r="1265" spans="1:4" ht="19.95" customHeight="1" x14ac:dyDescent="0.25">
      <c r="A1265" s="17" t="s">
        <v>10</v>
      </c>
      <c r="B1265" s="18" t="s">
        <v>44</v>
      </c>
      <c r="C1265" s="18">
        <v>750805000</v>
      </c>
      <c r="D1265" s="18">
        <v>2005</v>
      </c>
    </row>
    <row r="1266" spans="1:4" ht="19.95" customHeight="1" x14ac:dyDescent="0.25">
      <c r="A1266" s="17" t="s">
        <v>13</v>
      </c>
      <c r="B1266" s="18" t="s">
        <v>44</v>
      </c>
      <c r="C1266" s="18">
        <v>1115359000</v>
      </c>
      <c r="D1266" s="18">
        <v>2005</v>
      </c>
    </row>
    <row r="1267" spans="1:4" ht="19.95" customHeight="1" x14ac:dyDescent="0.25">
      <c r="A1267" s="17" t="s">
        <v>16</v>
      </c>
      <c r="B1267" s="18" t="s">
        <v>44</v>
      </c>
      <c r="C1267" s="18">
        <v>898960000</v>
      </c>
      <c r="D1267" s="18">
        <v>2005</v>
      </c>
    </row>
    <row r="1268" spans="1:4" ht="19.95" customHeight="1" x14ac:dyDescent="0.25">
      <c r="A1268" s="17" t="s">
        <v>15</v>
      </c>
      <c r="B1268" s="18" t="s">
        <v>44</v>
      </c>
      <c r="C1268" s="18">
        <v>111076000</v>
      </c>
      <c r="D1268" s="18">
        <v>2005</v>
      </c>
    </row>
    <row r="1269" spans="1:4" ht="19.95" customHeight="1" x14ac:dyDescent="0.25">
      <c r="A1269" s="17" t="s">
        <v>17</v>
      </c>
      <c r="B1269" s="18" t="s">
        <v>44</v>
      </c>
      <c r="C1269" s="18">
        <v>120303000</v>
      </c>
      <c r="D1269" s="18">
        <v>2005</v>
      </c>
    </row>
    <row r="1270" spans="1:4" ht="19.95" customHeight="1" x14ac:dyDescent="0.25">
      <c r="A1270" s="17" t="s">
        <v>18</v>
      </c>
      <c r="B1270" s="18" t="s">
        <v>44</v>
      </c>
      <c r="C1270" s="18">
        <v>3358909000</v>
      </c>
      <c r="D1270" s="18">
        <v>2005</v>
      </c>
    </row>
    <row r="1271" spans="1:4" ht="19.95" customHeight="1" x14ac:dyDescent="0.25">
      <c r="A1271" s="17" t="s">
        <v>19</v>
      </c>
      <c r="B1271" s="18" t="s">
        <v>44</v>
      </c>
      <c r="C1271" s="18">
        <v>1204761000</v>
      </c>
      <c r="D1271" s="18">
        <v>2005</v>
      </c>
    </row>
    <row r="1272" spans="1:4" ht="19.95" customHeight="1" x14ac:dyDescent="0.25">
      <c r="A1272" s="17" t="s">
        <v>20</v>
      </c>
      <c r="B1272" s="18" t="s">
        <v>44</v>
      </c>
      <c r="C1272" s="18">
        <v>505484000</v>
      </c>
      <c r="D1272" s="18">
        <v>2005</v>
      </c>
    </row>
    <row r="1273" spans="1:4" ht="19.95" customHeight="1" x14ac:dyDescent="0.25">
      <c r="A1273" s="17" t="s">
        <v>21</v>
      </c>
      <c r="B1273" s="18" t="s">
        <v>44</v>
      </c>
      <c r="C1273" s="18">
        <v>2663224000</v>
      </c>
      <c r="D1273" s="18">
        <v>2005</v>
      </c>
    </row>
    <row r="1274" spans="1:4" ht="19.95" customHeight="1" x14ac:dyDescent="0.25">
      <c r="A1274" s="17" t="s">
        <v>22</v>
      </c>
      <c r="B1274" s="18" t="s">
        <v>44</v>
      </c>
      <c r="C1274" s="18">
        <v>0</v>
      </c>
      <c r="D1274" s="18">
        <v>2005</v>
      </c>
    </row>
    <row r="1275" spans="1:4" ht="19.95" customHeight="1" x14ac:dyDescent="0.25">
      <c r="A1275" s="17" t="s">
        <v>23</v>
      </c>
      <c r="B1275" s="18" t="s">
        <v>44</v>
      </c>
      <c r="C1275" s="18">
        <v>251496000</v>
      </c>
      <c r="D1275" s="18">
        <v>2005</v>
      </c>
    </row>
    <row r="1276" spans="1:4" ht="19.95" customHeight="1" x14ac:dyDescent="0.25">
      <c r="A1276" s="17" t="s">
        <v>24</v>
      </c>
      <c r="B1276" s="18" t="s">
        <v>44</v>
      </c>
      <c r="C1276" s="18">
        <v>2297933000</v>
      </c>
      <c r="D1276" s="18">
        <v>2005</v>
      </c>
    </row>
    <row r="1277" spans="1:4" ht="19.95" customHeight="1" x14ac:dyDescent="0.25">
      <c r="A1277" s="17" t="s">
        <v>25</v>
      </c>
      <c r="B1277" s="18" t="s">
        <v>44</v>
      </c>
      <c r="C1277" s="18">
        <v>1940401000</v>
      </c>
      <c r="D1277" s="18">
        <v>2005</v>
      </c>
    </row>
    <row r="1278" spans="1:4" ht="19.95" customHeight="1" x14ac:dyDescent="0.25">
      <c r="A1278" s="17" t="s">
        <v>26</v>
      </c>
      <c r="B1278" s="18" t="s">
        <v>44</v>
      </c>
      <c r="C1278" s="18">
        <v>1423842000</v>
      </c>
      <c r="D1278" s="18">
        <v>2005</v>
      </c>
    </row>
    <row r="1279" spans="1:4" ht="19.95" customHeight="1" x14ac:dyDescent="0.25">
      <c r="A1279" s="17" t="s">
        <v>27</v>
      </c>
      <c r="B1279" s="18" t="s">
        <v>44</v>
      </c>
      <c r="C1279" s="18">
        <v>370582000</v>
      </c>
      <c r="D1279" s="18">
        <v>2005</v>
      </c>
    </row>
    <row r="1280" spans="1:4" ht="19.95" customHeight="1" x14ac:dyDescent="0.25">
      <c r="A1280" s="17" t="s">
        <v>28</v>
      </c>
      <c r="B1280" s="18" t="s">
        <v>44</v>
      </c>
      <c r="C1280" s="18">
        <v>1574781000</v>
      </c>
      <c r="D1280" s="18">
        <v>2005</v>
      </c>
    </row>
    <row r="1281" spans="1:4" ht="19.95" customHeight="1" x14ac:dyDescent="0.25">
      <c r="A1281" s="17" t="s">
        <v>29</v>
      </c>
      <c r="B1281" s="18" t="s">
        <v>44</v>
      </c>
      <c r="C1281" s="18">
        <v>752210000</v>
      </c>
      <c r="D1281" s="18">
        <v>2005</v>
      </c>
    </row>
    <row r="1282" spans="1:4" ht="19.95" customHeight="1" x14ac:dyDescent="0.25">
      <c r="A1282" s="17" t="s">
        <v>31</v>
      </c>
      <c r="B1282" s="18" t="s">
        <v>44</v>
      </c>
      <c r="C1282" s="18">
        <v>1395638000</v>
      </c>
      <c r="D1282" s="18">
        <v>2005</v>
      </c>
    </row>
    <row r="1283" spans="1:4" ht="19.95" customHeight="1" x14ac:dyDescent="0.25">
      <c r="A1283" s="17" t="s">
        <v>32</v>
      </c>
      <c r="B1283" s="18" t="s">
        <v>44</v>
      </c>
      <c r="C1283" s="18">
        <v>1135673000</v>
      </c>
      <c r="D1283" s="18">
        <v>2005</v>
      </c>
    </row>
    <row r="1284" spans="1:4" ht="19.95" customHeight="1" x14ac:dyDescent="0.25">
      <c r="A1284" s="17" t="s">
        <v>33</v>
      </c>
      <c r="B1284" s="18" t="s">
        <v>44</v>
      </c>
      <c r="C1284" s="18">
        <v>1080122000</v>
      </c>
      <c r="D1284" s="18">
        <v>2005</v>
      </c>
    </row>
    <row r="1285" spans="1:4" ht="19.95" customHeight="1" x14ac:dyDescent="0.25">
      <c r="A1285" s="17" t="s">
        <v>34</v>
      </c>
      <c r="B1285" s="18" t="s">
        <v>44</v>
      </c>
      <c r="C1285" s="18">
        <v>980303000</v>
      </c>
      <c r="D1285" s="18">
        <v>2005</v>
      </c>
    </row>
    <row r="1286" spans="1:4" ht="19.95" customHeight="1" x14ac:dyDescent="0.25">
      <c r="A1286" s="17" t="s">
        <v>35</v>
      </c>
      <c r="B1286" s="18" t="s">
        <v>44</v>
      </c>
      <c r="C1286" s="18">
        <v>72355000</v>
      </c>
      <c r="D1286" s="18">
        <v>2005</v>
      </c>
    </row>
    <row r="1287" spans="1:4" ht="19.95" customHeight="1" x14ac:dyDescent="0.25">
      <c r="A1287" s="17" t="s">
        <v>2</v>
      </c>
      <c r="B1287" s="18" t="s">
        <v>44</v>
      </c>
      <c r="C1287" s="18">
        <v>2094999000</v>
      </c>
      <c r="D1287" s="18">
        <v>2005</v>
      </c>
    </row>
    <row r="1288" spans="1:4" ht="19.95" customHeight="1" x14ac:dyDescent="0.25">
      <c r="A1288" s="17" t="s">
        <v>36</v>
      </c>
      <c r="B1288" s="18" t="s">
        <v>44</v>
      </c>
      <c r="C1288" s="18">
        <v>307705000</v>
      </c>
      <c r="D1288" s="18">
        <v>2005</v>
      </c>
    </row>
    <row r="1289" spans="1:4" ht="19.95" customHeight="1" x14ac:dyDescent="0.25">
      <c r="A1289" s="17" t="s">
        <v>37</v>
      </c>
      <c r="B1289" s="18" t="s">
        <v>44</v>
      </c>
      <c r="C1289" s="18">
        <v>3860941000</v>
      </c>
      <c r="D1289" s="18">
        <v>2005</v>
      </c>
    </row>
    <row r="1290" spans="1:4" ht="19.95" customHeight="1" x14ac:dyDescent="0.25">
      <c r="A1290" s="17" t="s">
        <v>38</v>
      </c>
      <c r="B1290" s="18" t="s">
        <v>44</v>
      </c>
      <c r="C1290" s="18">
        <v>3141494000</v>
      </c>
      <c r="D1290" s="18">
        <v>2005</v>
      </c>
    </row>
    <row r="1291" spans="1:4" ht="19.95" customHeight="1" x14ac:dyDescent="0.25">
      <c r="A1291" s="17" t="s">
        <v>39</v>
      </c>
      <c r="B1291" s="18" t="s">
        <v>44</v>
      </c>
      <c r="C1291" s="18">
        <v>2488266000</v>
      </c>
      <c r="D1291" s="18">
        <v>2005</v>
      </c>
    </row>
    <row r="1292" spans="1:4" ht="19.95" customHeight="1" x14ac:dyDescent="0.25">
      <c r="A1292" s="17" t="s">
        <v>40</v>
      </c>
      <c r="B1292" s="18" t="s">
        <v>44</v>
      </c>
      <c r="C1292" s="18">
        <v>915253000</v>
      </c>
      <c r="D1292" s="18">
        <v>2005</v>
      </c>
    </row>
    <row r="1293" spans="1:4" ht="19.95" customHeight="1" x14ac:dyDescent="0.25">
      <c r="A1293" s="17" t="s">
        <v>10</v>
      </c>
      <c r="B1293" s="18" t="s">
        <v>44</v>
      </c>
      <c r="C1293" s="18">
        <v>796977000</v>
      </c>
      <c r="D1293" s="18">
        <v>2006</v>
      </c>
    </row>
    <row r="1294" spans="1:4" ht="19.95" customHeight="1" x14ac:dyDescent="0.25">
      <c r="A1294" s="17" t="s">
        <v>13</v>
      </c>
      <c r="B1294" s="18" t="s">
        <v>44</v>
      </c>
      <c r="C1294" s="18">
        <v>216276000</v>
      </c>
      <c r="D1294" s="18">
        <v>2006</v>
      </c>
    </row>
    <row r="1295" spans="1:4" ht="19.95" customHeight="1" x14ac:dyDescent="0.25">
      <c r="A1295" s="17" t="s">
        <v>16</v>
      </c>
      <c r="B1295" s="18" t="s">
        <v>44</v>
      </c>
      <c r="C1295" s="18">
        <v>955598000</v>
      </c>
      <c r="D1295" s="18">
        <v>2006</v>
      </c>
    </row>
    <row r="1296" spans="1:4" ht="19.95" customHeight="1" x14ac:dyDescent="0.25">
      <c r="A1296" s="17" t="s">
        <v>15</v>
      </c>
      <c r="B1296" s="18" t="s">
        <v>44</v>
      </c>
      <c r="C1296" s="18">
        <v>117087000</v>
      </c>
      <c r="D1296" s="18">
        <v>2006</v>
      </c>
    </row>
    <row r="1297" spans="1:4" ht="19.95" customHeight="1" x14ac:dyDescent="0.25">
      <c r="A1297" s="17" t="s">
        <v>17</v>
      </c>
      <c r="B1297" s="18" t="s">
        <v>44</v>
      </c>
      <c r="C1297" s="18">
        <v>133347000</v>
      </c>
      <c r="D1297" s="18">
        <v>2006</v>
      </c>
    </row>
    <row r="1298" spans="1:4" ht="19.95" customHeight="1" x14ac:dyDescent="0.25">
      <c r="A1298" s="17" t="s">
        <v>18</v>
      </c>
      <c r="B1298" s="18" t="s">
        <v>44</v>
      </c>
      <c r="C1298" s="18">
        <v>552614000</v>
      </c>
      <c r="D1298" s="18">
        <v>2006</v>
      </c>
    </row>
    <row r="1299" spans="1:4" ht="19.95" customHeight="1" x14ac:dyDescent="0.25">
      <c r="A1299" s="17" t="s">
        <v>19</v>
      </c>
      <c r="B1299" s="18" t="s">
        <v>44</v>
      </c>
      <c r="C1299" s="18">
        <v>1259015000</v>
      </c>
      <c r="D1299" s="18">
        <v>2006</v>
      </c>
    </row>
    <row r="1300" spans="1:4" ht="19.95" customHeight="1" x14ac:dyDescent="0.25">
      <c r="A1300" s="17" t="s">
        <v>20</v>
      </c>
      <c r="B1300" s="18" t="s">
        <v>44</v>
      </c>
      <c r="C1300" s="18">
        <v>511457000</v>
      </c>
      <c r="D1300" s="18">
        <v>2006</v>
      </c>
    </row>
    <row r="1301" spans="1:4" ht="19.95" customHeight="1" x14ac:dyDescent="0.25">
      <c r="A1301" s="17" t="s">
        <v>21</v>
      </c>
      <c r="B1301" s="18" t="s">
        <v>44</v>
      </c>
      <c r="C1301" s="18">
        <v>2764089000</v>
      </c>
      <c r="D1301" s="18">
        <v>2006</v>
      </c>
    </row>
    <row r="1302" spans="1:4" ht="19.95" customHeight="1" x14ac:dyDescent="0.25">
      <c r="A1302" s="17" t="s">
        <v>22</v>
      </c>
      <c r="B1302" s="18" t="s">
        <v>44</v>
      </c>
      <c r="C1302" s="18">
        <v>0</v>
      </c>
      <c r="D1302" s="18">
        <v>2006</v>
      </c>
    </row>
    <row r="1303" spans="1:4" ht="19.95" customHeight="1" x14ac:dyDescent="0.25">
      <c r="A1303" s="17" t="s">
        <v>23</v>
      </c>
      <c r="B1303" s="18" t="s">
        <v>44</v>
      </c>
      <c r="C1303" s="18">
        <v>255535000</v>
      </c>
      <c r="D1303" s="18">
        <v>2006</v>
      </c>
    </row>
    <row r="1304" spans="1:4" ht="19.95" customHeight="1" x14ac:dyDescent="0.25">
      <c r="A1304" s="17" t="s">
        <v>24</v>
      </c>
      <c r="B1304" s="18" t="s">
        <v>44</v>
      </c>
      <c r="C1304" s="18">
        <v>636053000</v>
      </c>
      <c r="D1304" s="18">
        <v>2006</v>
      </c>
    </row>
    <row r="1305" spans="1:4" ht="19.95" customHeight="1" x14ac:dyDescent="0.25">
      <c r="A1305" s="17" t="s">
        <v>25</v>
      </c>
      <c r="B1305" s="18" t="s">
        <v>44</v>
      </c>
      <c r="C1305" s="18">
        <v>156890000</v>
      </c>
      <c r="D1305" s="18">
        <v>2006</v>
      </c>
    </row>
    <row r="1306" spans="1:4" ht="19.95" customHeight="1" x14ac:dyDescent="0.25">
      <c r="A1306" s="17" t="s">
        <v>26</v>
      </c>
      <c r="B1306" s="18" t="s">
        <v>44</v>
      </c>
      <c r="C1306" s="18">
        <v>297359000</v>
      </c>
      <c r="D1306" s="18">
        <v>2006</v>
      </c>
    </row>
    <row r="1307" spans="1:4" ht="19.95" customHeight="1" x14ac:dyDescent="0.25">
      <c r="A1307" s="17" t="s">
        <v>27</v>
      </c>
      <c r="B1307" s="18" t="s">
        <v>44</v>
      </c>
      <c r="C1307" s="18">
        <v>393389000</v>
      </c>
      <c r="D1307" s="18">
        <v>2006</v>
      </c>
    </row>
    <row r="1308" spans="1:4" ht="19.95" customHeight="1" x14ac:dyDescent="0.25">
      <c r="A1308" s="17" t="s">
        <v>28</v>
      </c>
      <c r="B1308" s="18" t="s">
        <v>44</v>
      </c>
      <c r="C1308" s="18">
        <v>655468000</v>
      </c>
      <c r="D1308" s="18">
        <v>2006</v>
      </c>
    </row>
    <row r="1309" spans="1:4" ht="19.95" customHeight="1" x14ac:dyDescent="0.25">
      <c r="A1309" s="17" t="s">
        <v>29</v>
      </c>
      <c r="B1309" s="18" t="s">
        <v>44</v>
      </c>
      <c r="C1309" s="18">
        <v>775878000</v>
      </c>
      <c r="D1309" s="18">
        <v>2006</v>
      </c>
    </row>
    <row r="1310" spans="1:4" ht="19.95" customHeight="1" x14ac:dyDescent="0.25">
      <c r="A1310" s="17" t="s">
        <v>31</v>
      </c>
      <c r="B1310" s="18" t="s">
        <v>44</v>
      </c>
      <c r="C1310" s="18">
        <v>1467969000</v>
      </c>
      <c r="D1310" s="18">
        <v>2006</v>
      </c>
    </row>
    <row r="1311" spans="1:4" ht="19.95" customHeight="1" x14ac:dyDescent="0.25">
      <c r="A1311" s="17" t="s">
        <v>32</v>
      </c>
      <c r="B1311" s="18" t="s">
        <v>44</v>
      </c>
      <c r="C1311" s="18">
        <v>255656000</v>
      </c>
      <c r="D1311" s="18">
        <v>2006</v>
      </c>
    </row>
    <row r="1312" spans="1:4" ht="19.95" customHeight="1" x14ac:dyDescent="0.25">
      <c r="A1312" s="17" t="s">
        <v>33</v>
      </c>
      <c r="B1312" s="18" t="s">
        <v>44</v>
      </c>
      <c r="C1312" s="18">
        <v>188900000</v>
      </c>
      <c r="D1312" s="18">
        <v>2006</v>
      </c>
    </row>
    <row r="1313" spans="1:4" ht="19.95" customHeight="1" x14ac:dyDescent="0.25">
      <c r="A1313" s="17" t="s">
        <v>34</v>
      </c>
      <c r="B1313" s="18" t="s">
        <v>44</v>
      </c>
      <c r="C1313" s="18">
        <v>168510000</v>
      </c>
      <c r="D1313" s="18">
        <v>2006</v>
      </c>
    </row>
    <row r="1314" spans="1:4" ht="19.95" customHeight="1" x14ac:dyDescent="0.25">
      <c r="A1314" s="17" t="s">
        <v>35</v>
      </c>
      <c r="B1314" s="18" t="s">
        <v>44</v>
      </c>
      <c r="C1314" s="18">
        <v>76421000</v>
      </c>
      <c r="D1314" s="18">
        <v>2006</v>
      </c>
    </row>
    <row r="1315" spans="1:4" ht="19.95" customHeight="1" x14ac:dyDescent="0.25">
      <c r="A1315" s="17" t="s">
        <v>2</v>
      </c>
      <c r="B1315" s="18" t="s">
        <v>44</v>
      </c>
      <c r="C1315" s="18">
        <v>2244549000</v>
      </c>
      <c r="D1315" s="18">
        <v>2006</v>
      </c>
    </row>
    <row r="1316" spans="1:4" ht="19.95" customHeight="1" x14ac:dyDescent="0.25">
      <c r="A1316" s="17" t="s">
        <v>36</v>
      </c>
      <c r="B1316" s="18" t="s">
        <v>44</v>
      </c>
      <c r="C1316" s="18">
        <v>339036000</v>
      </c>
      <c r="D1316" s="18">
        <v>2006</v>
      </c>
    </row>
    <row r="1317" spans="1:4" ht="19.95" customHeight="1" x14ac:dyDescent="0.25">
      <c r="A1317" s="17" t="s">
        <v>37</v>
      </c>
      <c r="B1317" s="18" t="s">
        <v>44</v>
      </c>
      <c r="C1317" s="18">
        <v>1055760000</v>
      </c>
      <c r="D1317" s="18">
        <v>2006</v>
      </c>
    </row>
    <row r="1318" spans="1:4" ht="19.95" customHeight="1" x14ac:dyDescent="0.25">
      <c r="A1318" s="17" t="s">
        <v>38</v>
      </c>
      <c r="B1318" s="18" t="s">
        <v>44</v>
      </c>
      <c r="C1318" s="18">
        <v>436242000</v>
      </c>
      <c r="D1318" s="18">
        <v>2006</v>
      </c>
    </row>
    <row r="1319" spans="1:4" ht="19.95" customHeight="1" x14ac:dyDescent="0.25">
      <c r="A1319" s="17" t="s">
        <v>39</v>
      </c>
      <c r="B1319" s="18" t="s">
        <v>44</v>
      </c>
      <c r="C1319" s="18">
        <v>259933000</v>
      </c>
      <c r="D1319" s="18">
        <v>2006</v>
      </c>
    </row>
    <row r="1320" spans="1:4" ht="19.95" customHeight="1" x14ac:dyDescent="0.25">
      <c r="A1320" s="17" t="s">
        <v>40</v>
      </c>
      <c r="B1320" s="18" t="s">
        <v>44</v>
      </c>
      <c r="C1320" s="18">
        <v>946215000</v>
      </c>
      <c r="D1320" s="18">
        <v>2006</v>
      </c>
    </row>
    <row r="1321" spans="1:4" ht="19.95" customHeight="1" x14ac:dyDescent="0.25">
      <c r="A1321" s="17" t="s">
        <v>10</v>
      </c>
      <c r="B1321" s="18" t="s">
        <v>44</v>
      </c>
      <c r="C1321" s="18">
        <v>830118000</v>
      </c>
      <c r="D1321" s="18">
        <v>2007</v>
      </c>
    </row>
    <row r="1322" spans="1:4" ht="19.95" customHeight="1" x14ac:dyDescent="0.25">
      <c r="A1322" s="17" t="s">
        <v>13</v>
      </c>
      <c r="B1322" s="18" t="s">
        <v>44</v>
      </c>
      <c r="C1322" s="18">
        <v>238537000</v>
      </c>
      <c r="D1322" s="18">
        <v>2007</v>
      </c>
    </row>
    <row r="1323" spans="1:4" ht="19.95" customHeight="1" x14ac:dyDescent="0.25">
      <c r="A1323" s="17" t="s">
        <v>16</v>
      </c>
      <c r="B1323" s="18" t="s">
        <v>44</v>
      </c>
      <c r="C1323" s="18">
        <v>993807000</v>
      </c>
      <c r="D1323" s="18">
        <v>2007</v>
      </c>
    </row>
    <row r="1324" spans="1:4" ht="19.95" customHeight="1" x14ac:dyDescent="0.25">
      <c r="A1324" s="17" t="s">
        <v>15</v>
      </c>
      <c r="B1324" s="18" t="s">
        <v>44</v>
      </c>
      <c r="C1324" s="18">
        <v>124350000</v>
      </c>
      <c r="D1324" s="18">
        <v>2007</v>
      </c>
    </row>
    <row r="1325" spans="1:4" ht="19.95" customHeight="1" x14ac:dyDescent="0.25">
      <c r="A1325" s="17" t="s">
        <v>17</v>
      </c>
      <c r="B1325" s="18" t="s">
        <v>44</v>
      </c>
      <c r="C1325" s="18">
        <v>147161000</v>
      </c>
      <c r="D1325" s="18">
        <v>2007</v>
      </c>
    </row>
    <row r="1326" spans="1:4" ht="19.95" customHeight="1" x14ac:dyDescent="0.25">
      <c r="A1326" s="17" t="s">
        <v>18</v>
      </c>
      <c r="B1326" s="18" t="s">
        <v>44</v>
      </c>
      <c r="C1326" s="18">
        <v>710571000</v>
      </c>
      <c r="D1326" s="18">
        <v>2007</v>
      </c>
    </row>
    <row r="1327" spans="1:4" ht="19.95" customHeight="1" x14ac:dyDescent="0.25">
      <c r="A1327" s="17" t="s">
        <v>19</v>
      </c>
      <c r="B1327" s="18" t="s">
        <v>44</v>
      </c>
      <c r="C1327" s="18">
        <v>1305197000</v>
      </c>
      <c r="D1327" s="18">
        <v>2007</v>
      </c>
    </row>
    <row r="1328" spans="1:4" ht="19.95" customHeight="1" x14ac:dyDescent="0.25">
      <c r="A1328" s="17" t="s">
        <v>20</v>
      </c>
      <c r="B1328" s="18" t="s">
        <v>44</v>
      </c>
      <c r="C1328" s="18">
        <v>518369000</v>
      </c>
      <c r="D1328" s="18">
        <v>2007</v>
      </c>
    </row>
    <row r="1329" spans="1:4" ht="19.95" customHeight="1" x14ac:dyDescent="0.25">
      <c r="A1329" s="17" t="s">
        <v>21</v>
      </c>
      <c r="B1329" s="18" t="s">
        <v>44</v>
      </c>
      <c r="C1329" s="18">
        <v>2968119000</v>
      </c>
      <c r="D1329" s="18">
        <v>2007</v>
      </c>
    </row>
    <row r="1330" spans="1:4" ht="19.95" customHeight="1" x14ac:dyDescent="0.25">
      <c r="A1330" s="17" t="s">
        <v>22</v>
      </c>
      <c r="B1330" s="18" t="s">
        <v>44</v>
      </c>
      <c r="C1330" s="18">
        <v>0</v>
      </c>
      <c r="D1330" s="18">
        <v>2007</v>
      </c>
    </row>
    <row r="1331" spans="1:4" ht="19.95" customHeight="1" x14ac:dyDescent="0.25">
      <c r="A1331" s="17" t="s">
        <v>23</v>
      </c>
      <c r="B1331" s="18" t="s">
        <v>44</v>
      </c>
      <c r="C1331" s="18">
        <v>76618000</v>
      </c>
      <c r="D1331" s="18">
        <v>2007</v>
      </c>
    </row>
    <row r="1332" spans="1:4" ht="19.95" customHeight="1" x14ac:dyDescent="0.25">
      <c r="A1332" s="17" t="s">
        <v>24</v>
      </c>
      <c r="B1332" s="18" t="s">
        <v>44</v>
      </c>
      <c r="C1332" s="18">
        <v>864936000</v>
      </c>
      <c r="D1332" s="18">
        <v>2007</v>
      </c>
    </row>
    <row r="1333" spans="1:4" ht="19.95" customHeight="1" x14ac:dyDescent="0.25">
      <c r="A1333" s="17" t="s">
        <v>25</v>
      </c>
      <c r="B1333" s="18" t="s">
        <v>44</v>
      </c>
      <c r="C1333" s="18">
        <v>177551000</v>
      </c>
      <c r="D1333" s="18">
        <v>2007</v>
      </c>
    </row>
    <row r="1334" spans="1:4" ht="19.95" customHeight="1" x14ac:dyDescent="0.25">
      <c r="A1334" s="17" t="s">
        <v>26</v>
      </c>
      <c r="B1334" s="18" t="s">
        <v>44</v>
      </c>
      <c r="C1334" s="18">
        <v>451682000</v>
      </c>
      <c r="D1334" s="18">
        <v>2007</v>
      </c>
    </row>
    <row r="1335" spans="1:4" ht="19.95" customHeight="1" x14ac:dyDescent="0.25">
      <c r="A1335" s="17" t="s">
        <v>27</v>
      </c>
      <c r="B1335" s="18" t="s">
        <v>44</v>
      </c>
      <c r="C1335" s="18">
        <v>432385000</v>
      </c>
      <c r="D1335" s="18">
        <v>2007</v>
      </c>
    </row>
    <row r="1336" spans="1:4" ht="19.95" customHeight="1" x14ac:dyDescent="0.25">
      <c r="A1336" s="17" t="s">
        <v>28</v>
      </c>
      <c r="B1336" s="18" t="s">
        <v>44</v>
      </c>
      <c r="C1336" s="18">
        <v>902072000</v>
      </c>
      <c r="D1336" s="18">
        <v>2007</v>
      </c>
    </row>
    <row r="1337" spans="1:4" ht="19.95" customHeight="1" x14ac:dyDescent="0.25">
      <c r="A1337" s="17" t="s">
        <v>29</v>
      </c>
      <c r="B1337" s="18" t="s">
        <v>44</v>
      </c>
      <c r="C1337" s="18">
        <v>792824000</v>
      </c>
      <c r="D1337" s="18">
        <v>2007</v>
      </c>
    </row>
    <row r="1338" spans="1:4" ht="19.95" customHeight="1" x14ac:dyDescent="0.25">
      <c r="A1338" s="17" t="s">
        <v>31</v>
      </c>
      <c r="B1338" s="18" t="s">
        <v>44</v>
      </c>
      <c r="C1338" s="18">
        <v>1524062000</v>
      </c>
      <c r="D1338" s="18">
        <v>2007</v>
      </c>
    </row>
    <row r="1339" spans="1:4" ht="19.95" customHeight="1" x14ac:dyDescent="0.25">
      <c r="A1339" s="17" t="s">
        <v>32</v>
      </c>
      <c r="B1339" s="18" t="s">
        <v>44</v>
      </c>
      <c r="C1339" s="18">
        <v>321434000</v>
      </c>
      <c r="D1339" s="18">
        <v>2007</v>
      </c>
    </row>
    <row r="1340" spans="1:4" ht="19.95" customHeight="1" x14ac:dyDescent="0.25">
      <c r="A1340" s="17" t="s">
        <v>33</v>
      </c>
      <c r="B1340" s="18" t="s">
        <v>44</v>
      </c>
      <c r="C1340" s="18">
        <v>234874000</v>
      </c>
      <c r="D1340" s="18">
        <v>2007</v>
      </c>
    </row>
    <row r="1341" spans="1:4" ht="19.95" customHeight="1" x14ac:dyDescent="0.25">
      <c r="A1341" s="17" t="s">
        <v>34</v>
      </c>
      <c r="B1341" s="18" t="s">
        <v>44</v>
      </c>
      <c r="C1341" s="18">
        <v>203838000</v>
      </c>
      <c r="D1341" s="18">
        <v>2007</v>
      </c>
    </row>
    <row r="1342" spans="1:4" ht="19.95" customHeight="1" x14ac:dyDescent="0.25">
      <c r="A1342" s="17" t="s">
        <v>35</v>
      </c>
      <c r="B1342" s="18" t="s">
        <v>44</v>
      </c>
      <c r="C1342" s="18">
        <v>10721000</v>
      </c>
      <c r="D1342" s="18">
        <v>2007</v>
      </c>
    </row>
    <row r="1343" spans="1:4" ht="19.95" customHeight="1" x14ac:dyDescent="0.25">
      <c r="A1343" s="17" t="s">
        <v>2</v>
      </c>
      <c r="B1343" s="18" t="s">
        <v>44</v>
      </c>
      <c r="C1343" s="18">
        <v>2356761000</v>
      </c>
      <c r="D1343" s="18">
        <v>2007</v>
      </c>
    </row>
    <row r="1344" spans="1:4" ht="19.95" customHeight="1" x14ac:dyDescent="0.25">
      <c r="A1344" s="17" t="s">
        <v>36</v>
      </c>
      <c r="B1344" s="18" t="s">
        <v>44</v>
      </c>
      <c r="C1344" s="18">
        <v>360495000</v>
      </c>
      <c r="D1344" s="18">
        <v>2007</v>
      </c>
    </row>
    <row r="1345" spans="1:4" ht="19.95" customHeight="1" x14ac:dyDescent="0.25">
      <c r="A1345" s="17" t="s">
        <v>37</v>
      </c>
      <c r="B1345" s="18" t="s">
        <v>44</v>
      </c>
      <c r="C1345" s="18">
        <v>1585295000</v>
      </c>
      <c r="D1345" s="18">
        <v>2007</v>
      </c>
    </row>
    <row r="1346" spans="1:4" ht="19.95" customHeight="1" x14ac:dyDescent="0.25">
      <c r="A1346" s="17" t="s">
        <v>38</v>
      </c>
      <c r="B1346" s="18" t="s">
        <v>44</v>
      </c>
      <c r="C1346" s="18">
        <v>840099000</v>
      </c>
      <c r="D1346" s="18">
        <v>2007</v>
      </c>
    </row>
    <row r="1347" spans="1:4" ht="19.95" customHeight="1" x14ac:dyDescent="0.25">
      <c r="A1347" s="17" t="s">
        <v>39</v>
      </c>
      <c r="B1347" s="18" t="s">
        <v>44</v>
      </c>
      <c r="C1347" s="18">
        <v>323237000</v>
      </c>
      <c r="D1347" s="18">
        <v>2007</v>
      </c>
    </row>
    <row r="1348" spans="1:4" ht="19.95" customHeight="1" x14ac:dyDescent="0.25">
      <c r="A1348" s="17" t="s">
        <v>40</v>
      </c>
      <c r="B1348" s="18" t="s">
        <v>44</v>
      </c>
      <c r="C1348" s="18">
        <v>976679000</v>
      </c>
      <c r="D1348" s="18">
        <v>2007</v>
      </c>
    </row>
    <row r="1349" spans="1:4" ht="19.95" customHeight="1" x14ac:dyDescent="0.25">
      <c r="A1349" s="17" t="s">
        <v>10</v>
      </c>
      <c r="B1349" s="18" t="s">
        <v>44</v>
      </c>
      <c r="C1349" s="18">
        <v>818524000</v>
      </c>
      <c r="D1349" s="18">
        <v>2008</v>
      </c>
    </row>
    <row r="1350" spans="1:4" ht="19.95" customHeight="1" x14ac:dyDescent="0.25">
      <c r="A1350" s="17" t="s">
        <v>13</v>
      </c>
      <c r="B1350" s="18" t="s">
        <v>44</v>
      </c>
      <c r="C1350" s="18">
        <v>259892000</v>
      </c>
      <c r="D1350" s="18">
        <v>2008</v>
      </c>
    </row>
    <row r="1351" spans="1:4" ht="19.95" customHeight="1" x14ac:dyDescent="0.25">
      <c r="A1351" s="17" t="s">
        <v>16</v>
      </c>
      <c r="B1351" s="18" t="s">
        <v>44</v>
      </c>
      <c r="C1351" s="18">
        <v>904807000</v>
      </c>
      <c r="D1351" s="18">
        <v>2008</v>
      </c>
    </row>
    <row r="1352" spans="1:4" ht="19.95" customHeight="1" x14ac:dyDescent="0.25">
      <c r="A1352" s="17" t="s">
        <v>15</v>
      </c>
      <c r="B1352" s="18" t="s">
        <v>44</v>
      </c>
      <c r="C1352" s="18">
        <v>122332000</v>
      </c>
      <c r="D1352" s="18">
        <v>2008</v>
      </c>
    </row>
    <row r="1353" spans="1:4" ht="19.95" customHeight="1" x14ac:dyDescent="0.25">
      <c r="A1353" s="17" t="s">
        <v>17</v>
      </c>
      <c r="B1353" s="18" t="s">
        <v>44</v>
      </c>
      <c r="C1353" s="18">
        <v>151600000</v>
      </c>
      <c r="D1353" s="18">
        <v>2008</v>
      </c>
    </row>
    <row r="1354" spans="1:4" ht="19.95" customHeight="1" x14ac:dyDescent="0.25">
      <c r="A1354" s="17" t="s">
        <v>18</v>
      </c>
      <c r="B1354" s="18" t="s">
        <v>44</v>
      </c>
      <c r="C1354" s="18">
        <v>859135000</v>
      </c>
      <c r="D1354" s="18">
        <v>2008</v>
      </c>
    </row>
    <row r="1355" spans="1:4" ht="19.95" customHeight="1" x14ac:dyDescent="0.25">
      <c r="A1355" s="17" t="s">
        <v>19</v>
      </c>
      <c r="B1355" s="18" t="s">
        <v>44</v>
      </c>
      <c r="C1355" s="18">
        <v>1288171000</v>
      </c>
      <c r="D1355" s="18">
        <v>2008</v>
      </c>
    </row>
    <row r="1356" spans="1:4" ht="19.95" customHeight="1" x14ac:dyDescent="0.25">
      <c r="A1356" s="17" t="s">
        <v>20</v>
      </c>
      <c r="B1356" s="18" t="s">
        <v>44</v>
      </c>
      <c r="C1356" s="18">
        <v>507237000</v>
      </c>
      <c r="D1356" s="18">
        <v>2008</v>
      </c>
    </row>
    <row r="1357" spans="1:4" ht="19.95" customHeight="1" x14ac:dyDescent="0.25">
      <c r="A1357" s="17" t="s">
        <v>21</v>
      </c>
      <c r="B1357" s="18" t="s">
        <v>44</v>
      </c>
      <c r="C1357" s="18">
        <v>3050475000</v>
      </c>
      <c r="D1357" s="18">
        <v>2008</v>
      </c>
    </row>
    <row r="1358" spans="1:4" ht="19.95" customHeight="1" x14ac:dyDescent="0.25">
      <c r="A1358" s="17" t="s">
        <v>22</v>
      </c>
      <c r="B1358" s="18" t="s">
        <v>44</v>
      </c>
      <c r="C1358" s="18">
        <v>0</v>
      </c>
      <c r="D1358" s="18">
        <v>2008</v>
      </c>
    </row>
    <row r="1359" spans="1:4" ht="19.95" customHeight="1" x14ac:dyDescent="0.25">
      <c r="A1359" s="17" t="s">
        <v>23</v>
      </c>
      <c r="B1359" s="18" t="s">
        <v>44</v>
      </c>
      <c r="C1359" s="18">
        <v>72013000</v>
      </c>
      <c r="D1359" s="18">
        <v>2008</v>
      </c>
    </row>
    <row r="1360" spans="1:4" ht="19.95" customHeight="1" x14ac:dyDescent="0.25">
      <c r="A1360" s="17" t="s">
        <v>24</v>
      </c>
      <c r="B1360" s="18" t="s">
        <v>44</v>
      </c>
      <c r="C1360" s="18">
        <v>1066132000</v>
      </c>
      <c r="D1360" s="18">
        <v>2008</v>
      </c>
    </row>
    <row r="1361" spans="1:4" ht="19.95" customHeight="1" x14ac:dyDescent="0.25">
      <c r="A1361" s="17" t="s">
        <v>25</v>
      </c>
      <c r="B1361" s="18" t="s">
        <v>44</v>
      </c>
      <c r="C1361" s="18">
        <v>187724000</v>
      </c>
      <c r="D1361" s="18">
        <v>2008</v>
      </c>
    </row>
    <row r="1362" spans="1:4" ht="19.95" customHeight="1" x14ac:dyDescent="0.25">
      <c r="A1362" s="17" t="s">
        <v>26</v>
      </c>
      <c r="B1362" s="18" t="s">
        <v>44</v>
      </c>
      <c r="C1362" s="18">
        <v>533952000</v>
      </c>
      <c r="D1362" s="18">
        <v>2008</v>
      </c>
    </row>
    <row r="1363" spans="1:4" ht="19.95" customHeight="1" x14ac:dyDescent="0.25">
      <c r="A1363" s="17" t="s">
        <v>27</v>
      </c>
      <c r="B1363" s="18" t="s">
        <v>44</v>
      </c>
      <c r="C1363" s="18">
        <v>440050000</v>
      </c>
      <c r="D1363" s="18">
        <v>2008</v>
      </c>
    </row>
    <row r="1364" spans="1:4" ht="19.95" customHeight="1" x14ac:dyDescent="0.25">
      <c r="A1364" s="17" t="s">
        <v>28</v>
      </c>
      <c r="B1364" s="18" t="s">
        <v>44</v>
      </c>
      <c r="C1364" s="18">
        <v>1149468000</v>
      </c>
      <c r="D1364" s="18">
        <v>2008</v>
      </c>
    </row>
    <row r="1365" spans="1:4" ht="19.95" customHeight="1" x14ac:dyDescent="0.25">
      <c r="A1365" s="17" t="s">
        <v>29</v>
      </c>
      <c r="B1365" s="18" t="s">
        <v>44</v>
      </c>
      <c r="C1365" s="18">
        <v>770330000</v>
      </c>
      <c r="D1365" s="18">
        <v>2008</v>
      </c>
    </row>
    <row r="1366" spans="1:4" ht="19.95" customHeight="1" x14ac:dyDescent="0.25">
      <c r="A1366" s="17" t="s">
        <v>31</v>
      </c>
      <c r="B1366" s="18" t="s">
        <v>44</v>
      </c>
      <c r="C1366" s="18">
        <v>1506561000</v>
      </c>
      <c r="D1366" s="18">
        <v>2008</v>
      </c>
    </row>
    <row r="1367" spans="1:4" ht="19.95" customHeight="1" x14ac:dyDescent="0.25">
      <c r="A1367" s="17" t="s">
        <v>32</v>
      </c>
      <c r="B1367" s="18" t="s">
        <v>44</v>
      </c>
      <c r="C1367" s="18">
        <v>347456000</v>
      </c>
      <c r="D1367" s="18">
        <v>2008</v>
      </c>
    </row>
    <row r="1368" spans="1:4" ht="19.95" customHeight="1" x14ac:dyDescent="0.25">
      <c r="A1368" s="17" t="s">
        <v>33</v>
      </c>
      <c r="B1368" s="18" t="s">
        <v>44</v>
      </c>
      <c r="C1368" s="18">
        <v>248098000</v>
      </c>
      <c r="D1368" s="18">
        <v>2008</v>
      </c>
    </row>
    <row r="1369" spans="1:4" ht="19.95" customHeight="1" x14ac:dyDescent="0.25">
      <c r="A1369" s="17" t="s">
        <v>34</v>
      </c>
      <c r="B1369" s="18" t="s">
        <v>44</v>
      </c>
      <c r="C1369" s="18">
        <v>241748000</v>
      </c>
      <c r="D1369" s="18">
        <v>2008</v>
      </c>
    </row>
    <row r="1370" spans="1:4" ht="19.95" customHeight="1" x14ac:dyDescent="0.25">
      <c r="A1370" s="17" t="s">
        <v>35</v>
      </c>
      <c r="B1370" s="18" t="s">
        <v>44</v>
      </c>
      <c r="C1370" s="18">
        <v>13264000</v>
      </c>
      <c r="D1370" s="18">
        <v>2008</v>
      </c>
    </row>
    <row r="1371" spans="1:4" ht="19.95" customHeight="1" x14ac:dyDescent="0.25">
      <c r="A1371" s="17" t="s">
        <v>2</v>
      </c>
      <c r="B1371" s="18" t="s">
        <v>44</v>
      </c>
      <c r="C1371" s="18">
        <v>2380921000</v>
      </c>
      <c r="D1371" s="18">
        <v>2008</v>
      </c>
    </row>
    <row r="1372" spans="1:4" ht="19.95" customHeight="1" x14ac:dyDescent="0.25">
      <c r="A1372" s="17" t="s">
        <v>36</v>
      </c>
      <c r="B1372" s="18" t="s">
        <v>44</v>
      </c>
      <c r="C1372" s="18">
        <v>365247000</v>
      </c>
      <c r="D1372" s="18">
        <v>2008</v>
      </c>
    </row>
    <row r="1373" spans="1:4" ht="19.95" customHeight="1" x14ac:dyDescent="0.25">
      <c r="A1373" s="17" t="s">
        <v>37</v>
      </c>
      <c r="B1373" s="18" t="s">
        <v>44</v>
      </c>
      <c r="C1373" s="18">
        <v>1971488000</v>
      </c>
      <c r="D1373" s="18">
        <v>2008</v>
      </c>
    </row>
    <row r="1374" spans="1:4" ht="19.95" customHeight="1" x14ac:dyDescent="0.25">
      <c r="A1374" s="17" t="s">
        <v>38</v>
      </c>
      <c r="B1374" s="18" t="s">
        <v>44</v>
      </c>
      <c r="C1374" s="18">
        <v>1004189000</v>
      </c>
      <c r="D1374" s="18">
        <v>2008</v>
      </c>
    </row>
    <row r="1375" spans="1:4" ht="19.95" customHeight="1" x14ac:dyDescent="0.25">
      <c r="A1375" s="17" t="s">
        <v>39</v>
      </c>
      <c r="B1375" s="18" t="s">
        <v>44</v>
      </c>
      <c r="C1375" s="18">
        <v>371177000</v>
      </c>
      <c r="D1375" s="18">
        <v>2008</v>
      </c>
    </row>
    <row r="1376" spans="1:4" ht="19.95" customHeight="1" x14ac:dyDescent="0.25">
      <c r="A1376" s="17" t="s">
        <v>40</v>
      </c>
      <c r="B1376" s="18" t="s">
        <v>44</v>
      </c>
      <c r="C1376" s="18">
        <v>982592000</v>
      </c>
      <c r="D1376" s="18">
        <v>2008</v>
      </c>
    </row>
    <row r="1377" spans="1:4" ht="19.95" customHeight="1" x14ac:dyDescent="0.25">
      <c r="A1377" s="17" t="s">
        <v>10</v>
      </c>
      <c r="B1377" s="18" t="s">
        <v>44</v>
      </c>
      <c r="C1377" s="18">
        <v>147247000</v>
      </c>
      <c r="D1377" s="18">
        <v>2009</v>
      </c>
    </row>
    <row r="1378" spans="1:4" ht="19.95" customHeight="1" x14ac:dyDescent="0.25">
      <c r="A1378" s="17" t="s">
        <v>13</v>
      </c>
      <c r="B1378" s="18" t="s">
        <v>44</v>
      </c>
      <c r="C1378" s="18">
        <v>302832000</v>
      </c>
      <c r="D1378" s="18">
        <v>2009</v>
      </c>
    </row>
    <row r="1379" spans="1:4" ht="19.95" customHeight="1" x14ac:dyDescent="0.25">
      <c r="A1379" s="17" t="s">
        <v>16</v>
      </c>
      <c r="B1379" s="18" t="s">
        <v>44</v>
      </c>
      <c r="C1379" s="18">
        <v>896286000</v>
      </c>
      <c r="D1379" s="18">
        <v>2009</v>
      </c>
    </row>
    <row r="1380" spans="1:4" ht="19.95" customHeight="1" x14ac:dyDescent="0.25">
      <c r="A1380" s="17" t="s">
        <v>15</v>
      </c>
      <c r="B1380" s="18" t="s">
        <v>44</v>
      </c>
      <c r="C1380" s="18">
        <v>120371000</v>
      </c>
      <c r="D1380" s="18">
        <v>2009</v>
      </c>
    </row>
    <row r="1381" spans="1:4" ht="19.95" customHeight="1" x14ac:dyDescent="0.25">
      <c r="A1381" s="17" t="s">
        <v>17</v>
      </c>
      <c r="B1381" s="18" t="s">
        <v>44</v>
      </c>
      <c r="C1381" s="18">
        <v>158376000</v>
      </c>
      <c r="D1381" s="18">
        <v>2009</v>
      </c>
    </row>
    <row r="1382" spans="1:4" ht="19.95" customHeight="1" x14ac:dyDescent="0.25">
      <c r="A1382" s="17" t="s">
        <v>18</v>
      </c>
      <c r="B1382" s="18" t="s">
        <v>44</v>
      </c>
      <c r="C1382" s="18">
        <v>1421652000</v>
      </c>
      <c r="D1382" s="18">
        <v>2009</v>
      </c>
    </row>
    <row r="1383" spans="1:4" ht="19.95" customHeight="1" x14ac:dyDescent="0.25">
      <c r="A1383" s="17" t="s">
        <v>19</v>
      </c>
      <c r="B1383" s="18" t="s">
        <v>44</v>
      </c>
      <c r="C1383" s="18">
        <v>1269404000</v>
      </c>
      <c r="D1383" s="18">
        <v>2009</v>
      </c>
    </row>
    <row r="1384" spans="1:4" ht="19.95" customHeight="1" x14ac:dyDescent="0.25">
      <c r="A1384" s="17" t="s">
        <v>20</v>
      </c>
      <c r="B1384" s="18" t="s">
        <v>44</v>
      </c>
      <c r="C1384" s="18">
        <v>38500000</v>
      </c>
      <c r="D1384" s="18">
        <v>2009</v>
      </c>
    </row>
    <row r="1385" spans="1:4" ht="19.95" customHeight="1" x14ac:dyDescent="0.25">
      <c r="A1385" s="17" t="s">
        <v>21</v>
      </c>
      <c r="B1385" s="18" t="s">
        <v>44</v>
      </c>
      <c r="C1385" s="18">
        <v>3156096000</v>
      </c>
      <c r="D1385" s="18">
        <v>2009</v>
      </c>
    </row>
    <row r="1386" spans="1:4" ht="19.95" customHeight="1" x14ac:dyDescent="0.25">
      <c r="A1386" s="17" t="s">
        <v>22</v>
      </c>
      <c r="B1386" s="18" t="s">
        <v>44</v>
      </c>
      <c r="C1386" s="18">
        <v>358529000</v>
      </c>
      <c r="D1386" s="18">
        <v>2009</v>
      </c>
    </row>
    <row r="1387" spans="1:4" ht="19.95" customHeight="1" x14ac:dyDescent="0.25">
      <c r="A1387" s="17" t="s">
        <v>23</v>
      </c>
      <c r="B1387" s="18" t="s">
        <v>44</v>
      </c>
      <c r="C1387" s="18">
        <v>68993000</v>
      </c>
      <c r="D1387" s="18">
        <v>2009</v>
      </c>
    </row>
    <row r="1388" spans="1:4" ht="19.95" customHeight="1" x14ac:dyDescent="0.25">
      <c r="A1388" s="17" t="s">
        <v>24</v>
      </c>
      <c r="B1388" s="18" t="s">
        <v>44</v>
      </c>
      <c r="C1388" s="18">
        <v>1104906000</v>
      </c>
      <c r="D1388" s="18">
        <v>2009</v>
      </c>
    </row>
    <row r="1389" spans="1:4" ht="19.95" customHeight="1" x14ac:dyDescent="0.25">
      <c r="A1389" s="17" t="s">
        <v>25</v>
      </c>
      <c r="B1389" s="18" t="s">
        <v>44</v>
      </c>
      <c r="C1389" s="18">
        <v>212764000</v>
      </c>
      <c r="D1389" s="18">
        <v>2009</v>
      </c>
    </row>
    <row r="1390" spans="1:4" ht="19.95" customHeight="1" x14ac:dyDescent="0.25">
      <c r="A1390" s="17" t="s">
        <v>26</v>
      </c>
      <c r="B1390" s="18" t="s">
        <v>44</v>
      </c>
      <c r="C1390" s="18">
        <v>698443000</v>
      </c>
      <c r="D1390" s="18">
        <v>2009</v>
      </c>
    </row>
    <row r="1391" spans="1:4" ht="19.95" customHeight="1" x14ac:dyDescent="0.25">
      <c r="A1391" s="17" t="s">
        <v>27</v>
      </c>
      <c r="B1391" s="18" t="s">
        <v>44</v>
      </c>
      <c r="C1391" s="18">
        <v>442566000</v>
      </c>
      <c r="D1391" s="18">
        <v>2009</v>
      </c>
    </row>
    <row r="1392" spans="1:4" ht="19.95" customHeight="1" x14ac:dyDescent="0.25">
      <c r="A1392" s="17" t="s">
        <v>28</v>
      </c>
      <c r="B1392" s="18" t="s">
        <v>44</v>
      </c>
      <c r="C1392" s="18">
        <v>1355819000</v>
      </c>
      <c r="D1392" s="18">
        <v>2009</v>
      </c>
    </row>
    <row r="1393" spans="1:4" ht="19.95" customHeight="1" x14ac:dyDescent="0.25">
      <c r="A1393" s="17" t="s">
        <v>29</v>
      </c>
      <c r="B1393" s="18" t="s">
        <v>44</v>
      </c>
      <c r="C1393" s="18">
        <v>777441000</v>
      </c>
      <c r="D1393" s="18">
        <v>2009</v>
      </c>
    </row>
    <row r="1394" spans="1:4" ht="19.95" customHeight="1" x14ac:dyDescent="0.25">
      <c r="A1394" s="17" t="s">
        <v>31</v>
      </c>
      <c r="B1394" s="18" t="s">
        <v>44</v>
      </c>
      <c r="C1394" s="18">
        <v>1482628000</v>
      </c>
      <c r="D1394" s="18">
        <v>2009</v>
      </c>
    </row>
    <row r="1395" spans="1:4" ht="19.95" customHeight="1" x14ac:dyDescent="0.25">
      <c r="A1395" s="17" t="s">
        <v>32</v>
      </c>
      <c r="B1395" s="18" t="s">
        <v>44</v>
      </c>
      <c r="C1395" s="18">
        <v>417996000</v>
      </c>
      <c r="D1395" s="18">
        <v>2009</v>
      </c>
    </row>
    <row r="1396" spans="1:4" ht="19.95" customHeight="1" x14ac:dyDescent="0.25">
      <c r="A1396" s="17" t="s">
        <v>33</v>
      </c>
      <c r="B1396" s="18" t="s">
        <v>44</v>
      </c>
      <c r="C1396" s="18">
        <v>265733000</v>
      </c>
      <c r="D1396" s="18">
        <v>2009</v>
      </c>
    </row>
    <row r="1397" spans="1:4" ht="19.95" customHeight="1" x14ac:dyDescent="0.25">
      <c r="A1397" s="17" t="s">
        <v>34</v>
      </c>
      <c r="B1397" s="18" t="s">
        <v>44</v>
      </c>
      <c r="C1397" s="18">
        <v>254227000</v>
      </c>
      <c r="D1397" s="18">
        <v>2009</v>
      </c>
    </row>
    <row r="1398" spans="1:4" ht="19.95" customHeight="1" x14ac:dyDescent="0.25">
      <c r="A1398" s="17" t="s">
        <v>35</v>
      </c>
      <c r="B1398" s="18" t="s">
        <v>44</v>
      </c>
      <c r="C1398" s="18">
        <v>14405000</v>
      </c>
      <c r="D1398" s="18">
        <v>2009</v>
      </c>
    </row>
    <row r="1399" spans="1:4" ht="19.95" customHeight="1" x14ac:dyDescent="0.25">
      <c r="A1399" s="17" t="s">
        <v>2</v>
      </c>
      <c r="B1399" s="18" t="s">
        <v>44</v>
      </c>
      <c r="C1399" s="18">
        <v>2486760000</v>
      </c>
      <c r="D1399" s="18">
        <v>2009</v>
      </c>
    </row>
    <row r="1400" spans="1:4" ht="19.95" customHeight="1" x14ac:dyDescent="0.25">
      <c r="A1400" s="17" t="s">
        <v>36</v>
      </c>
      <c r="B1400" s="18" t="s">
        <v>44</v>
      </c>
      <c r="C1400" s="18">
        <v>372831000</v>
      </c>
      <c r="D1400" s="18">
        <v>2009</v>
      </c>
    </row>
    <row r="1401" spans="1:4" ht="19.95" customHeight="1" x14ac:dyDescent="0.25">
      <c r="A1401" s="17" t="s">
        <v>37</v>
      </c>
      <c r="B1401" s="18" t="s">
        <v>44</v>
      </c>
      <c r="C1401" s="18">
        <v>2598493000</v>
      </c>
      <c r="D1401" s="18">
        <v>2009</v>
      </c>
    </row>
    <row r="1402" spans="1:4" ht="19.95" customHeight="1" x14ac:dyDescent="0.25">
      <c r="A1402" s="17" t="s">
        <v>38</v>
      </c>
      <c r="B1402" s="18" t="s">
        <v>44</v>
      </c>
      <c r="C1402" s="18">
        <v>1378799000</v>
      </c>
      <c r="D1402" s="18">
        <v>2009</v>
      </c>
    </row>
    <row r="1403" spans="1:4" ht="19.95" customHeight="1" x14ac:dyDescent="0.25">
      <c r="A1403" s="17" t="s">
        <v>39</v>
      </c>
      <c r="B1403" s="18" t="s">
        <v>44</v>
      </c>
      <c r="C1403" s="18">
        <v>406921000</v>
      </c>
      <c r="D1403" s="18">
        <v>2009</v>
      </c>
    </row>
    <row r="1404" spans="1:4" ht="19.95" customHeight="1" x14ac:dyDescent="0.25">
      <c r="A1404" s="17" t="s">
        <v>40</v>
      </c>
      <c r="B1404" s="18" t="s">
        <v>44</v>
      </c>
      <c r="C1404" s="18">
        <v>985375000</v>
      </c>
      <c r="D1404" s="18">
        <v>2009</v>
      </c>
    </row>
    <row r="1405" spans="1:4" ht="19.95" customHeight="1" x14ac:dyDescent="0.25">
      <c r="A1405" s="17" t="s">
        <v>10</v>
      </c>
      <c r="B1405" s="18" t="s">
        <v>44</v>
      </c>
      <c r="C1405" s="18">
        <v>162687000</v>
      </c>
      <c r="D1405" s="18">
        <v>2010</v>
      </c>
    </row>
    <row r="1406" spans="1:4" ht="19.95" customHeight="1" x14ac:dyDescent="0.25">
      <c r="A1406" s="17" t="s">
        <v>13</v>
      </c>
      <c r="B1406" s="18" t="s">
        <v>44</v>
      </c>
      <c r="C1406" s="18">
        <v>374021000</v>
      </c>
      <c r="D1406" s="18">
        <v>2010</v>
      </c>
    </row>
    <row r="1407" spans="1:4" ht="19.95" customHeight="1" x14ac:dyDescent="0.25">
      <c r="A1407" s="17" t="s">
        <v>16</v>
      </c>
      <c r="B1407" s="18" t="s">
        <v>44</v>
      </c>
      <c r="C1407" s="18">
        <v>864708000</v>
      </c>
      <c r="D1407" s="18">
        <v>2010</v>
      </c>
    </row>
    <row r="1408" spans="1:4" ht="19.95" customHeight="1" x14ac:dyDescent="0.25">
      <c r="A1408" s="17" t="s">
        <v>15</v>
      </c>
      <c r="B1408" s="18" t="s">
        <v>44</v>
      </c>
      <c r="C1408" s="18">
        <v>115505000</v>
      </c>
      <c r="D1408" s="18">
        <v>2010</v>
      </c>
    </row>
    <row r="1409" spans="1:4" ht="19.95" customHeight="1" x14ac:dyDescent="0.25">
      <c r="A1409" s="17" t="s">
        <v>17</v>
      </c>
      <c r="B1409" s="18" t="s">
        <v>44</v>
      </c>
      <c r="C1409" s="18">
        <v>154716000</v>
      </c>
      <c r="D1409" s="18">
        <v>2010</v>
      </c>
    </row>
    <row r="1410" spans="1:4" ht="19.95" customHeight="1" x14ac:dyDescent="0.25">
      <c r="A1410" s="17" t="s">
        <v>18</v>
      </c>
      <c r="B1410" s="18" t="s">
        <v>44</v>
      </c>
      <c r="C1410" s="18">
        <v>1803676000</v>
      </c>
      <c r="D1410" s="18">
        <v>2010</v>
      </c>
    </row>
    <row r="1411" spans="1:4" ht="19.95" customHeight="1" x14ac:dyDescent="0.25">
      <c r="A1411" s="17" t="s">
        <v>19</v>
      </c>
      <c r="B1411" s="18" t="s">
        <v>44</v>
      </c>
      <c r="C1411" s="18">
        <v>1247633000</v>
      </c>
      <c r="D1411" s="18">
        <v>2010</v>
      </c>
    </row>
    <row r="1412" spans="1:4" ht="19.95" customHeight="1" x14ac:dyDescent="0.25">
      <c r="A1412" s="17" t="s">
        <v>20</v>
      </c>
      <c r="B1412" s="18" t="s">
        <v>44</v>
      </c>
      <c r="C1412" s="18">
        <v>0</v>
      </c>
      <c r="D1412" s="18">
        <v>2010</v>
      </c>
    </row>
    <row r="1413" spans="1:4" ht="19.95" customHeight="1" x14ac:dyDescent="0.25">
      <c r="A1413" s="17" t="s">
        <v>21</v>
      </c>
      <c r="B1413" s="18" t="s">
        <v>44</v>
      </c>
      <c r="C1413" s="18">
        <v>3237614000</v>
      </c>
      <c r="D1413" s="18">
        <v>2010</v>
      </c>
    </row>
    <row r="1414" spans="1:4" ht="19.95" customHeight="1" x14ac:dyDescent="0.25">
      <c r="A1414" s="17" t="s">
        <v>22</v>
      </c>
      <c r="B1414" s="18" t="s">
        <v>44</v>
      </c>
      <c r="C1414" s="18">
        <v>318968000</v>
      </c>
      <c r="D1414" s="18">
        <v>2010</v>
      </c>
    </row>
    <row r="1415" spans="1:4" ht="19.95" customHeight="1" x14ac:dyDescent="0.25">
      <c r="A1415" s="17" t="s">
        <v>23</v>
      </c>
      <c r="B1415" s="18" t="s">
        <v>44</v>
      </c>
      <c r="C1415" s="18">
        <v>0</v>
      </c>
      <c r="D1415" s="18">
        <v>2010</v>
      </c>
    </row>
    <row r="1416" spans="1:4" ht="19.95" customHeight="1" x14ac:dyDescent="0.25">
      <c r="A1416" s="17" t="s">
        <v>24</v>
      </c>
      <c r="B1416" s="18" t="s">
        <v>44</v>
      </c>
      <c r="C1416" s="18">
        <v>1161066000</v>
      </c>
      <c r="D1416" s="18">
        <v>2010</v>
      </c>
    </row>
    <row r="1417" spans="1:4" ht="19.95" customHeight="1" x14ac:dyDescent="0.25">
      <c r="A1417" s="17" t="s">
        <v>25</v>
      </c>
      <c r="B1417" s="18" t="s">
        <v>44</v>
      </c>
      <c r="C1417" s="18">
        <v>242588000</v>
      </c>
      <c r="D1417" s="18">
        <v>2010</v>
      </c>
    </row>
    <row r="1418" spans="1:4" ht="19.95" customHeight="1" x14ac:dyDescent="0.25">
      <c r="A1418" s="17" t="s">
        <v>26</v>
      </c>
      <c r="B1418" s="18" t="s">
        <v>44</v>
      </c>
      <c r="C1418" s="18">
        <v>839879000</v>
      </c>
      <c r="D1418" s="18">
        <v>2010</v>
      </c>
    </row>
    <row r="1419" spans="1:4" ht="19.95" customHeight="1" x14ac:dyDescent="0.25">
      <c r="A1419" s="17" t="s">
        <v>27</v>
      </c>
      <c r="B1419" s="18" t="s">
        <v>44</v>
      </c>
      <c r="C1419" s="18">
        <v>479489000</v>
      </c>
      <c r="D1419" s="18">
        <v>2010</v>
      </c>
    </row>
    <row r="1420" spans="1:4" ht="19.95" customHeight="1" x14ac:dyDescent="0.25">
      <c r="A1420" s="17" t="s">
        <v>28</v>
      </c>
      <c r="B1420" s="18" t="s">
        <v>44</v>
      </c>
      <c r="C1420" s="18">
        <v>1490905000</v>
      </c>
      <c r="D1420" s="18">
        <v>2010</v>
      </c>
    </row>
    <row r="1421" spans="1:4" ht="19.95" customHeight="1" x14ac:dyDescent="0.25">
      <c r="A1421" s="17" t="s">
        <v>29</v>
      </c>
      <c r="B1421" s="18" t="s">
        <v>44</v>
      </c>
      <c r="C1421" s="18">
        <v>798547000</v>
      </c>
      <c r="D1421" s="18">
        <v>2010</v>
      </c>
    </row>
    <row r="1422" spans="1:4" ht="19.95" customHeight="1" x14ac:dyDescent="0.25">
      <c r="A1422" s="17" t="s">
        <v>31</v>
      </c>
      <c r="B1422" s="18" t="s">
        <v>44</v>
      </c>
      <c r="C1422" s="18">
        <v>1426265000</v>
      </c>
      <c r="D1422" s="18">
        <v>2010</v>
      </c>
    </row>
    <row r="1423" spans="1:4" ht="19.95" customHeight="1" x14ac:dyDescent="0.25">
      <c r="A1423" s="17" t="s">
        <v>32</v>
      </c>
      <c r="B1423" s="18" t="s">
        <v>44</v>
      </c>
      <c r="C1423" s="18">
        <v>447212000</v>
      </c>
      <c r="D1423" s="18">
        <v>2010</v>
      </c>
    </row>
    <row r="1424" spans="1:4" ht="19.95" customHeight="1" x14ac:dyDescent="0.25">
      <c r="A1424" s="17" t="s">
        <v>33</v>
      </c>
      <c r="B1424" s="18" t="s">
        <v>44</v>
      </c>
      <c r="C1424" s="18">
        <v>275240000</v>
      </c>
      <c r="D1424" s="18">
        <v>2010</v>
      </c>
    </row>
    <row r="1425" spans="1:4" ht="19.95" customHeight="1" x14ac:dyDescent="0.25">
      <c r="A1425" s="17" t="s">
        <v>34</v>
      </c>
      <c r="B1425" s="18" t="s">
        <v>44</v>
      </c>
      <c r="C1425" s="18">
        <v>259400000</v>
      </c>
      <c r="D1425" s="18">
        <v>2010</v>
      </c>
    </row>
    <row r="1426" spans="1:4" ht="19.95" customHeight="1" x14ac:dyDescent="0.25">
      <c r="A1426" s="17" t="s">
        <v>35</v>
      </c>
      <c r="B1426" s="18" t="s">
        <v>44</v>
      </c>
      <c r="C1426" s="18">
        <v>14218000</v>
      </c>
      <c r="D1426" s="18">
        <v>2010</v>
      </c>
    </row>
    <row r="1427" spans="1:4" ht="19.95" customHeight="1" x14ac:dyDescent="0.25">
      <c r="A1427" s="17" t="s">
        <v>2</v>
      </c>
      <c r="B1427" s="18" t="s">
        <v>44</v>
      </c>
      <c r="C1427" s="18">
        <v>2530524000</v>
      </c>
      <c r="D1427" s="18">
        <v>2010</v>
      </c>
    </row>
    <row r="1428" spans="1:4" ht="19.95" customHeight="1" x14ac:dyDescent="0.25">
      <c r="A1428" s="17" t="s">
        <v>36</v>
      </c>
      <c r="B1428" s="18" t="s">
        <v>44</v>
      </c>
      <c r="C1428" s="18">
        <v>377048000</v>
      </c>
      <c r="D1428" s="18">
        <v>2010</v>
      </c>
    </row>
    <row r="1429" spans="1:4" ht="19.95" customHeight="1" x14ac:dyDescent="0.25">
      <c r="A1429" s="17" t="s">
        <v>37</v>
      </c>
      <c r="B1429" s="18" t="s">
        <v>44</v>
      </c>
      <c r="C1429" s="18">
        <v>3248166000</v>
      </c>
      <c r="D1429" s="18">
        <v>2010</v>
      </c>
    </row>
    <row r="1430" spans="1:4" ht="19.95" customHeight="1" x14ac:dyDescent="0.25">
      <c r="A1430" s="17" t="s">
        <v>38</v>
      </c>
      <c r="B1430" s="18" t="s">
        <v>44</v>
      </c>
      <c r="C1430" s="18">
        <v>1682408000</v>
      </c>
      <c r="D1430" s="18">
        <v>2010</v>
      </c>
    </row>
    <row r="1431" spans="1:4" ht="19.95" customHeight="1" x14ac:dyDescent="0.25">
      <c r="A1431" s="17" t="s">
        <v>39</v>
      </c>
      <c r="B1431" s="18" t="s">
        <v>44</v>
      </c>
      <c r="C1431" s="18">
        <v>430103000</v>
      </c>
      <c r="D1431" s="18">
        <v>2010</v>
      </c>
    </row>
    <row r="1432" spans="1:4" ht="19.95" customHeight="1" x14ac:dyDescent="0.25">
      <c r="A1432" s="17" t="s">
        <v>40</v>
      </c>
      <c r="B1432" s="18" t="s">
        <v>44</v>
      </c>
      <c r="C1432" s="18">
        <v>976035000</v>
      </c>
      <c r="D1432" s="18">
        <v>2010</v>
      </c>
    </row>
    <row r="1433" spans="1:4" ht="19.95" customHeight="1" x14ac:dyDescent="0.25">
      <c r="A1433" s="17" t="s">
        <v>10</v>
      </c>
      <c r="B1433" s="18" t="s">
        <v>44</v>
      </c>
      <c r="C1433" s="18">
        <v>170187000</v>
      </c>
      <c r="D1433" s="18">
        <v>2011</v>
      </c>
    </row>
    <row r="1434" spans="1:4" ht="19.95" customHeight="1" x14ac:dyDescent="0.25">
      <c r="A1434" s="17" t="s">
        <v>13</v>
      </c>
      <c r="B1434" s="18" t="s">
        <v>44</v>
      </c>
      <c r="C1434" s="18">
        <v>431007000</v>
      </c>
      <c r="D1434" s="18">
        <v>2011</v>
      </c>
    </row>
    <row r="1435" spans="1:4" ht="19.95" customHeight="1" x14ac:dyDescent="0.25">
      <c r="A1435" s="17" t="s">
        <v>16</v>
      </c>
      <c r="B1435" s="18" t="s">
        <v>44</v>
      </c>
      <c r="C1435" s="18">
        <v>845304000</v>
      </c>
      <c r="D1435" s="18">
        <v>2011</v>
      </c>
    </row>
    <row r="1436" spans="1:4" ht="19.95" customHeight="1" x14ac:dyDescent="0.25">
      <c r="A1436" s="17" t="s">
        <v>15</v>
      </c>
      <c r="B1436" s="18" t="s">
        <v>44</v>
      </c>
      <c r="C1436" s="18">
        <v>111995000</v>
      </c>
      <c r="D1436" s="18">
        <v>2011</v>
      </c>
    </row>
    <row r="1437" spans="1:4" ht="19.95" customHeight="1" x14ac:dyDescent="0.25">
      <c r="A1437" s="17" t="s">
        <v>17</v>
      </c>
      <c r="B1437" s="18" t="s">
        <v>44</v>
      </c>
      <c r="C1437" s="18">
        <v>152616000</v>
      </c>
      <c r="D1437" s="18">
        <v>2011</v>
      </c>
    </row>
    <row r="1438" spans="1:4" ht="19.95" customHeight="1" x14ac:dyDescent="0.25">
      <c r="A1438" s="17" t="s">
        <v>18</v>
      </c>
      <c r="B1438" s="18" t="s">
        <v>44</v>
      </c>
      <c r="C1438" s="18">
        <v>2207661000</v>
      </c>
      <c r="D1438" s="18">
        <v>2011</v>
      </c>
    </row>
    <row r="1439" spans="1:4" ht="19.95" customHeight="1" x14ac:dyDescent="0.25">
      <c r="A1439" s="17" t="s">
        <v>19</v>
      </c>
      <c r="B1439" s="18" t="s">
        <v>44</v>
      </c>
      <c r="C1439" s="18">
        <v>1165841000</v>
      </c>
      <c r="D1439" s="18">
        <v>2011</v>
      </c>
    </row>
    <row r="1440" spans="1:4" ht="19.95" customHeight="1" x14ac:dyDescent="0.25">
      <c r="A1440" s="17" t="s">
        <v>20</v>
      </c>
      <c r="B1440" s="18" t="s">
        <v>44</v>
      </c>
      <c r="C1440" s="18">
        <v>0</v>
      </c>
      <c r="D1440" s="18">
        <v>2011</v>
      </c>
    </row>
    <row r="1441" spans="1:4" ht="19.95" customHeight="1" x14ac:dyDescent="0.25">
      <c r="A1441" s="17" t="s">
        <v>21</v>
      </c>
      <c r="B1441" s="18" t="s">
        <v>44</v>
      </c>
      <c r="C1441" s="18">
        <v>3388428000</v>
      </c>
      <c r="D1441" s="18">
        <v>2011</v>
      </c>
    </row>
    <row r="1442" spans="1:4" ht="19.95" customHeight="1" x14ac:dyDescent="0.25">
      <c r="A1442" s="17" t="s">
        <v>22</v>
      </c>
      <c r="B1442" s="18" t="s">
        <v>44</v>
      </c>
      <c r="C1442" s="18">
        <v>299378000</v>
      </c>
      <c r="D1442" s="18">
        <v>2011</v>
      </c>
    </row>
    <row r="1443" spans="1:4" ht="19.95" customHeight="1" x14ac:dyDescent="0.25">
      <c r="A1443" s="17" t="s">
        <v>23</v>
      </c>
      <c r="B1443" s="18" t="s">
        <v>44</v>
      </c>
      <c r="C1443" s="18">
        <v>13723000</v>
      </c>
      <c r="D1443" s="18">
        <v>2011</v>
      </c>
    </row>
    <row r="1444" spans="1:4" ht="19.95" customHeight="1" x14ac:dyDescent="0.25">
      <c r="A1444" s="17" t="s">
        <v>24</v>
      </c>
      <c r="B1444" s="18" t="s">
        <v>44</v>
      </c>
      <c r="C1444" s="18">
        <v>1198094000</v>
      </c>
      <c r="D1444" s="18">
        <v>2011</v>
      </c>
    </row>
    <row r="1445" spans="1:4" ht="19.95" customHeight="1" x14ac:dyDescent="0.25">
      <c r="A1445" s="17" t="s">
        <v>25</v>
      </c>
      <c r="B1445" s="18" t="s">
        <v>44</v>
      </c>
      <c r="C1445" s="18">
        <v>274145000</v>
      </c>
      <c r="D1445" s="18">
        <v>2011</v>
      </c>
    </row>
    <row r="1446" spans="1:4" ht="19.95" customHeight="1" x14ac:dyDescent="0.25">
      <c r="A1446" s="17" t="s">
        <v>26</v>
      </c>
      <c r="B1446" s="18" t="s">
        <v>44</v>
      </c>
      <c r="C1446" s="18">
        <v>981342000</v>
      </c>
      <c r="D1446" s="18">
        <v>2011</v>
      </c>
    </row>
    <row r="1447" spans="1:4" ht="19.95" customHeight="1" x14ac:dyDescent="0.25">
      <c r="A1447" s="17" t="s">
        <v>27</v>
      </c>
      <c r="B1447" s="18" t="s">
        <v>44</v>
      </c>
      <c r="C1447" s="18">
        <v>509592000</v>
      </c>
      <c r="D1447" s="18">
        <v>2011</v>
      </c>
    </row>
    <row r="1448" spans="1:4" ht="19.95" customHeight="1" x14ac:dyDescent="0.25">
      <c r="A1448" s="17" t="s">
        <v>28</v>
      </c>
      <c r="B1448" s="18" t="s">
        <v>44</v>
      </c>
      <c r="C1448" s="18">
        <v>1577138000</v>
      </c>
      <c r="D1448" s="18">
        <v>2011</v>
      </c>
    </row>
    <row r="1449" spans="1:4" ht="19.95" customHeight="1" x14ac:dyDescent="0.25">
      <c r="A1449" s="17" t="s">
        <v>29</v>
      </c>
      <c r="B1449" s="18" t="s">
        <v>44</v>
      </c>
      <c r="C1449" s="18">
        <v>787120000</v>
      </c>
      <c r="D1449" s="18">
        <v>2011</v>
      </c>
    </row>
    <row r="1450" spans="1:4" ht="19.95" customHeight="1" x14ac:dyDescent="0.25">
      <c r="A1450" s="17" t="s">
        <v>31</v>
      </c>
      <c r="B1450" s="18" t="s">
        <v>44</v>
      </c>
      <c r="C1450" s="18">
        <v>1426053000</v>
      </c>
      <c r="D1450" s="18">
        <v>2011</v>
      </c>
    </row>
    <row r="1451" spans="1:4" ht="19.95" customHeight="1" x14ac:dyDescent="0.25">
      <c r="A1451" s="17" t="s">
        <v>32</v>
      </c>
      <c r="B1451" s="18" t="s">
        <v>44</v>
      </c>
      <c r="C1451" s="18">
        <v>473767000</v>
      </c>
      <c r="D1451" s="18">
        <v>2011</v>
      </c>
    </row>
    <row r="1452" spans="1:4" ht="19.95" customHeight="1" x14ac:dyDescent="0.25">
      <c r="A1452" s="17" t="s">
        <v>33</v>
      </c>
      <c r="B1452" s="18" t="s">
        <v>44</v>
      </c>
      <c r="C1452" s="18">
        <v>354586000</v>
      </c>
      <c r="D1452" s="18">
        <v>2011</v>
      </c>
    </row>
    <row r="1453" spans="1:4" ht="19.95" customHeight="1" x14ac:dyDescent="0.25">
      <c r="A1453" s="17" t="s">
        <v>34</v>
      </c>
      <c r="B1453" s="18" t="s">
        <v>44</v>
      </c>
      <c r="C1453" s="18">
        <v>391665000</v>
      </c>
      <c r="D1453" s="18">
        <v>2011</v>
      </c>
    </row>
    <row r="1454" spans="1:4" ht="19.95" customHeight="1" x14ac:dyDescent="0.25">
      <c r="A1454" s="17" t="s">
        <v>35</v>
      </c>
      <c r="B1454" s="18" t="s">
        <v>44</v>
      </c>
      <c r="C1454" s="18">
        <v>14105000</v>
      </c>
      <c r="D1454" s="18">
        <v>2011</v>
      </c>
    </row>
    <row r="1455" spans="1:4" ht="19.95" customHeight="1" x14ac:dyDescent="0.25">
      <c r="A1455" s="17" t="s">
        <v>2</v>
      </c>
      <c r="B1455" s="18" t="s">
        <v>44</v>
      </c>
      <c r="C1455" s="18">
        <v>2652150000</v>
      </c>
      <c r="D1455" s="18">
        <v>2011</v>
      </c>
    </row>
    <row r="1456" spans="1:4" ht="19.95" customHeight="1" x14ac:dyDescent="0.25">
      <c r="A1456" s="17" t="s">
        <v>36</v>
      </c>
      <c r="B1456" s="18" t="s">
        <v>44</v>
      </c>
      <c r="C1456" s="18">
        <v>374205000</v>
      </c>
      <c r="D1456" s="18">
        <v>2011</v>
      </c>
    </row>
    <row r="1457" spans="1:4" ht="19.95" customHeight="1" x14ac:dyDescent="0.25">
      <c r="A1457" s="17" t="s">
        <v>37</v>
      </c>
      <c r="B1457" s="18" t="s">
        <v>44</v>
      </c>
      <c r="C1457" s="18">
        <v>3490279000</v>
      </c>
      <c r="D1457" s="18">
        <v>2011</v>
      </c>
    </row>
    <row r="1458" spans="1:4" ht="19.95" customHeight="1" x14ac:dyDescent="0.25">
      <c r="A1458" s="17" t="s">
        <v>38</v>
      </c>
      <c r="B1458" s="18" t="s">
        <v>44</v>
      </c>
      <c r="C1458" s="18">
        <v>1843794000</v>
      </c>
      <c r="D1458" s="18">
        <v>2011</v>
      </c>
    </row>
    <row r="1459" spans="1:4" ht="19.95" customHeight="1" x14ac:dyDescent="0.25">
      <c r="A1459" s="17" t="s">
        <v>39</v>
      </c>
      <c r="B1459" s="18" t="s">
        <v>44</v>
      </c>
      <c r="C1459" s="18">
        <v>492048000</v>
      </c>
      <c r="D1459" s="18">
        <v>2011</v>
      </c>
    </row>
    <row r="1460" spans="1:4" ht="19.95" customHeight="1" x14ac:dyDescent="0.25">
      <c r="A1460" s="17" t="s">
        <v>40</v>
      </c>
      <c r="B1460" s="18" t="s">
        <v>44</v>
      </c>
      <c r="C1460" s="18">
        <v>974588000</v>
      </c>
      <c r="D1460" s="18">
        <v>2011</v>
      </c>
    </row>
    <row r="1461" spans="1:4" ht="19.95" customHeight="1" x14ac:dyDescent="0.25">
      <c r="A1461" s="17" t="s">
        <v>10</v>
      </c>
      <c r="B1461" s="18" t="s">
        <v>44</v>
      </c>
      <c r="C1461" s="18">
        <v>174892000</v>
      </c>
      <c r="D1461" s="18">
        <v>2012</v>
      </c>
    </row>
    <row r="1462" spans="1:4" ht="19.95" customHeight="1" x14ac:dyDescent="0.25">
      <c r="A1462" s="17" t="s">
        <v>13</v>
      </c>
      <c r="B1462" s="18" t="s">
        <v>44</v>
      </c>
      <c r="C1462" s="18">
        <v>511790000</v>
      </c>
      <c r="D1462" s="18">
        <v>2012</v>
      </c>
    </row>
    <row r="1463" spans="1:4" ht="19.95" customHeight="1" x14ac:dyDescent="0.25">
      <c r="A1463" s="17" t="s">
        <v>16</v>
      </c>
      <c r="B1463" s="18" t="s">
        <v>44</v>
      </c>
      <c r="C1463" s="18">
        <v>829511000</v>
      </c>
      <c r="D1463" s="18">
        <v>2012</v>
      </c>
    </row>
    <row r="1464" spans="1:4" ht="19.95" customHeight="1" x14ac:dyDescent="0.25">
      <c r="A1464" s="17" t="s">
        <v>15</v>
      </c>
      <c r="B1464" s="18" t="s">
        <v>44</v>
      </c>
      <c r="C1464" s="18">
        <v>90293000</v>
      </c>
      <c r="D1464" s="18">
        <v>2012</v>
      </c>
    </row>
    <row r="1465" spans="1:4" ht="19.95" customHeight="1" x14ac:dyDescent="0.25">
      <c r="A1465" s="17" t="s">
        <v>17</v>
      </c>
      <c r="B1465" s="18" t="s">
        <v>44</v>
      </c>
      <c r="C1465" s="18">
        <v>150774000</v>
      </c>
      <c r="D1465" s="18">
        <v>2012</v>
      </c>
    </row>
    <row r="1466" spans="1:4" ht="19.95" customHeight="1" x14ac:dyDescent="0.25">
      <c r="A1466" s="17" t="s">
        <v>18</v>
      </c>
      <c r="B1466" s="18" t="s">
        <v>44</v>
      </c>
      <c r="C1466" s="18">
        <v>2801037000</v>
      </c>
      <c r="D1466" s="18">
        <v>2012</v>
      </c>
    </row>
    <row r="1467" spans="1:4" ht="19.95" customHeight="1" x14ac:dyDescent="0.25">
      <c r="A1467" s="17" t="s">
        <v>19</v>
      </c>
      <c r="B1467" s="18" t="s">
        <v>44</v>
      </c>
      <c r="C1467" s="18">
        <v>158959000</v>
      </c>
      <c r="D1467" s="18">
        <v>2012</v>
      </c>
    </row>
    <row r="1468" spans="1:4" ht="19.95" customHeight="1" x14ac:dyDescent="0.25">
      <c r="A1468" s="17" t="s">
        <v>20</v>
      </c>
      <c r="B1468" s="18" t="s">
        <v>44</v>
      </c>
      <c r="C1468" s="18">
        <v>0</v>
      </c>
      <c r="D1468" s="18">
        <v>2012</v>
      </c>
    </row>
    <row r="1469" spans="1:4" ht="19.95" customHeight="1" x14ac:dyDescent="0.25">
      <c r="A1469" s="17" t="s">
        <v>21</v>
      </c>
      <c r="B1469" s="18" t="s">
        <v>44</v>
      </c>
      <c r="C1469" s="18">
        <v>3585785000</v>
      </c>
      <c r="D1469" s="18">
        <v>2012</v>
      </c>
    </row>
    <row r="1470" spans="1:4" ht="19.95" customHeight="1" x14ac:dyDescent="0.25">
      <c r="A1470" s="17" t="s">
        <v>22</v>
      </c>
      <c r="B1470" s="18" t="s">
        <v>44</v>
      </c>
      <c r="C1470" s="18">
        <v>294523000</v>
      </c>
      <c r="D1470" s="18">
        <v>2012</v>
      </c>
    </row>
    <row r="1471" spans="1:4" ht="19.95" customHeight="1" x14ac:dyDescent="0.25">
      <c r="A1471" s="17" t="s">
        <v>23</v>
      </c>
      <c r="B1471" s="18" t="s">
        <v>44</v>
      </c>
      <c r="C1471" s="18">
        <v>36970000</v>
      </c>
      <c r="D1471" s="18">
        <v>2012</v>
      </c>
    </row>
    <row r="1472" spans="1:4" ht="19.95" customHeight="1" x14ac:dyDescent="0.25">
      <c r="A1472" s="17" t="s">
        <v>24</v>
      </c>
      <c r="B1472" s="18" t="s">
        <v>44</v>
      </c>
      <c r="C1472" s="18">
        <v>1246421000</v>
      </c>
      <c r="D1472" s="18">
        <v>2012</v>
      </c>
    </row>
    <row r="1473" spans="1:4" ht="19.95" customHeight="1" x14ac:dyDescent="0.25">
      <c r="A1473" s="17" t="s">
        <v>25</v>
      </c>
      <c r="B1473" s="18" t="s">
        <v>44</v>
      </c>
      <c r="C1473" s="18">
        <v>322954000</v>
      </c>
      <c r="D1473" s="18">
        <v>2012</v>
      </c>
    </row>
    <row r="1474" spans="1:4" ht="19.95" customHeight="1" x14ac:dyDescent="0.25">
      <c r="A1474" s="17" t="s">
        <v>26</v>
      </c>
      <c r="B1474" s="18" t="s">
        <v>44</v>
      </c>
      <c r="C1474" s="18">
        <v>1051099000</v>
      </c>
      <c r="D1474" s="18">
        <v>2012</v>
      </c>
    </row>
    <row r="1475" spans="1:4" ht="19.95" customHeight="1" x14ac:dyDescent="0.25">
      <c r="A1475" s="17" t="s">
        <v>27</v>
      </c>
      <c r="B1475" s="18" t="s">
        <v>44</v>
      </c>
      <c r="C1475" s="18">
        <v>561430000</v>
      </c>
      <c r="D1475" s="18">
        <v>2012</v>
      </c>
    </row>
    <row r="1476" spans="1:4" ht="19.95" customHeight="1" x14ac:dyDescent="0.25">
      <c r="A1476" s="17" t="s">
        <v>28</v>
      </c>
      <c r="B1476" s="18" t="s">
        <v>44</v>
      </c>
      <c r="C1476" s="18">
        <v>1808341000</v>
      </c>
      <c r="D1476" s="18">
        <v>2012</v>
      </c>
    </row>
    <row r="1477" spans="1:4" ht="19.95" customHeight="1" x14ac:dyDescent="0.25">
      <c r="A1477" s="17" t="s">
        <v>29</v>
      </c>
      <c r="B1477" s="18" t="s">
        <v>44</v>
      </c>
      <c r="C1477" s="18">
        <v>854565000</v>
      </c>
      <c r="D1477" s="18">
        <v>2012</v>
      </c>
    </row>
    <row r="1478" spans="1:4" ht="19.95" customHeight="1" x14ac:dyDescent="0.25">
      <c r="A1478" s="17" t="s">
        <v>31</v>
      </c>
      <c r="B1478" s="18" t="s">
        <v>44</v>
      </c>
      <c r="C1478" s="18">
        <v>1458676000</v>
      </c>
      <c r="D1478" s="18">
        <v>2012</v>
      </c>
    </row>
    <row r="1479" spans="1:4" ht="19.95" customHeight="1" x14ac:dyDescent="0.25">
      <c r="A1479" s="17" t="s">
        <v>32</v>
      </c>
      <c r="B1479" s="18" t="s">
        <v>44</v>
      </c>
      <c r="C1479" s="18">
        <v>498248000</v>
      </c>
      <c r="D1479" s="18">
        <v>2012</v>
      </c>
    </row>
    <row r="1480" spans="1:4" ht="19.95" customHeight="1" x14ac:dyDescent="0.25">
      <c r="A1480" s="17" t="s">
        <v>33</v>
      </c>
      <c r="B1480" s="18" t="s">
        <v>44</v>
      </c>
      <c r="C1480" s="18">
        <v>447194000</v>
      </c>
      <c r="D1480" s="18">
        <v>2012</v>
      </c>
    </row>
    <row r="1481" spans="1:4" ht="19.95" customHeight="1" x14ac:dyDescent="0.25">
      <c r="A1481" s="17" t="s">
        <v>34</v>
      </c>
      <c r="B1481" s="18" t="s">
        <v>44</v>
      </c>
      <c r="C1481" s="18">
        <v>429900000</v>
      </c>
      <c r="D1481" s="18">
        <v>2012</v>
      </c>
    </row>
    <row r="1482" spans="1:4" ht="19.95" customHeight="1" x14ac:dyDescent="0.25">
      <c r="A1482" s="17" t="s">
        <v>35</v>
      </c>
      <c r="B1482" s="18" t="s">
        <v>44</v>
      </c>
      <c r="C1482" s="18">
        <v>14048000</v>
      </c>
      <c r="D1482" s="18">
        <v>2012</v>
      </c>
    </row>
    <row r="1483" spans="1:4" ht="19.95" customHeight="1" x14ac:dyDescent="0.25">
      <c r="A1483" s="17" t="s">
        <v>2</v>
      </c>
      <c r="B1483" s="18" t="s">
        <v>44</v>
      </c>
      <c r="C1483" s="18">
        <v>2752293000</v>
      </c>
      <c r="D1483" s="18">
        <v>2012</v>
      </c>
    </row>
    <row r="1484" spans="1:4" ht="19.95" customHeight="1" x14ac:dyDescent="0.25">
      <c r="A1484" s="17" t="s">
        <v>36</v>
      </c>
      <c r="B1484" s="18" t="s">
        <v>44</v>
      </c>
      <c r="C1484" s="18">
        <v>371701000</v>
      </c>
      <c r="D1484" s="18">
        <v>2012</v>
      </c>
    </row>
    <row r="1485" spans="1:4" ht="19.95" customHeight="1" x14ac:dyDescent="0.25">
      <c r="A1485" s="17" t="s">
        <v>37</v>
      </c>
      <c r="B1485" s="18" t="s">
        <v>44</v>
      </c>
      <c r="C1485" s="18">
        <v>4030440000</v>
      </c>
      <c r="D1485" s="18">
        <v>2012</v>
      </c>
    </row>
    <row r="1486" spans="1:4" ht="19.95" customHeight="1" x14ac:dyDescent="0.25">
      <c r="A1486" s="17" t="s">
        <v>38</v>
      </c>
      <c r="B1486" s="18" t="s">
        <v>44</v>
      </c>
      <c r="C1486" s="18">
        <v>2033340000</v>
      </c>
      <c r="D1486" s="18">
        <v>2012</v>
      </c>
    </row>
    <row r="1487" spans="1:4" ht="19.95" customHeight="1" x14ac:dyDescent="0.25">
      <c r="A1487" s="17" t="s">
        <v>39</v>
      </c>
      <c r="B1487" s="18" t="s">
        <v>44</v>
      </c>
      <c r="C1487" s="18">
        <v>565101000</v>
      </c>
      <c r="D1487" s="18">
        <v>2012</v>
      </c>
    </row>
    <row r="1488" spans="1:4" ht="19.95" customHeight="1" x14ac:dyDescent="0.25">
      <c r="A1488" s="17" t="s">
        <v>40</v>
      </c>
      <c r="B1488" s="18" t="s">
        <v>44</v>
      </c>
      <c r="C1488" s="18">
        <v>974802000</v>
      </c>
      <c r="D1488" s="18">
        <v>2012</v>
      </c>
    </row>
    <row r="1489" spans="1:4" ht="19.95" customHeight="1" x14ac:dyDescent="0.25">
      <c r="A1489" s="17" t="s">
        <v>10</v>
      </c>
      <c r="B1489" s="18" t="s">
        <v>44</v>
      </c>
      <c r="C1489" s="18">
        <v>173444000</v>
      </c>
      <c r="D1489" s="18">
        <v>2013</v>
      </c>
    </row>
    <row r="1490" spans="1:4" ht="19.95" customHeight="1" x14ac:dyDescent="0.25">
      <c r="A1490" s="17" t="s">
        <v>13</v>
      </c>
      <c r="B1490" s="18" t="s">
        <v>44</v>
      </c>
      <c r="C1490" s="18">
        <v>667209000</v>
      </c>
      <c r="D1490" s="18">
        <v>2013</v>
      </c>
    </row>
    <row r="1491" spans="1:4" ht="19.95" customHeight="1" x14ac:dyDescent="0.25">
      <c r="A1491" s="17" t="s">
        <v>16</v>
      </c>
      <c r="B1491" s="18" t="s">
        <v>44</v>
      </c>
      <c r="C1491" s="18">
        <v>810156000</v>
      </c>
      <c r="D1491" s="18">
        <v>2013</v>
      </c>
    </row>
    <row r="1492" spans="1:4" ht="19.95" customHeight="1" x14ac:dyDescent="0.25">
      <c r="A1492" s="17" t="s">
        <v>15</v>
      </c>
      <c r="B1492" s="18" t="s">
        <v>44</v>
      </c>
      <c r="C1492" s="18">
        <v>15534000</v>
      </c>
      <c r="D1492" s="18">
        <v>2013</v>
      </c>
    </row>
    <row r="1493" spans="1:4" ht="19.95" customHeight="1" x14ac:dyDescent="0.25">
      <c r="A1493" s="17" t="s">
        <v>17</v>
      </c>
      <c r="B1493" s="18" t="s">
        <v>44</v>
      </c>
      <c r="C1493" s="18">
        <v>147638000</v>
      </c>
      <c r="D1493" s="18">
        <v>2013</v>
      </c>
    </row>
    <row r="1494" spans="1:4" ht="19.95" customHeight="1" x14ac:dyDescent="0.25">
      <c r="A1494" s="17" t="s">
        <v>18</v>
      </c>
      <c r="B1494" s="18" t="s">
        <v>44</v>
      </c>
      <c r="C1494" s="18">
        <v>3658035000</v>
      </c>
      <c r="D1494" s="18">
        <v>2013</v>
      </c>
    </row>
    <row r="1495" spans="1:4" ht="19.95" customHeight="1" x14ac:dyDescent="0.25">
      <c r="A1495" s="17" t="s">
        <v>19</v>
      </c>
      <c r="B1495" s="18" t="s">
        <v>44</v>
      </c>
      <c r="C1495" s="18">
        <v>168047000</v>
      </c>
      <c r="D1495" s="18">
        <v>2013</v>
      </c>
    </row>
    <row r="1496" spans="1:4" ht="19.95" customHeight="1" x14ac:dyDescent="0.25">
      <c r="A1496" s="17" t="s">
        <v>20</v>
      </c>
      <c r="B1496" s="18" t="s">
        <v>44</v>
      </c>
      <c r="C1496" s="18">
        <v>0</v>
      </c>
      <c r="D1496" s="18">
        <v>2013</v>
      </c>
    </row>
    <row r="1497" spans="1:4" ht="19.95" customHeight="1" x14ac:dyDescent="0.25">
      <c r="A1497" s="17" t="s">
        <v>21</v>
      </c>
      <c r="B1497" s="18" t="s">
        <v>44</v>
      </c>
      <c r="C1497" s="18">
        <v>3982522000</v>
      </c>
      <c r="D1497" s="18">
        <v>2013</v>
      </c>
    </row>
    <row r="1498" spans="1:4" ht="19.95" customHeight="1" x14ac:dyDescent="0.25">
      <c r="A1498" s="17" t="s">
        <v>22</v>
      </c>
      <c r="B1498" s="18" t="s">
        <v>44</v>
      </c>
      <c r="C1498" s="18">
        <v>297421000</v>
      </c>
      <c r="D1498" s="18">
        <v>2013</v>
      </c>
    </row>
    <row r="1499" spans="1:4" ht="19.95" customHeight="1" x14ac:dyDescent="0.25">
      <c r="A1499" s="17" t="s">
        <v>23</v>
      </c>
      <c r="B1499" s="18" t="s">
        <v>44</v>
      </c>
      <c r="C1499" s="18">
        <v>58947000</v>
      </c>
      <c r="D1499" s="18">
        <v>2013</v>
      </c>
    </row>
    <row r="1500" spans="1:4" ht="19.95" customHeight="1" x14ac:dyDescent="0.25">
      <c r="A1500" s="17" t="s">
        <v>24</v>
      </c>
      <c r="B1500" s="18" t="s">
        <v>44</v>
      </c>
      <c r="C1500" s="18">
        <v>1330339000</v>
      </c>
      <c r="D1500" s="18">
        <v>2013</v>
      </c>
    </row>
    <row r="1501" spans="1:4" ht="19.95" customHeight="1" x14ac:dyDescent="0.25">
      <c r="A1501" s="17" t="s">
        <v>25</v>
      </c>
      <c r="B1501" s="18" t="s">
        <v>44</v>
      </c>
      <c r="C1501" s="18">
        <v>417525000</v>
      </c>
      <c r="D1501" s="18">
        <v>2013</v>
      </c>
    </row>
    <row r="1502" spans="1:4" ht="19.95" customHeight="1" x14ac:dyDescent="0.25">
      <c r="A1502" s="17" t="s">
        <v>26</v>
      </c>
      <c r="B1502" s="18" t="s">
        <v>44</v>
      </c>
      <c r="C1502" s="18">
        <v>1202881000</v>
      </c>
      <c r="D1502" s="18">
        <v>2013</v>
      </c>
    </row>
    <row r="1503" spans="1:4" ht="19.95" customHeight="1" x14ac:dyDescent="0.25">
      <c r="A1503" s="17" t="s">
        <v>27</v>
      </c>
      <c r="B1503" s="18" t="s">
        <v>44</v>
      </c>
      <c r="C1503" s="18">
        <v>568750000</v>
      </c>
      <c r="D1503" s="18">
        <v>2013</v>
      </c>
    </row>
    <row r="1504" spans="1:4" ht="19.95" customHeight="1" x14ac:dyDescent="0.25">
      <c r="A1504" s="17" t="s">
        <v>28</v>
      </c>
      <c r="B1504" s="18" t="s">
        <v>44</v>
      </c>
      <c r="C1504" s="18">
        <v>2185015000</v>
      </c>
      <c r="D1504" s="18">
        <v>2013</v>
      </c>
    </row>
    <row r="1505" spans="1:4" ht="19.95" customHeight="1" x14ac:dyDescent="0.25">
      <c r="A1505" s="17" t="s">
        <v>29</v>
      </c>
      <c r="B1505" s="18" t="s">
        <v>44</v>
      </c>
      <c r="C1505" s="18">
        <v>850612000</v>
      </c>
      <c r="D1505" s="18">
        <v>2013</v>
      </c>
    </row>
    <row r="1506" spans="1:4" ht="19.95" customHeight="1" x14ac:dyDescent="0.25">
      <c r="A1506" s="17" t="s">
        <v>31</v>
      </c>
      <c r="B1506" s="18" t="s">
        <v>44</v>
      </c>
      <c r="C1506" s="18">
        <v>1553423000</v>
      </c>
      <c r="D1506" s="18">
        <v>2013</v>
      </c>
    </row>
    <row r="1507" spans="1:4" ht="19.95" customHeight="1" x14ac:dyDescent="0.25">
      <c r="A1507" s="17" t="s">
        <v>32</v>
      </c>
      <c r="B1507" s="18" t="s">
        <v>44</v>
      </c>
      <c r="C1507" s="18">
        <v>533413000</v>
      </c>
      <c r="D1507" s="18">
        <v>2013</v>
      </c>
    </row>
    <row r="1508" spans="1:4" ht="19.95" customHeight="1" x14ac:dyDescent="0.25">
      <c r="A1508" s="17" t="s">
        <v>33</v>
      </c>
      <c r="B1508" s="18" t="s">
        <v>44</v>
      </c>
      <c r="C1508" s="18">
        <v>549653000</v>
      </c>
      <c r="D1508" s="18">
        <v>2013</v>
      </c>
    </row>
    <row r="1509" spans="1:4" ht="19.95" customHeight="1" x14ac:dyDescent="0.25">
      <c r="A1509" s="17" t="s">
        <v>34</v>
      </c>
      <c r="B1509" s="18" t="s">
        <v>44</v>
      </c>
      <c r="C1509" s="18">
        <v>472556000</v>
      </c>
      <c r="D1509" s="18">
        <v>2013</v>
      </c>
    </row>
    <row r="1510" spans="1:4" ht="19.95" customHeight="1" x14ac:dyDescent="0.25">
      <c r="A1510" s="17" t="s">
        <v>35</v>
      </c>
      <c r="B1510" s="18" t="s">
        <v>44</v>
      </c>
      <c r="C1510" s="18">
        <v>14004000</v>
      </c>
      <c r="D1510" s="18">
        <v>2013</v>
      </c>
    </row>
    <row r="1511" spans="1:4" ht="19.95" customHeight="1" x14ac:dyDescent="0.25">
      <c r="A1511" s="17" t="s">
        <v>2</v>
      </c>
      <c r="B1511" s="18" t="s">
        <v>44</v>
      </c>
      <c r="C1511" s="18">
        <v>2884178000</v>
      </c>
      <c r="D1511" s="18">
        <v>2013</v>
      </c>
    </row>
    <row r="1512" spans="1:4" ht="19.95" customHeight="1" x14ac:dyDescent="0.25">
      <c r="A1512" s="17" t="s">
        <v>36</v>
      </c>
      <c r="B1512" s="18" t="s">
        <v>44</v>
      </c>
      <c r="C1512" s="18">
        <v>365584000</v>
      </c>
      <c r="D1512" s="18">
        <v>2013</v>
      </c>
    </row>
    <row r="1513" spans="1:4" ht="19.95" customHeight="1" x14ac:dyDescent="0.25">
      <c r="A1513" s="17" t="s">
        <v>37</v>
      </c>
      <c r="B1513" s="18" t="s">
        <v>44</v>
      </c>
      <c r="C1513" s="18">
        <v>4746441000</v>
      </c>
      <c r="D1513" s="18">
        <v>2013</v>
      </c>
    </row>
    <row r="1514" spans="1:4" ht="19.95" customHeight="1" x14ac:dyDescent="0.25">
      <c r="A1514" s="17" t="s">
        <v>38</v>
      </c>
      <c r="B1514" s="18" t="s">
        <v>44</v>
      </c>
      <c r="C1514" s="18">
        <v>2394237000</v>
      </c>
      <c r="D1514" s="18">
        <v>2013</v>
      </c>
    </row>
    <row r="1515" spans="1:4" ht="19.95" customHeight="1" x14ac:dyDescent="0.25">
      <c r="A1515" s="17" t="s">
        <v>39</v>
      </c>
      <c r="B1515" s="18" t="s">
        <v>44</v>
      </c>
      <c r="C1515" s="18">
        <v>631928000</v>
      </c>
      <c r="D1515" s="18">
        <v>2013</v>
      </c>
    </row>
    <row r="1516" spans="1:4" ht="19.95" customHeight="1" x14ac:dyDescent="0.25">
      <c r="A1516" s="17" t="s">
        <v>40</v>
      </c>
      <c r="B1516" s="18" t="s">
        <v>44</v>
      </c>
      <c r="C1516" s="18">
        <v>975446000</v>
      </c>
      <c r="D1516" s="18">
        <v>2013</v>
      </c>
    </row>
    <row r="1517" spans="1:4" ht="19.95" customHeight="1" x14ac:dyDescent="0.25">
      <c r="A1517" s="17" t="s">
        <v>10</v>
      </c>
      <c r="B1517" s="18" t="s">
        <v>44</v>
      </c>
      <c r="C1517" s="18">
        <v>160731000</v>
      </c>
      <c r="D1517" s="18">
        <v>2014</v>
      </c>
    </row>
    <row r="1518" spans="1:4" ht="19.95" customHeight="1" x14ac:dyDescent="0.25">
      <c r="A1518" s="17" t="s">
        <v>13</v>
      </c>
      <c r="B1518" s="18" t="s">
        <v>44</v>
      </c>
      <c r="C1518" s="18">
        <v>742910000</v>
      </c>
      <c r="D1518" s="18">
        <v>2014</v>
      </c>
    </row>
    <row r="1519" spans="1:4" ht="19.95" customHeight="1" x14ac:dyDescent="0.25">
      <c r="A1519" s="17" t="s">
        <v>16</v>
      </c>
      <c r="B1519" s="18" t="s">
        <v>44</v>
      </c>
      <c r="C1519" s="18">
        <v>747070000</v>
      </c>
      <c r="D1519" s="18">
        <v>2014</v>
      </c>
    </row>
    <row r="1520" spans="1:4" ht="19.95" customHeight="1" x14ac:dyDescent="0.25">
      <c r="A1520" s="17" t="s">
        <v>15</v>
      </c>
      <c r="B1520" s="18" t="s">
        <v>44</v>
      </c>
      <c r="C1520" s="18">
        <v>14448000</v>
      </c>
      <c r="D1520" s="18">
        <v>2014</v>
      </c>
    </row>
    <row r="1521" spans="1:4" ht="19.95" customHeight="1" x14ac:dyDescent="0.25">
      <c r="A1521" s="17" t="s">
        <v>17</v>
      </c>
      <c r="B1521" s="18" t="s">
        <v>44</v>
      </c>
      <c r="C1521" s="18">
        <v>136579000</v>
      </c>
      <c r="D1521" s="18">
        <v>2014</v>
      </c>
    </row>
    <row r="1522" spans="1:4" ht="19.95" customHeight="1" x14ac:dyDescent="0.25">
      <c r="A1522" s="17" t="s">
        <v>18</v>
      </c>
      <c r="B1522" s="18" t="s">
        <v>44</v>
      </c>
      <c r="C1522" s="18">
        <v>4258610000</v>
      </c>
      <c r="D1522" s="18">
        <v>2014</v>
      </c>
    </row>
    <row r="1523" spans="1:4" ht="19.95" customHeight="1" x14ac:dyDescent="0.25">
      <c r="A1523" s="17" t="s">
        <v>19</v>
      </c>
      <c r="B1523" s="18" t="s">
        <v>44</v>
      </c>
      <c r="C1523" s="18">
        <v>196542000</v>
      </c>
      <c r="D1523" s="18">
        <v>2014</v>
      </c>
    </row>
    <row r="1524" spans="1:4" ht="19.95" customHeight="1" x14ac:dyDescent="0.25">
      <c r="A1524" s="17" t="s">
        <v>20</v>
      </c>
      <c r="B1524" s="18" t="s">
        <v>44</v>
      </c>
      <c r="C1524" s="18">
        <v>0</v>
      </c>
      <c r="D1524" s="18">
        <v>2014</v>
      </c>
    </row>
    <row r="1525" spans="1:4" ht="19.95" customHeight="1" x14ac:dyDescent="0.25">
      <c r="A1525" s="17" t="s">
        <v>21</v>
      </c>
      <c r="B1525" s="18" t="s">
        <v>44</v>
      </c>
      <c r="C1525" s="18">
        <v>4199127000</v>
      </c>
      <c r="D1525" s="18">
        <v>2014</v>
      </c>
    </row>
    <row r="1526" spans="1:4" ht="19.95" customHeight="1" x14ac:dyDescent="0.25">
      <c r="A1526" s="17" t="s">
        <v>22</v>
      </c>
      <c r="B1526" s="18" t="s">
        <v>44</v>
      </c>
      <c r="C1526" s="18">
        <v>259082000</v>
      </c>
      <c r="D1526" s="18">
        <v>2014</v>
      </c>
    </row>
    <row r="1527" spans="1:4" ht="19.95" customHeight="1" x14ac:dyDescent="0.25">
      <c r="A1527" s="17" t="s">
        <v>23</v>
      </c>
      <c r="B1527" s="18" t="s">
        <v>44</v>
      </c>
      <c r="C1527" s="18">
        <v>102315000</v>
      </c>
      <c r="D1527" s="18">
        <v>2014</v>
      </c>
    </row>
    <row r="1528" spans="1:4" ht="19.95" customHeight="1" x14ac:dyDescent="0.25">
      <c r="A1528" s="17" t="s">
        <v>24</v>
      </c>
      <c r="B1528" s="18" t="s">
        <v>44</v>
      </c>
      <c r="C1528" s="18">
        <v>1365919000</v>
      </c>
      <c r="D1528" s="18">
        <v>2014</v>
      </c>
    </row>
    <row r="1529" spans="1:4" ht="19.95" customHeight="1" x14ac:dyDescent="0.25">
      <c r="A1529" s="17" t="s">
        <v>25</v>
      </c>
      <c r="B1529" s="18" t="s">
        <v>44</v>
      </c>
      <c r="C1529" s="18">
        <v>501386000</v>
      </c>
      <c r="D1529" s="18">
        <v>2014</v>
      </c>
    </row>
    <row r="1530" spans="1:4" ht="19.95" customHeight="1" x14ac:dyDescent="0.25">
      <c r="A1530" s="17" t="s">
        <v>26</v>
      </c>
      <c r="B1530" s="18" t="s">
        <v>44</v>
      </c>
      <c r="C1530" s="18">
        <v>1231870000</v>
      </c>
      <c r="D1530" s="18">
        <v>2014</v>
      </c>
    </row>
    <row r="1531" spans="1:4" ht="19.95" customHeight="1" x14ac:dyDescent="0.25">
      <c r="A1531" s="17" t="s">
        <v>27</v>
      </c>
      <c r="B1531" s="18" t="s">
        <v>44</v>
      </c>
      <c r="C1531" s="18">
        <v>564323000</v>
      </c>
      <c r="D1531" s="18">
        <v>2014</v>
      </c>
    </row>
    <row r="1532" spans="1:4" ht="19.95" customHeight="1" x14ac:dyDescent="0.25">
      <c r="A1532" s="17" t="s">
        <v>28</v>
      </c>
      <c r="B1532" s="18" t="s">
        <v>44</v>
      </c>
      <c r="C1532" s="18">
        <v>2284912000</v>
      </c>
      <c r="D1532" s="18">
        <v>2014</v>
      </c>
    </row>
    <row r="1533" spans="1:4" ht="19.95" customHeight="1" x14ac:dyDescent="0.25">
      <c r="A1533" s="17" t="s">
        <v>29</v>
      </c>
      <c r="B1533" s="18" t="s">
        <v>44</v>
      </c>
      <c r="C1533" s="18">
        <v>766514000</v>
      </c>
      <c r="D1533" s="18">
        <v>2014</v>
      </c>
    </row>
    <row r="1534" spans="1:4" ht="19.95" customHeight="1" x14ac:dyDescent="0.25">
      <c r="A1534" s="17" t="s">
        <v>31</v>
      </c>
      <c r="B1534" s="18" t="s">
        <v>44</v>
      </c>
      <c r="C1534" s="18">
        <v>1517305000</v>
      </c>
      <c r="D1534" s="18">
        <v>2014</v>
      </c>
    </row>
    <row r="1535" spans="1:4" ht="19.95" customHeight="1" x14ac:dyDescent="0.25">
      <c r="A1535" s="17" t="s">
        <v>32</v>
      </c>
      <c r="B1535" s="18" t="s">
        <v>44</v>
      </c>
      <c r="C1535" s="18">
        <v>523286000</v>
      </c>
      <c r="D1535" s="18">
        <v>2014</v>
      </c>
    </row>
    <row r="1536" spans="1:4" ht="19.95" customHeight="1" x14ac:dyDescent="0.25">
      <c r="A1536" s="17" t="s">
        <v>33</v>
      </c>
      <c r="B1536" s="18" t="s">
        <v>44</v>
      </c>
      <c r="C1536" s="18">
        <v>575979000</v>
      </c>
      <c r="D1536" s="18">
        <v>2014</v>
      </c>
    </row>
    <row r="1537" spans="1:4" ht="19.95" customHeight="1" x14ac:dyDescent="0.25">
      <c r="A1537" s="17" t="s">
        <v>34</v>
      </c>
      <c r="B1537" s="18" t="s">
        <v>44</v>
      </c>
      <c r="C1537" s="18">
        <v>605320000</v>
      </c>
      <c r="D1537" s="18">
        <v>2014</v>
      </c>
    </row>
    <row r="1538" spans="1:4" ht="19.95" customHeight="1" x14ac:dyDescent="0.25">
      <c r="A1538" s="17" t="s">
        <v>35</v>
      </c>
      <c r="B1538" s="18" t="s">
        <v>44</v>
      </c>
      <c r="C1538" s="18">
        <v>13009000</v>
      </c>
      <c r="D1538" s="18">
        <v>2014</v>
      </c>
    </row>
    <row r="1539" spans="1:4" ht="19.95" customHeight="1" x14ac:dyDescent="0.25">
      <c r="A1539" s="17" t="s">
        <v>2</v>
      </c>
      <c r="B1539" s="18" t="s">
        <v>44</v>
      </c>
      <c r="C1539" s="18">
        <v>2842976000</v>
      </c>
      <c r="D1539" s="18">
        <v>2014</v>
      </c>
    </row>
    <row r="1540" spans="1:4" ht="19.95" customHeight="1" x14ac:dyDescent="0.25">
      <c r="A1540" s="17" t="s">
        <v>36</v>
      </c>
      <c r="B1540" s="18" t="s">
        <v>44</v>
      </c>
      <c r="C1540" s="18">
        <v>337163000</v>
      </c>
      <c r="D1540" s="18">
        <v>2014</v>
      </c>
    </row>
    <row r="1541" spans="1:4" ht="19.95" customHeight="1" x14ac:dyDescent="0.25">
      <c r="A1541" s="17" t="s">
        <v>37</v>
      </c>
      <c r="B1541" s="18" t="s">
        <v>44</v>
      </c>
      <c r="C1541" s="18">
        <v>5044574000</v>
      </c>
      <c r="D1541" s="18">
        <v>2014</v>
      </c>
    </row>
    <row r="1542" spans="1:4" ht="19.95" customHeight="1" x14ac:dyDescent="0.25">
      <c r="A1542" s="17" t="s">
        <v>38</v>
      </c>
      <c r="B1542" s="18" t="s">
        <v>44</v>
      </c>
      <c r="C1542" s="18">
        <v>2406629000</v>
      </c>
      <c r="D1542" s="18">
        <v>2014</v>
      </c>
    </row>
    <row r="1543" spans="1:4" ht="19.95" customHeight="1" x14ac:dyDescent="0.25">
      <c r="A1543" s="17" t="s">
        <v>39</v>
      </c>
      <c r="B1543" s="18" t="s">
        <v>44</v>
      </c>
      <c r="C1543" s="18">
        <v>666815000</v>
      </c>
      <c r="D1543" s="18">
        <v>2014</v>
      </c>
    </row>
    <row r="1544" spans="1:4" ht="19.95" customHeight="1" x14ac:dyDescent="0.25">
      <c r="A1544" s="17" t="s">
        <v>40</v>
      </c>
      <c r="B1544" s="18" t="s">
        <v>44</v>
      </c>
      <c r="C1544" s="18">
        <v>940638000</v>
      </c>
      <c r="D1544" s="18">
        <v>2014</v>
      </c>
    </row>
    <row r="1545" spans="1:4" ht="19.95" customHeight="1" x14ac:dyDescent="0.25">
      <c r="A1545" s="17" t="s">
        <v>10</v>
      </c>
      <c r="B1545" s="18" t="s">
        <v>44</v>
      </c>
      <c r="C1545" s="18">
        <v>150608000</v>
      </c>
      <c r="D1545" s="18">
        <v>2015</v>
      </c>
    </row>
    <row r="1546" spans="1:4" ht="19.95" customHeight="1" x14ac:dyDescent="0.25">
      <c r="A1546" s="17" t="s">
        <v>13</v>
      </c>
      <c r="B1546" s="18" t="s">
        <v>44</v>
      </c>
      <c r="C1546" s="18">
        <v>798099000</v>
      </c>
      <c r="D1546" s="18">
        <v>2015</v>
      </c>
    </row>
    <row r="1547" spans="1:4" ht="19.95" customHeight="1" x14ac:dyDescent="0.25">
      <c r="A1547" s="17" t="s">
        <v>16</v>
      </c>
      <c r="B1547" s="18" t="s">
        <v>44</v>
      </c>
      <c r="C1547" s="18">
        <v>187166000</v>
      </c>
      <c r="D1547" s="18">
        <v>2015</v>
      </c>
    </row>
    <row r="1548" spans="1:4" ht="19.95" customHeight="1" x14ac:dyDescent="0.25">
      <c r="A1548" s="17" t="s">
        <v>15</v>
      </c>
      <c r="B1548" s="18" t="s">
        <v>44</v>
      </c>
      <c r="C1548" s="18">
        <v>13535000</v>
      </c>
      <c r="D1548" s="18">
        <v>2015</v>
      </c>
    </row>
    <row r="1549" spans="1:4" ht="19.95" customHeight="1" x14ac:dyDescent="0.25">
      <c r="A1549" s="17" t="s">
        <v>17</v>
      </c>
      <c r="B1549" s="18" t="s">
        <v>44</v>
      </c>
      <c r="C1549" s="18">
        <v>129902000</v>
      </c>
      <c r="D1549" s="18">
        <v>2015</v>
      </c>
    </row>
    <row r="1550" spans="1:4" ht="19.95" customHeight="1" x14ac:dyDescent="0.25">
      <c r="A1550" s="17" t="s">
        <v>18</v>
      </c>
      <c r="B1550" s="18" t="s">
        <v>44</v>
      </c>
      <c r="C1550" s="18">
        <v>4753164000</v>
      </c>
      <c r="D1550" s="18">
        <v>2015</v>
      </c>
    </row>
    <row r="1551" spans="1:4" ht="19.95" customHeight="1" x14ac:dyDescent="0.25">
      <c r="A1551" s="17" t="s">
        <v>19</v>
      </c>
      <c r="B1551" s="18" t="s">
        <v>44</v>
      </c>
      <c r="C1551" s="18">
        <v>186017000</v>
      </c>
      <c r="D1551" s="18">
        <v>2015</v>
      </c>
    </row>
    <row r="1552" spans="1:4" ht="19.95" customHeight="1" x14ac:dyDescent="0.25">
      <c r="A1552" s="17" t="s">
        <v>20</v>
      </c>
      <c r="B1552" s="18" t="s">
        <v>44</v>
      </c>
      <c r="C1552" s="18">
        <v>0</v>
      </c>
      <c r="D1552" s="18">
        <v>2015</v>
      </c>
    </row>
    <row r="1553" spans="1:4" ht="19.95" customHeight="1" x14ac:dyDescent="0.25">
      <c r="A1553" s="17" t="s">
        <v>21</v>
      </c>
      <c r="B1553" s="18" t="s">
        <v>44</v>
      </c>
      <c r="C1553" s="18">
        <v>4381759000</v>
      </c>
      <c r="D1553" s="18">
        <v>2015</v>
      </c>
    </row>
    <row r="1554" spans="1:4" ht="19.95" customHeight="1" x14ac:dyDescent="0.25">
      <c r="A1554" s="17" t="s">
        <v>22</v>
      </c>
      <c r="B1554" s="18" t="s">
        <v>44</v>
      </c>
      <c r="C1554" s="18">
        <v>228491000</v>
      </c>
      <c r="D1554" s="18">
        <v>2015</v>
      </c>
    </row>
    <row r="1555" spans="1:4" ht="19.95" customHeight="1" x14ac:dyDescent="0.25">
      <c r="A1555" s="17" t="s">
        <v>23</v>
      </c>
      <c r="B1555" s="18" t="s">
        <v>44</v>
      </c>
      <c r="C1555" s="18">
        <v>164323000</v>
      </c>
      <c r="D1555" s="18">
        <v>2015</v>
      </c>
    </row>
    <row r="1556" spans="1:4" ht="19.95" customHeight="1" x14ac:dyDescent="0.25">
      <c r="A1556" s="17" t="s">
        <v>24</v>
      </c>
      <c r="B1556" s="18" t="s">
        <v>44</v>
      </c>
      <c r="C1556" s="18">
        <v>1412191000</v>
      </c>
      <c r="D1556" s="18">
        <v>2015</v>
      </c>
    </row>
    <row r="1557" spans="1:4" ht="19.95" customHeight="1" x14ac:dyDescent="0.25">
      <c r="A1557" s="17" t="s">
        <v>25</v>
      </c>
      <c r="B1557" s="18" t="s">
        <v>44</v>
      </c>
      <c r="C1557" s="18">
        <v>588186000</v>
      </c>
      <c r="D1557" s="18">
        <v>2015</v>
      </c>
    </row>
    <row r="1558" spans="1:4" ht="19.95" customHeight="1" x14ac:dyDescent="0.25">
      <c r="A1558" s="17" t="s">
        <v>26</v>
      </c>
      <c r="B1558" s="18" t="s">
        <v>44</v>
      </c>
      <c r="C1558" s="18">
        <v>1349331000</v>
      </c>
      <c r="D1558" s="18">
        <v>2015</v>
      </c>
    </row>
    <row r="1559" spans="1:4" ht="19.95" customHeight="1" x14ac:dyDescent="0.25">
      <c r="A1559" s="17" t="s">
        <v>27</v>
      </c>
      <c r="B1559" s="18" t="s">
        <v>44</v>
      </c>
      <c r="C1559" s="18">
        <v>567716000</v>
      </c>
      <c r="D1559" s="18">
        <v>2015</v>
      </c>
    </row>
    <row r="1560" spans="1:4" ht="19.95" customHeight="1" x14ac:dyDescent="0.25">
      <c r="A1560" s="17" t="s">
        <v>28</v>
      </c>
      <c r="B1560" s="18" t="s">
        <v>44</v>
      </c>
      <c r="C1560" s="18">
        <v>2460788000</v>
      </c>
      <c r="D1560" s="18">
        <v>2015</v>
      </c>
    </row>
    <row r="1561" spans="1:4" ht="19.95" customHeight="1" x14ac:dyDescent="0.25">
      <c r="A1561" s="17" t="s">
        <v>29</v>
      </c>
      <c r="B1561" s="18" t="s">
        <v>44</v>
      </c>
      <c r="C1561" s="18">
        <v>833210000</v>
      </c>
      <c r="D1561" s="18">
        <v>2015</v>
      </c>
    </row>
    <row r="1562" spans="1:4" ht="19.95" customHeight="1" x14ac:dyDescent="0.25">
      <c r="A1562" s="17" t="s">
        <v>31</v>
      </c>
      <c r="B1562" s="18" t="s">
        <v>44</v>
      </c>
      <c r="C1562" s="18">
        <v>1640015000</v>
      </c>
      <c r="D1562" s="18">
        <v>2015</v>
      </c>
    </row>
    <row r="1563" spans="1:4" ht="19.95" customHeight="1" x14ac:dyDescent="0.25">
      <c r="A1563" s="17" t="s">
        <v>32</v>
      </c>
      <c r="B1563" s="18" t="s">
        <v>44</v>
      </c>
      <c r="C1563" s="18">
        <v>532425000</v>
      </c>
      <c r="D1563" s="18">
        <v>2015</v>
      </c>
    </row>
    <row r="1564" spans="1:4" ht="19.95" customHeight="1" x14ac:dyDescent="0.25">
      <c r="A1564" s="17" t="s">
        <v>33</v>
      </c>
      <c r="B1564" s="18" t="s">
        <v>44</v>
      </c>
      <c r="C1564" s="18">
        <v>626206000</v>
      </c>
      <c r="D1564" s="18">
        <v>2015</v>
      </c>
    </row>
    <row r="1565" spans="1:4" ht="19.95" customHeight="1" x14ac:dyDescent="0.25">
      <c r="A1565" s="17" t="s">
        <v>34</v>
      </c>
      <c r="B1565" s="18" t="s">
        <v>44</v>
      </c>
      <c r="C1565" s="18">
        <v>861911000</v>
      </c>
      <c r="D1565" s="18">
        <v>2015</v>
      </c>
    </row>
    <row r="1566" spans="1:4" ht="19.95" customHeight="1" x14ac:dyDescent="0.25">
      <c r="A1566" s="17" t="s">
        <v>35</v>
      </c>
      <c r="B1566" s="18" t="s">
        <v>44</v>
      </c>
      <c r="C1566" s="18">
        <v>12186000</v>
      </c>
      <c r="D1566" s="18">
        <v>2015</v>
      </c>
    </row>
    <row r="1567" spans="1:4" ht="19.95" customHeight="1" x14ac:dyDescent="0.25">
      <c r="A1567" s="17" t="s">
        <v>2</v>
      </c>
      <c r="B1567" s="18" t="s">
        <v>44</v>
      </c>
      <c r="C1567" s="18">
        <v>2784426000</v>
      </c>
      <c r="D1567" s="18">
        <v>2015</v>
      </c>
    </row>
    <row r="1568" spans="1:4" ht="19.95" customHeight="1" x14ac:dyDescent="0.25">
      <c r="A1568" s="17" t="s">
        <v>36</v>
      </c>
      <c r="B1568" s="18" t="s">
        <v>44</v>
      </c>
      <c r="C1568" s="18">
        <v>315822000</v>
      </c>
      <c r="D1568" s="18">
        <v>2015</v>
      </c>
    </row>
    <row r="1569" spans="1:4" ht="19.95" customHeight="1" x14ac:dyDescent="0.25">
      <c r="A1569" s="17" t="s">
        <v>37</v>
      </c>
      <c r="B1569" s="18" t="s">
        <v>44</v>
      </c>
      <c r="C1569" s="18">
        <v>5399245000</v>
      </c>
      <c r="D1569" s="18">
        <v>2015</v>
      </c>
    </row>
    <row r="1570" spans="1:4" ht="19.95" customHeight="1" x14ac:dyDescent="0.25">
      <c r="A1570" s="17" t="s">
        <v>38</v>
      </c>
      <c r="B1570" s="18" t="s">
        <v>44</v>
      </c>
      <c r="C1570" s="18">
        <v>2509876000</v>
      </c>
      <c r="D1570" s="18">
        <v>2015</v>
      </c>
    </row>
    <row r="1571" spans="1:4" ht="19.95" customHeight="1" x14ac:dyDescent="0.25">
      <c r="A1571" s="17" t="s">
        <v>39</v>
      </c>
      <c r="B1571" s="18" t="s">
        <v>44</v>
      </c>
      <c r="C1571" s="18">
        <v>698021000</v>
      </c>
      <c r="D1571" s="18">
        <v>2015</v>
      </c>
    </row>
    <row r="1572" spans="1:4" ht="19.95" customHeight="1" x14ac:dyDescent="0.25">
      <c r="A1572" s="17" t="s">
        <v>40</v>
      </c>
      <c r="B1572" s="18" t="s">
        <v>44</v>
      </c>
      <c r="C1572" s="18">
        <v>911501000</v>
      </c>
      <c r="D1572" s="18">
        <v>2015</v>
      </c>
    </row>
    <row r="1573" spans="1:4" ht="19.95" customHeight="1" x14ac:dyDescent="0.25">
      <c r="A1573" s="17" t="s">
        <v>10</v>
      </c>
      <c r="B1573" s="18" t="s">
        <v>44</v>
      </c>
      <c r="C1573" s="18">
        <v>143008000</v>
      </c>
      <c r="D1573" s="18">
        <v>2016</v>
      </c>
    </row>
    <row r="1574" spans="1:4" ht="19.95" customHeight="1" x14ac:dyDescent="0.25">
      <c r="A1574" s="17" t="s">
        <v>13</v>
      </c>
      <c r="B1574" s="18" t="s">
        <v>44</v>
      </c>
      <c r="C1574" s="18">
        <v>896504000</v>
      </c>
      <c r="D1574" s="18">
        <v>2016</v>
      </c>
    </row>
    <row r="1575" spans="1:4" ht="19.95" customHeight="1" x14ac:dyDescent="0.25">
      <c r="A1575" s="17" t="s">
        <v>16</v>
      </c>
      <c r="B1575" s="18" t="s">
        <v>44</v>
      </c>
      <c r="C1575" s="18">
        <v>179970000</v>
      </c>
      <c r="D1575" s="18">
        <v>2016</v>
      </c>
    </row>
    <row r="1576" spans="1:4" ht="19.95" customHeight="1" x14ac:dyDescent="0.25">
      <c r="A1576" s="17" t="s">
        <v>15</v>
      </c>
      <c r="B1576" s="18" t="s">
        <v>44</v>
      </c>
      <c r="C1576" s="18">
        <v>12856000</v>
      </c>
      <c r="D1576" s="18">
        <v>2016</v>
      </c>
    </row>
    <row r="1577" spans="1:4" ht="19.95" customHeight="1" x14ac:dyDescent="0.25">
      <c r="A1577" s="17" t="s">
        <v>17</v>
      </c>
      <c r="B1577" s="18" t="s">
        <v>44</v>
      </c>
      <c r="C1577" s="18">
        <v>127926000</v>
      </c>
      <c r="D1577" s="18">
        <v>2016</v>
      </c>
    </row>
    <row r="1578" spans="1:4" ht="19.95" customHeight="1" x14ac:dyDescent="0.25">
      <c r="A1578" s="17" t="s">
        <v>18</v>
      </c>
      <c r="B1578" s="18" t="s">
        <v>44</v>
      </c>
      <c r="C1578" s="18">
        <v>5746393000</v>
      </c>
      <c r="D1578" s="18">
        <v>2016</v>
      </c>
    </row>
    <row r="1579" spans="1:4" ht="19.95" customHeight="1" x14ac:dyDescent="0.25">
      <c r="A1579" s="17" t="s">
        <v>19</v>
      </c>
      <c r="B1579" s="18" t="s">
        <v>44</v>
      </c>
      <c r="C1579" s="18">
        <v>221594000</v>
      </c>
      <c r="D1579" s="18">
        <v>2016</v>
      </c>
    </row>
    <row r="1580" spans="1:4" ht="19.95" customHeight="1" x14ac:dyDescent="0.25">
      <c r="A1580" s="17" t="s">
        <v>20</v>
      </c>
      <c r="B1580" s="18" t="s">
        <v>44</v>
      </c>
      <c r="C1580" s="18">
        <v>0</v>
      </c>
      <c r="D1580" s="18">
        <v>2016</v>
      </c>
    </row>
    <row r="1581" spans="1:4" ht="19.95" customHeight="1" x14ac:dyDescent="0.25">
      <c r="A1581" s="17" t="s">
        <v>21</v>
      </c>
      <c r="B1581" s="18" t="s">
        <v>44</v>
      </c>
      <c r="C1581" s="18">
        <v>4567712000</v>
      </c>
      <c r="D1581" s="18">
        <v>2016</v>
      </c>
    </row>
    <row r="1582" spans="1:4" ht="19.95" customHeight="1" x14ac:dyDescent="0.25">
      <c r="A1582" s="17" t="s">
        <v>22</v>
      </c>
      <c r="B1582" s="18" t="s">
        <v>44</v>
      </c>
      <c r="C1582" s="18">
        <v>217114000</v>
      </c>
      <c r="D1582" s="18">
        <v>2016</v>
      </c>
    </row>
    <row r="1583" spans="1:4" ht="19.95" customHeight="1" x14ac:dyDescent="0.25">
      <c r="A1583" s="17" t="s">
        <v>23</v>
      </c>
      <c r="B1583" s="18" t="s">
        <v>44</v>
      </c>
      <c r="C1583" s="18">
        <v>231253000</v>
      </c>
      <c r="D1583" s="18">
        <v>2016</v>
      </c>
    </row>
    <row r="1584" spans="1:4" ht="19.95" customHeight="1" x14ac:dyDescent="0.25">
      <c r="A1584" s="17" t="s">
        <v>24</v>
      </c>
      <c r="B1584" s="18" t="s">
        <v>44</v>
      </c>
      <c r="C1584" s="18">
        <v>1433353000</v>
      </c>
      <c r="D1584" s="18">
        <v>2016</v>
      </c>
    </row>
    <row r="1585" spans="1:4" ht="19.95" customHeight="1" x14ac:dyDescent="0.25">
      <c r="A1585" s="17" t="s">
        <v>25</v>
      </c>
      <c r="B1585" s="18" t="s">
        <v>44</v>
      </c>
      <c r="C1585" s="18">
        <v>642213000</v>
      </c>
      <c r="D1585" s="18">
        <v>2016</v>
      </c>
    </row>
    <row r="1586" spans="1:4" ht="19.95" customHeight="1" x14ac:dyDescent="0.25">
      <c r="A1586" s="17" t="s">
        <v>26</v>
      </c>
      <c r="B1586" s="18" t="s">
        <v>44</v>
      </c>
      <c r="C1586" s="18">
        <v>1364256000</v>
      </c>
      <c r="D1586" s="18">
        <v>2016</v>
      </c>
    </row>
    <row r="1587" spans="1:4" ht="19.95" customHeight="1" x14ac:dyDescent="0.25">
      <c r="A1587" s="17" t="s">
        <v>27</v>
      </c>
      <c r="B1587" s="18" t="s">
        <v>44</v>
      </c>
      <c r="C1587" s="18">
        <v>634407000</v>
      </c>
      <c r="D1587" s="18">
        <v>2016</v>
      </c>
    </row>
    <row r="1588" spans="1:4" ht="19.95" customHeight="1" x14ac:dyDescent="0.25">
      <c r="A1588" s="17" t="s">
        <v>28</v>
      </c>
      <c r="B1588" s="18" t="s">
        <v>44</v>
      </c>
      <c r="C1588" s="18">
        <v>2554627000</v>
      </c>
      <c r="D1588" s="18">
        <v>2016</v>
      </c>
    </row>
    <row r="1589" spans="1:4" ht="19.95" customHeight="1" x14ac:dyDescent="0.25">
      <c r="A1589" s="17" t="s">
        <v>29</v>
      </c>
      <c r="B1589" s="18" t="s">
        <v>44</v>
      </c>
      <c r="C1589" s="18">
        <v>882283000</v>
      </c>
      <c r="D1589" s="18">
        <v>2016</v>
      </c>
    </row>
    <row r="1590" spans="1:4" ht="19.95" customHeight="1" x14ac:dyDescent="0.25">
      <c r="A1590" s="17" t="s">
        <v>31</v>
      </c>
      <c r="B1590" s="18" t="s">
        <v>44</v>
      </c>
      <c r="C1590" s="18">
        <v>1708228000</v>
      </c>
      <c r="D1590" s="18">
        <v>2016</v>
      </c>
    </row>
    <row r="1591" spans="1:4" ht="19.95" customHeight="1" x14ac:dyDescent="0.25">
      <c r="A1591" s="17" t="s">
        <v>32</v>
      </c>
      <c r="B1591" s="18" t="s">
        <v>44</v>
      </c>
      <c r="C1591" s="18">
        <v>531337000</v>
      </c>
      <c r="D1591" s="18">
        <v>2016</v>
      </c>
    </row>
    <row r="1592" spans="1:4" ht="19.95" customHeight="1" x14ac:dyDescent="0.25">
      <c r="A1592" s="17" t="s">
        <v>33</v>
      </c>
      <c r="B1592" s="18" t="s">
        <v>44</v>
      </c>
      <c r="C1592" s="18">
        <v>772581000</v>
      </c>
      <c r="D1592" s="18">
        <v>2016</v>
      </c>
    </row>
    <row r="1593" spans="1:4" ht="19.95" customHeight="1" x14ac:dyDescent="0.25">
      <c r="A1593" s="17" t="s">
        <v>34</v>
      </c>
      <c r="B1593" s="18" t="s">
        <v>44</v>
      </c>
      <c r="C1593" s="18">
        <v>1048538000</v>
      </c>
      <c r="D1593" s="18">
        <v>2016</v>
      </c>
    </row>
    <row r="1594" spans="1:4" ht="19.95" customHeight="1" x14ac:dyDescent="0.25">
      <c r="A1594" s="17" t="s">
        <v>35</v>
      </c>
      <c r="B1594" s="18" t="s">
        <v>44</v>
      </c>
      <c r="C1594" s="18">
        <v>11574000</v>
      </c>
      <c r="D1594" s="18">
        <v>2016</v>
      </c>
    </row>
    <row r="1595" spans="1:4" ht="19.95" customHeight="1" x14ac:dyDescent="0.25">
      <c r="A1595" s="17" t="s">
        <v>2</v>
      </c>
      <c r="B1595" s="18" t="s">
        <v>44</v>
      </c>
      <c r="C1595" s="18">
        <v>2970032000</v>
      </c>
      <c r="D1595" s="18">
        <v>2016</v>
      </c>
    </row>
    <row r="1596" spans="1:4" ht="19.95" customHeight="1" x14ac:dyDescent="0.25">
      <c r="A1596" s="17" t="s">
        <v>36</v>
      </c>
      <c r="B1596" s="18" t="s">
        <v>44</v>
      </c>
      <c r="C1596" s="18">
        <v>305131000</v>
      </c>
      <c r="D1596" s="18">
        <v>2016</v>
      </c>
    </row>
    <row r="1597" spans="1:4" ht="19.95" customHeight="1" x14ac:dyDescent="0.25">
      <c r="A1597" s="17" t="s">
        <v>37</v>
      </c>
      <c r="B1597" s="18" t="s">
        <v>44</v>
      </c>
      <c r="C1597" s="18">
        <v>5620831000</v>
      </c>
      <c r="D1597" s="18">
        <v>2016</v>
      </c>
    </row>
    <row r="1598" spans="1:4" ht="19.95" customHeight="1" x14ac:dyDescent="0.25">
      <c r="A1598" s="17" t="s">
        <v>38</v>
      </c>
      <c r="B1598" s="18" t="s">
        <v>44</v>
      </c>
      <c r="C1598" s="18">
        <v>2575504000</v>
      </c>
      <c r="D1598" s="18">
        <v>2016</v>
      </c>
    </row>
    <row r="1599" spans="1:4" ht="19.95" customHeight="1" x14ac:dyDescent="0.25">
      <c r="A1599" s="17" t="s">
        <v>39</v>
      </c>
      <c r="B1599" s="18" t="s">
        <v>44</v>
      </c>
      <c r="C1599" s="18">
        <v>760362000</v>
      </c>
      <c r="D1599" s="18">
        <v>2016</v>
      </c>
    </row>
    <row r="1600" spans="1:4" ht="19.95" customHeight="1" x14ac:dyDescent="0.25">
      <c r="A1600" s="17" t="s">
        <v>40</v>
      </c>
      <c r="B1600" s="18" t="s">
        <v>44</v>
      </c>
      <c r="C1600" s="18">
        <v>885055000</v>
      </c>
      <c r="D1600" s="18">
        <v>2016</v>
      </c>
    </row>
    <row r="1601" spans="1:4" ht="19.95" customHeight="1" x14ac:dyDescent="0.25">
      <c r="A1601" s="17" t="s">
        <v>10</v>
      </c>
      <c r="B1601" s="18" t="s">
        <v>44</v>
      </c>
      <c r="C1601" s="18"/>
      <c r="D1601" s="18">
        <v>2017</v>
      </c>
    </row>
    <row r="1602" spans="1:4" ht="19.95" customHeight="1" x14ac:dyDescent="0.25">
      <c r="A1602" s="17" t="s">
        <v>13</v>
      </c>
      <c r="B1602" s="18" t="s">
        <v>44</v>
      </c>
      <c r="C1602" s="18"/>
      <c r="D1602" s="18">
        <v>2017</v>
      </c>
    </row>
    <row r="1603" spans="1:4" ht="19.95" customHeight="1" x14ac:dyDescent="0.25">
      <c r="A1603" s="17" t="s">
        <v>16</v>
      </c>
      <c r="B1603" s="18" t="s">
        <v>44</v>
      </c>
      <c r="C1603" s="18"/>
      <c r="D1603" s="18">
        <v>2017</v>
      </c>
    </row>
    <row r="1604" spans="1:4" ht="19.95" customHeight="1" x14ac:dyDescent="0.25">
      <c r="A1604" s="17" t="s">
        <v>15</v>
      </c>
      <c r="B1604" s="18" t="s">
        <v>44</v>
      </c>
      <c r="C1604" s="18"/>
      <c r="D1604" s="18">
        <v>2017</v>
      </c>
    </row>
    <row r="1605" spans="1:4" ht="19.95" customHeight="1" x14ac:dyDescent="0.25">
      <c r="A1605" s="17" t="s">
        <v>17</v>
      </c>
      <c r="B1605" s="18" t="s">
        <v>44</v>
      </c>
      <c r="C1605" s="18"/>
      <c r="D1605" s="18">
        <v>2017</v>
      </c>
    </row>
    <row r="1606" spans="1:4" ht="19.95" customHeight="1" x14ac:dyDescent="0.25">
      <c r="A1606" s="17" t="s">
        <v>18</v>
      </c>
      <c r="B1606" s="18" t="s">
        <v>44</v>
      </c>
      <c r="C1606" s="18"/>
      <c r="D1606" s="18">
        <v>2017</v>
      </c>
    </row>
    <row r="1607" spans="1:4" ht="19.95" customHeight="1" x14ac:dyDescent="0.25">
      <c r="A1607" s="17" t="s">
        <v>19</v>
      </c>
      <c r="B1607" s="18" t="s">
        <v>44</v>
      </c>
      <c r="C1607" s="18"/>
      <c r="D1607" s="18">
        <v>2017</v>
      </c>
    </row>
    <row r="1608" spans="1:4" ht="19.95" customHeight="1" x14ac:dyDescent="0.25">
      <c r="A1608" s="17" t="s">
        <v>20</v>
      </c>
      <c r="B1608" s="18" t="s">
        <v>44</v>
      </c>
      <c r="C1608" s="18"/>
      <c r="D1608" s="18">
        <v>2017</v>
      </c>
    </row>
    <row r="1609" spans="1:4" ht="19.95" customHeight="1" x14ac:dyDescent="0.25">
      <c r="A1609" s="17" t="s">
        <v>21</v>
      </c>
      <c r="B1609" s="18" t="s">
        <v>44</v>
      </c>
      <c r="C1609" s="18"/>
      <c r="D1609" s="18">
        <v>2017</v>
      </c>
    </row>
    <row r="1610" spans="1:4" ht="19.95" customHeight="1" x14ac:dyDescent="0.25">
      <c r="A1610" s="17" t="s">
        <v>22</v>
      </c>
      <c r="B1610" s="18" t="s">
        <v>44</v>
      </c>
      <c r="C1610" s="18"/>
      <c r="D1610" s="18">
        <v>2017</v>
      </c>
    </row>
    <row r="1611" spans="1:4" ht="19.95" customHeight="1" x14ac:dyDescent="0.25">
      <c r="A1611" s="17" t="s">
        <v>23</v>
      </c>
      <c r="B1611" s="18" t="s">
        <v>44</v>
      </c>
      <c r="C1611" s="18"/>
      <c r="D1611" s="18">
        <v>2017</v>
      </c>
    </row>
    <row r="1612" spans="1:4" ht="19.95" customHeight="1" x14ac:dyDescent="0.25">
      <c r="A1612" s="17" t="s">
        <v>24</v>
      </c>
      <c r="B1612" s="18" t="s">
        <v>44</v>
      </c>
      <c r="C1612" s="18"/>
      <c r="D1612" s="18">
        <v>2017</v>
      </c>
    </row>
    <row r="1613" spans="1:4" ht="19.95" customHeight="1" x14ac:dyDescent="0.25">
      <c r="A1613" s="17" t="s">
        <v>25</v>
      </c>
      <c r="B1613" s="18" t="s">
        <v>44</v>
      </c>
      <c r="C1613" s="18"/>
      <c r="D1613" s="18">
        <v>2017</v>
      </c>
    </row>
    <row r="1614" spans="1:4" ht="19.95" customHeight="1" x14ac:dyDescent="0.25">
      <c r="A1614" s="17" t="s">
        <v>26</v>
      </c>
      <c r="B1614" s="18" t="s">
        <v>44</v>
      </c>
      <c r="C1614" s="18"/>
      <c r="D1614" s="18">
        <v>2017</v>
      </c>
    </row>
    <row r="1615" spans="1:4" ht="19.95" customHeight="1" x14ac:dyDescent="0.25">
      <c r="A1615" s="17" t="s">
        <v>27</v>
      </c>
      <c r="B1615" s="18" t="s">
        <v>44</v>
      </c>
      <c r="C1615" s="18"/>
      <c r="D1615" s="18">
        <v>2017</v>
      </c>
    </row>
    <row r="1616" spans="1:4" ht="19.95" customHeight="1" x14ac:dyDescent="0.25">
      <c r="A1616" s="17" t="s">
        <v>28</v>
      </c>
      <c r="B1616" s="18" t="s">
        <v>44</v>
      </c>
      <c r="C1616" s="18"/>
      <c r="D1616" s="18">
        <v>2017</v>
      </c>
    </row>
    <row r="1617" spans="1:4" ht="19.95" customHeight="1" x14ac:dyDescent="0.25">
      <c r="A1617" s="17" t="s">
        <v>29</v>
      </c>
      <c r="B1617" s="18" t="s">
        <v>44</v>
      </c>
      <c r="C1617" s="18"/>
      <c r="D1617" s="18">
        <v>2017</v>
      </c>
    </row>
    <row r="1618" spans="1:4" ht="19.95" customHeight="1" x14ac:dyDescent="0.25">
      <c r="A1618" s="17" t="s">
        <v>31</v>
      </c>
      <c r="B1618" s="18" t="s">
        <v>44</v>
      </c>
      <c r="C1618" s="18"/>
      <c r="D1618" s="18">
        <v>2017</v>
      </c>
    </row>
    <row r="1619" spans="1:4" ht="19.95" customHeight="1" x14ac:dyDescent="0.25">
      <c r="A1619" s="17" t="s">
        <v>32</v>
      </c>
      <c r="B1619" s="18" t="s">
        <v>44</v>
      </c>
      <c r="C1619" s="18"/>
      <c r="D1619" s="18">
        <v>2017</v>
      </c>
    </row>
    <row r="1620" spans="1:4" ht="19.95" customHeight="1" x14ac:dyDescent="0.25">
      <c r="A1620" s="17" t="s">
        <v>33</v>
      </c>
      <c r="B1620" s="18" t="s">
        <v>44</v>
      </c>
      <c r="C1620" s="18"/>
      <c r="D1620" s="18">
        <v>2017</v>
      </c>
    </row>
    <row r="1621" spans="1:4" ht="19.95" customHeight="1" x14ac:dyDescent="0.25">
      <c r="A1621" s="17" t="s">
        <v>34</v>
      </c>
      <c r="B1621" s="18" t="s">
        <v>43</v>
      </c>
      <c r="C1621" s="18"/>
      <c r="D1621" s="18">
        <v>2017</v>
      </c>
    </row>
    <row r="1622" spans="1:4" ht="19.95" customHeight="1" x14ac:dyDescent="0.25">
      <c r="A1622" s="17" t="s">
        <v>35</v>
      </c>
      <c r="B1622" s="18" t="s">
        <v>44</v>
      </c>
      <c r="C1622" s="18"/>
      <c r="D1622" s="18">
        <v>2017</v>
      </c>
    </row>
    <row r="1623" spans="1:4" ht="19.95" customHeight="1" x14ac:dyDescent="0.25">
      <c r="A1623" s="17" t="s">
        <v>2</v>
      </c>
      <c r="B1623" s="18" t="s">
        <v>44</v>
      </c>
      <c r="C1623" s="18"/>
      <c r="D1623" s="18">
        <v>2017</v>
      </c>
    </row>
    <row r="1624" spans="1:4" ht="19.95" customHeight="1" x14ac:dyDescent="0.25">
      <c r="A1624" s="17" t="s">
        <v>36</v>
      </c>
      <c r="B1624" s="18" t="s">
        <v>44</v>
      </c>
      <c r="C1624" s="18"/>
      <c r="D1624" s="18">
        <v>2017</v>
      </c>
    </row>
    <row r="1625" spans="1:4" ht="19.95" customHeight="1" x14ac:dyDescent="0.25">
      <c r="A1625" s="17" t="s">
        <v>37</v>
      </c>
      <c r="B1625" s="18" t="s">
        <v>44</v>
      </c>
      <c r="C1625" s="18"/>
      <c r="D1625" s="18">
        <v>2017</v>
      </c>
    </row>
    <row r="1626" spans="1:4" ht="19.95" customHeight="1" x14ac:dyDescent="0.25">
      <c r="A1626" s="17" t="s">
        <v>38</v>
      </c>
      <c r="B1626" s="18" t="s">
        <v>44</v>
      </c>
      <c r="C1626" s="18"/>
      <c r="D1626" s="18">
        <v>2017</v>
      </c>
    </row>
    <row r="1627" spans="1:4" ht="19.95" customHeight="1" x14ac:dyDescent="0.25">
      <c r="A1627" s="17" t="s">
        <v>39</v>
      </c>
      <c r="B1627" s="18" t="s">
        <v>44</v>
      </c>
      <c r="C1627" s="18"/>
      <c r="D1627" s="18">
        <v>2017</v>
      </c>
    </row>
    <row r="1628" spans="1:4" ht="19.95" customHeight="1" x14ac:dyDescent="0.25">
      <c r="A1628" s="17" t="s">
        <v>40</v>
      </c>
      <c r="B1628" s="18" t="s">
        <v>44</v>
      </c>
      <c r="C1628" s="18"/>
      <c r="D1628" s="18">
        <v>2017</v>
      </c>
    </row>
  </sheetData>
  <mergeCells count="2">
    <mergeCell ref="G2:K2"/>
    <mergeCell ref="J4:K4"/>
  </mergeCells>
  <phoneticPr fontId="14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0</xdr:colOff>
                    <xdr:row>6</xdr:row>
                    <xdr:rowOff>22860</xdr:rowOff>
                  </from>
                  <to>
                    <xdr:col>5</xdr:col>
                    <xdr:colOff>1013460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fficher">
                <anchor moveWithCells="1" sizeWithCells="1">
                  <from>
                    <xdr:col>5</xdr:col>
                    <xdr:colOff>7620</xdr:colOff>
                    <xdr:row>3</xdr:row>
                    <xdr:rowOff>236220</xdr:rowOff>
                  </from>
                  <to>
                    <xdr:col>5</xdr:col>
                    <xdr:colOff>1013460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omite 1">
              <controlPr defaultSize="0" print="0" autoFill="0" autoPict="0" macro="[0]!SelectSheet">
                <anchor moveWithCells="1" sizeWithCells="1">
                  <from>
                    <xdr:col>4</xdr:col>
                    <xdr:colOff>800100</xdr:colOff>
                    <xdr:row>8</xdr:row>
                    <xdr:rowOff>45720</xdr:rowOff>
                  </from>
                  <to>
                    <xdr:col>5</xdr:col>
                    <xdr:colOff>998220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T105"/>
  <sheetViews>
    <sheetView topLeftCell="A73" workbookViewId="0">
      <selection activeCell="C33" sqref="C33:C90"/>
    </sheetView>
  </sheetViews>
  <sheetFormatPr defaultColWidth="8" defaultRowHeight="13.8" x14ac:dyDescent="0.25"/>
  <cols>
    <col min="1" max="1" width="11.69921875" style="1" customWidth="1"/>
    <col min="2" max="2" width="8" style="1" bestFit="1" customWidth="1"/>
    <col min="3" max="3" width="8" style="1" customWidth="1"/>
    <col min="4" max="49" width="8" style="1"/>
    <col min="50" max="50" width="11.09765625" style="1" customWidth="1"/>
    <col min="51" max="16384" width="8" style="1"/>
  </cols>
  <sheetData>
    <row r="1" spans="1:72" x14ac:dyDescent="0.25">
      <c r="A1" s="24" t="s">
        <v>7</v>
      </c>
      <c r="B1" s="25">
        <v>1960</v>
      </c>
      <c r="C1" s="25">
        <v>1961</v>
      </c>
      <c r="D1" s="25">
        <v>1962</v>
      </c>
      <c r="E1" s="25">
        <v>1963</v>
      </c>
      <c r="F1" s="25">
        <v>1964</v>
      </c>
      <c r="G1" s="25">
        <v>1965</v>
      </c>
      <c r="H1" s="25">
        <v>1966</v>
      </c>
      <c r="I1" s="25">
        <v>1967</v>
      </c>
      <c r="J1" s="25">
        <v>1968</v>
      </c>
      <c r="K1" s="25">
        <v>1969</v>
      </c>
      <c r="L1" s="25">
        <v>1970</v>
      </c>
      <c r="M1" s="25">
        <v>1971</v>
      </c>
      <c r="N1" s="25">
        <v>1972</v>
      </c>
      <c r="O1" s="25">
        <v>1973</v>
      </c>
      <c r="P1" s="25">
        <v>1974</v>
      </c>
      <c r="Q1" s="25">
        <v>1975</v>
      </c>
      <c r="R1" s="25">
        <v>1976</v>
      </c>
      <c r="S1" s="25">
        <v>1977</v>
      </c>
      <c r="T1" s="25">
        <v>1978</v>
      </c>
      <c r="U1" s="25">
        <v>1979</v>
      </c>
      <c r="V1" s="25">
        <v>1980</v>
      </c>
      <c r="W1" s="25">
        <v>1981</v>
      </c>
      <c r="X1" s="25">
        <v>1982</v>
      </c>
      <c r="Y1" s="25">
        <v>1983</v>
      </c>
      <c r="Z1" s="25">
        <v>1984</v>
      </c>
      <c r="AA1" s="25">
        <v>1985</v>
      </c>
      <c r="AB1" s="25">
        <v>1986</v>
      </c>
      <c r="AC1" s="25">
        <v>1987</v>
      </c>
      <c r="AD1" s="25">
        <v>1988</v>
      </c>
      <c r="AE1" s="25">
        <v>1989</v>
      </c>
      <c r="AF1" s="25">
        <v>1990</v>
      </c>
      <c r="AG1" s="25">
        <v>1991</v>
      </c>
      <c r="AH1" s="25">
        <v>1992</v>
      </c>
      <c r="AI1" s="25">
        <v>1993</v>
      </c>
      <c r="AJ1" s="25">
        <v>1994</v>
      </c>
      <c r="AK1" s="25">
        <v>1995</v>
      </c>
      <c r="AL1" s="25">
        <v>1996</v>
      </c>
      <c r="AM1" s="25">
        <v>1997</v>
      </c>
      <c r="AN1" s="25">
        <v>1998</v>
      </c>
      <c r="AO1" s="25">
        <v>1999</v>
      </c>
      <c r="AP1" s="25">
        <v>2000</v>
      </c>
      <c r="AQ1" s="25">
        <v>2001</v>
      </c>
      <c r="AR1" s="25">
        <v>2002</v>
      </c>
      <c r="AS1" s="25">
        <v>2003</v>
      </c>
      <c r="AT1" s="25">
        <v>2004</v>
      </c>
      <c r="AU1" s="25">
        <v>2005</v>
      </c>
      <c r="AV1" s="25">
        <v>2006</v>
      </c>
      <c r="AW1" s="25">
        <v>2007</v>
      </c>
      <c r="AX1" s="25">
        <v>2008</v>
      </c>
      <c r="AY1" s="25">
        <v>2009</v>
      </c>
      <c r="AZ1" s="25">
        <v>2010</v>
      </c>
      <c r="BA1" s="25">
        <v>2011</v>
      </c>
      <c r="BB1" s="25">
        <v>2012</v>
      </c>
      <c r="BC1" s="25">
        <v>2013</v>
      </c>
      <c r="BD1" s="25">
        <v>2014</v>
      </c>
      <c r="BE1" s="25">
        <v>2015</v>
      </c>
      <c r="BF1" s="25">
        <v>2016</v>
      </c>
      <c r="BG1" s="25">
        <v>2017</v>
      </c>
      <c r="BH1" s="25">
        <v>2018</v>
      </c>
      <c r="BI1" s="25">
        <v>2019</v>
      </c>
      <c r="BJ1" s="25">
        <v>2020</v>
      </c>
      <c r="BK1" s="25">
        <v>2021</v>
      </c>
      <c r="BL1" s="25">
        <v>2022</v>
      </c>
      <c r="BM1" s="25">
        <v>2023</v>
      </c>
      <c r="BN1" s="25">
        <v>2024</v>
      </c>
      <c r="BO1" s="25">
        <v>2025</v>
      </c>
      <c r="BP1" s="25">
        <v>2026</v>
      </c>
      <c r="BQ1" s="25">
        <v>2027</v>
      </c>
      <c r="BR1" s="25">
        <v>2028</v>
      </c>
      <c r="BS1" s="25">
        <v>2029</v>
      </c>
      <c r="BT1" s="25">
        <v>2030</v>
      </c>
    </row>
    <row r="2" spans="1:72" x14ac:dyDescent="0.25">
      <c r="A2" s="26" t="s">
        <v>10</v>
      </c>
      <c r="B2" s="1">
        <v>12.4999996173469</v>
      </c>
      <c r="C2" s="1">
        <v>12.9310349923561</v>
      </c>
      <c r="D2" s="1">
        <v>13.114753729796099</v>
      </c>
      <c r="E2" s="1">
        <v>7.5187970570895502</v>
      </c>
      <c r="F2" s="1">
        <v>14.093959299130701</v>
      </c>
      <c r="G2" s="1">
        <v>10.3479635040849</v>
      </c>
      <c r="H2" s="1">
        <v>10.776159818739499</v>
      </c>
      <c r="I2" s="1">
        <v>10.8005897057881</v>
      </c>
      <c r="J2" s="1">
        <v>10.2956955708047</v>
      </c>
      <c r="K2" s="1">
        <v>9.6587153758336797</v>
      </c>
      <c r="L2" s="1">
        <v>10.688776831409999</v>
      </c>
      <c r="M2" s="1">
        <v>8.4357498971690994</v>
      </c>
      <c r="N2" s="1">
        <v>11.7344434462895</v>
      </c>
      <c r="O2" s="1">
        <v>11.016173203969601</v>
      </c>
      <c r="P2" s="1">
        <v>9.7533974512219803</v>
      </c>
      <c r="Q2" s="1">
        <v>8.2756457241793306</v>
      </c>
      <c r="R2" s="1">
        <v>13.7264838813102</v>
      </c>
      <c r="S2" s="1">
        <v>17.595610229269699</v>
      </c>
      <c r="T2" s="1">
        <v>11.7076927839069</v>
      </c>
      <c r="U2" s="1">
        <v>14.1626446403038</v>
      </c>
      <c r="V2" s="1">
        <v>8.8093805647571592</v>
      </c>
      <c r="W2" s="1">
        <v>9.1433505094353897</v>
      </c>
      <c r="X2" s="1">
        <v>10.211974997258499</v>
      </c>
      <c r="Y2" s="1">
        <v>9.04558008305351</v>
      </c>
      <c r="Z2" s="1">
        <v>11.5040069052475</v>
      </c>
      <c r="AA2" s="1">
        <v>11.026619161184801</v>
      </c>
      <c r="AB2" s="1">
        <v>11.7232284021254</v>
      </c>
      <c r="AC2" s="1">
        <v>9.7449029355383292</v>
      </c>
      <c r="AD2" s="1">
        <v>12.590770050801501</v>
      </c>
      <c r="AE2" s="1">
        <v>9.7457439898609906</v>
      </c>
      <c r="AF2" s="1">
        <v>7.8729922941231099</v>
      </c>
      <c r="AG2" s="1">
        <v>9.9173777005917891</v>
      </c>
      <c r="AH2" s="1">
        <v>8.7491805224806694</v>
      </c>
      <c r="AI2" s="1">
        <v>9.3819608463691502</v>
      </c>
      <c r="AJ2" s="1">
        <v>10.2717650485534</v>
      </c>
      <c r="AK2" s="1">
        <v>12.9263428540091</v>
      </c>
      <c r="AL2" s="1">
        <v>5.8203210186241003</v>
      </c>
      <c r="AM2" s="1">
        <v>9.8354725787631292</v>
      </c>
      <c r="AN2" s="1">
        <v>7.9997501249375302</v>
      </c>
      <c r="AO2" s="1">
        <v>7.5757575757575797</v>
      </c>
      <c r="AP2" s="1">
        <v>6.3189705942565997</v>
      </c>
      <c r="AQ2" s="1">
        <v>5.1792021647032804</v>
      </c>
      <c r="AR2" s="1">
        <v>4.6858041811825597</v>
      </c>
      <c r="AS2" s="1">
        <v>6.3814140254802796</v>
      </c>
      <c r="AT2" s="1">
        <v>6.9527482869070898</v>
      </c>
      <c r="AU2" s="1">
        <v>8.2024991724594507</v>
      </c>
      <c r="AV2" s="1">
        <v>7.2820493242727302</v>
      </c>
      <c r="AW2" s="1">
        <v>7.2584690886783401</v>
      </c>
      <c r="AX2" s="1">
        <v>9.4917578104558107</v>
      </c>
      <c r="AY2" s="1">
        <v>6.8023584237864601</v>
      </c>
      <c r="AZ2" s="1">
        <v>8.9166426143287794</v>
      </c>
      <c r="BA2" s="1">
        <v>9.3537104674061204</v>
      </c>
      <c r="BB2" s="1">
        <v>8.9501289217801592</v>
      </c>
      <c r="BC2" s="1">
        <v>7.3958211319558096</v>
      </c>
      <c r="BD2" s="1">
        <v>7.7681825197047303</v>
      </c>
      <c r="BE2" s="1">
        <v>6.2526184101750202</v>
      </c>
      <c r="BF2" s="1">
        <v>6.2409509050453504</v>
      </c>
    </row>
    <row r="3" spans="1:72" x14ac:dyDescent="0.25">
      <c r="A3" s="26" t="s">
        <v>13</v>
      </c>
      <c r="G3" s="1">
        <v>23.759392439595398</v>
      </c>
      <c r="H3" s="1">
        <v>20.994734857892201</v>
      </c>
      <c r="I3" s="1">
        <v>20.625272657141402</v>
      </c>
      <c r="J3" s="1">
        <v>22.123551689286099</v>
      </c>
      <c r="K3" s="1">
        <v>23.383428616446398</v>
      </c>
      <c r="L3" s="1">
        <v>26.209931675918298</v>
      </c>
      <c r="M3" s="1">
        <v>23.018157775206099</v>
      </c>
      <c r="N3" s="1">
        <v>20.391869575477902</v>
      </c>
      <c r="O3" s="1">
        <v>20.6937259205293</v>
      </c>
      <c r="P3" s="1">
        <v>25.438089807625499</v>
      </c>
      <c r="Q3" s="1">
        <v>22.684959133732701</v>
      </c>
      <c r="R3" s="1">
        <v>22.642596864459701</v>
      </c>
      <c r="S3" s="1">
        <v>25.0599528630765</v>
      </c>
      <c r="T3" s="1">
        <v>23.6551978051174</v>
      </c>
      <c r="U3" s="1">
        <v>21.078546799413701</v>
      </c>
      <c r="V3" s="1">
        <v>27.884748187111398</v>
      </c>
      <c r="W3" s="1">
        <v>21.867053341210401</v>
      </c>
      <c r="X3" s="1">
        <v>33.214337860807603</v>
      </c>
      <c r="Y3" s="1">
        <v>30.397603276165999</v>
      </c>
      <c r="Z3" s="1">
        <v>33.4785941985375</v>
      </c>
      <c r="AA3" s="1">
        <v>33.448771058462199</v>
      </c>
      <c r="AB3" s="1">
        <v>23.281370600862001</v>
      </c>
      <c r="AC3" s="1">
        <v>16.6942564322114</v>
      </c>
      <c r="AD3" s="1">
        <v>16.0329748693173</v>
      </c>
      <c r="AE3" s="1">
        <v>20.7070366380926</v>
      </c>
      <c r="AF3" s="1">
        <v>20.1829143997955</v>
      </c>
      <c r="AG3" s="1">
        <v>19.998880461067198</v>
      </c>
      <c r="AH3" s="1">
        <v>20.547022248546298</v>
      </c>
      <c r="AI3" s="1">
        <v>13.9179431059235</v>
      </c>
      <c r="AJ3" s="1">
        <v>21.0893997914837</v>
      </c>
      <c r="AK3" s="1">
        <v>20.637097025107199</v>
      </c>
      <c r="AL3" s="1">
        <v>23.260419735717701</v>
      </c>
      <c r="AM3" s="1">
        <v>24.880033598240299</v>
      </c>
      <c r="AN3" s="1">
        <v>22.548400370649301</v>
      </c>
      <c r="AO3" s="1">
        <v>20.048327158466499</v>
      </c>
      <c r="AP3" s="1">
        <v>25.908209413460298</v>
      </c>
      <c r="AQ3" s="1">
        <v>25.839395884895801</v>
      </c>
      <c r="AR3" s="1">
        <v>24.296900395925</v>
      </c>
      <c r="AS3" s="1">
        <v>20.927784390508201</v>
      </c>
      <c r="AT3" s="1">
        <v>22.709458644005899</v>
      </c>
      <c r="AU3" s="1">
        <v>24.597979150827499</v>
      </c>
      <c r="AV3" s="1">
        <v>25.638614832303102</v>
      </c>
      <c r="AW3" s="1">
        <v>28.885404502632699</v>
      </c>
      <c r="AX3" s="1">
        <v>29.057696145247402</v>
      </c>
      <c r="AY3" s="1">
        <v>21.4032647777329</v>
      </c>
      <c r="AZ3" s="1">
        <v>22.172144086635399</v>
      </c>
      <c r="BA3" s="1">
        <v>25.9320736431239</v>
      </c>
      <c r="BB3" s="1">
        <v>26.1182006061942</v>
      </c>
      <c r="BC3" s="1">
        <v>25.567764284212501</v>
      </c>
      <c r="BD3" s="1">
        <v>24.938074189187802</v>
      </c>
      <c r="BE3" s="1">
        <v>22.259666218622101</v>
      </c>
      <c r="BF3" s="1">
        <v>18.583480764197901</v>
      </c>
      <c r="BG3" s="1">
        <v>16.9598714609821</v>
      </c>
    </row>
    <row r="4" spans="1:72" x14ac:dyDescent="0.25">
      <c r="A4" s="26" t="s">
        <v>16</v>
      </c>
      <c r="B4" s="1">
        <v>13.3896456825921</v>
      </c>
      <c r="C4" s="1">
        <v>13.9110330044899</v>
      </c>
      <c r="D4" s="1">
        <v>14.030383007458999</v>
      </c>
      <c r="E4" s="1">
        <v>12.9482750255812</v>
      </c>
      <c r="F4" s="1">
        <v>13.7276219911725</v>
      </c>
      <c r="G4" s="1">
        <v>13.500255004902799</v>
      </c>
      <c r="H4" s="1">
        <v>13.912615534923599</v>
      </c>
      <c r="I4" s="1">
        <v>14.3618954557805</v>
      </c>
      <c r="J4" s="1">
        <v>14.941012395936401</v>
      </c>
      <c r="K4" s="1">
        <v>13.2067876155599</v>
      </c>
      <c r="L4" s="1">
        <v>16.259836962238602</v>
      </c>
      <c r="M4" s="1">
        <v>15.912384843112701</v>
      </c>
      <c r="N4" s="1">
        <v>14.565098290729001</v>
      </c>
      <c r="O4" s="1">
        <v>15.7287774480533</v>
      </c>
      <c r="P4" s="1">
        <v>18.391080709713201</v>
      </c>
      <c r="Q4" s="1">
        <v>14.4026671718867</v>
      </c>
      <c r="R4" s="1">
        <v>16.083928186568102</v>
      </c>
      <c r="S4" s="1">
        <v>15.354041503933701</v>
      </c>
      <c r="T4" s="1">
        <v>16.422741221328899</v>
      </c>
      <c r="U4" s="1">
        <v>17.7786010417657</v>
      </c>
      <c r="V4" s="1">
        <v>16.944906743021299</v>
      </c>
      <c r="W4" s="1">
        <v>15.1004602128159</v>
      </c>
      <c r="X4" s="1">
        <v>6.5619714664725297</v>
      </c>
      <c r="Y4" s="1">
        <v>16.418876600336699</v>
      </c>
      <c r="Z4" s="1">
        <v>18.0178072509275</v>
      </c>
      <c r="AA4" s="1">
        <v>11.906635100695301</v>
      </c>
      <c r="AB4" s="1">
        <v>13.394104417129499</v>
      </c>
      <c r="AC4" s="1">
        <v>15.4492482751286</v>
      </c>
      <c r="AD4" s="1">
        <v>15.0191432988044</v>
      </c>
      <c r="AE4" s="1">
        <v>13.781424506434201</v>
      </c>
      <c r="AF4" s="1">
        <v>13.4802082509051</v>
      </c>
      <c r="AG4" s="1">
        <v>11.9516330624513</v>
      </c>
      <c r="AH4" s="1">
        <v>11.090746389273599</v>
      </c>
      <c r="AI4" s="1">
        <v>13.323446113405</v>
      </c>
      <c r="AJ4" s="1">
        <v>16.105602000139999</v>
      </c>
      <c r="AK4" s="1">
        <v>21.9290175473215</v>
      </c>
      <c r="AL4" s="1">
        <v>17.54350924621</v>
      </c>
      <c r="AM4" s="1">
        <v>18.543836083838801</v>
      </c>
      <c r="AN4" s="1">
        <v>18.491626062163299</v>
      </c>
      <c r="AO4" s="1">
        <v>18.318120771037101</v>
      </c>
      <c r="AP4" s="1">
        <v>16.890096431930299</v>
      </c>
      <c r="AQ4" s="1">
        <v>14.6657875448771</v>
      </c>
      <c r="AR4" s="1">
        <v>12.6899405964434</v>
      </c>
      <c r="AS4" s="1">
        <v>24.632966906948099</v>
      </c>
      <c r="AT4" s="1">
        <v>51.008858056715603</v>
      </c>
      <c r="AU4" s="1">
        <v>47.977274188704001</v>
      </c>
      <c r="AV4" s="1">
        <v>47.5844412158485</v>
      </c>
      <c r="AW4" s="1">
        <v>44.503493857755601</v>
      </c>
      <c r="AX4" s="1">
        <v>42.694505409321003</v>
      </c>
      <c r="AY4" s="1">
        <v>35.138352879852498</v>
      </c>
      <c r="AZ4" s="1">
        <v>36.845605903367101</v>
      </c>
      <c r="BA4" s="1">
        <v>38.877256932024103</v>
      </c>
      <c r="BB4" s="1">
        <v>38.468054216236197</v>
      </c>
      <c r="BC4" s="1">
        <v>33.565591667752997</v>
      </c>
      <c r="BD4" s="1">
        <v>34.161362887521697</v>
      </c>
      <c r="BE4" s="1">
        <v>29.8930571008835</v>
      </c>
      <c r="BF4" s="1">
        <v>28.191693734929299</v>
      </c>
      <c r="BG4" s="1">
        <v>33.8539186236018</v>
      </c>
    </row>
    <row r="5" spans="1:72" x14ac:dyDescent="0.25">
      <c r="A5" s="26" t="s">
        <v>15</v>
      </c>
      <c r="V5" s="1">
        <v>8.6993182007384107</v>
      </c>
      <c r="W5" s="1">
        <v>11.758075822086701</v>
      </c>
      <c r="X5" s="1">
        <v>15.686270910296701</v>
      </c>
      <c r="Y5" s="1">
        <v>19.8277482586596</v>
      </c>
      <c r="Z5" s="1">
        <v>9.0189063935135998</v>
      </c>
      <c r="AA5" s="1">
        <v>16.9978189127898</v>
      </c>
      <c r="AB5" s="1">
        <v>16.440377258858401</v>
      </c>
      <c r="AC5" s="1">
        <v>15.2451958635359</v>
      </c>
      <c r="AD5" s="1">
        <v>17.9849835813887</v>
      </c>
      <c r="AE5" s="1">
        <v>14.8824091345951</v>
      </c>
      <c r="AF5" s="1">
        <v>14.252137379910099</v>
      </c>
      <c r="AG5" s="1">
        <v>20.011489300588799</v>
      </c>
      <c r="AH5" s="1">
        <v>18.040534786681398</v>
      </c>
      <c r="AI5" s="1">
        <v>19.9699860649587</v>
      </c>
      <c r="AJ5" s="1">
        <v>20.0734315005624</v>
      </c>
      <c r="AK5" s="1">
        <v>19.763396765424101</v>
      </c>
      <c r="AL5" s="1">
        <v>18.323683734394798</v>
      </c>
      <c r="AM5" s="1">
        <v>18.142946384335399</v>
      </c>
      <c r="AN5" s="1">
        <v>11.354312036347199</v>
      </c>
      <c r="AO5" s="1">
        <v>12.7113696950828</v>
      </c>
      <c r="AP5" s="1">
        <v>22.989115547331</v>
      </c>
      <c r="AQ5" s="1">
        <v>18.3218597886003</v>
      </c>
      <c r="AR5" s="1">
        <v>15.586912699643401</v>
      </c>
      <c r="AS5" s="1">
        <v>18.898967439190699</v>
      </c>
      <c r="AT5" s="1">
        <v>15.469269518661401</v>
      </c>
      <c r="AU5" s="1">
        <v>15.012359697669501</v>
      </c>
      <c r="AV5" s="1">
        <v>14.804946503918</v>
      </c>
      <c r="AW5" s="1">
        <v>15.4578850698813</v>
      </c>
      <c r="AX5" s="1">
        <v>14.170267278325801</v>
      </c>
      <c r="AY5" s="1">
        <v>14.8240198249158</v>
      </c>
      <c r="AZ5" s="1">
        <v>16.481425330870401</v>
      </c>
      <c r="BA5" s="1">
        <v>17.351605802829098</v>
      </c>
      <c r="BB5" s="1">
        <v>15.686103750537599</v>
      </c>
      <c r="BC5" s="1">
        <v>16.320600040377901</v>
      </c>
      <c r="BD5" s="1">
        <v>16.874713510748801</v>
      </c>
      <c r="BE5" s="1">
        <v>17.790416703903901</v>
      </c>
      <c r="BF5" s="1">
        <v>15.942111720609599</v>
      </c>
      <c r="BG5" s="1">
        <v>17.7</v>
      </c>
    </row>
    <row r="6" spans="1:72" x14ac:dyDescent="0.25">
      <c r="A6" s="26" t="s">
        <v>17</v>
      </c>
      <c r="BC6" s="1">
        <v>36.646944141220601</v>
      </c>
      <c r="BD6" s="1">
        <v>34.942186472794802</v>
      </c>
      <c r="BE6" s="1">
        <v>38.676265148838901</v>
      </c>
      <c r="BF6" s="1">
        <v>33.713735791057502</v>
      </c>
      <c r="BG6" s="1">
        <v>34.2265940504398</v>
      </c>
    </row>
    <row r="7" spans="1:72" x14ac:dyDescent="0.25">
      <c r="A7" s="26" t="s">
        <v>18</v>
      </c>
      <c r="BA7" s="1">
        <v>16.686853199733701</v>
      </c>
      <c r="BB7" s="1">
        <v>13.7672981990263</v>
      </c>
      <c r="BC7" s="1">
        <v>12.484073558977</v>
      </c>
      <c r="BD7" s="1">
        <v>11.6416199095703</v>
      </c>
      <c r="BE7" s="1">
        <v>9.3633135973592605</v>
      </c>
      <c r="BF7" s="1">
        <v>7.9480197264995196</v>
      </c>
      <c r="BG7" s="1">
        <v>7.7383298203974604</v>
      </c>
    </row>
    <row r="8" spans="1:72" x14ac:dyDescent="0.25">
      <c r="A8" s="26" t="s">
        <v>19</v>
      </c>
      <c r="AB8" s="1">
        <v>31.091899879753498</v>
      </c>
      <c r="AC8" s="1">
        <v>31.631352984221401</v>
      </c>
      <c r="AD8" s="1">
        <v>26.872585491998901</v>
      </c>
      <c r="AE8" s="1">
        <v>31.0936007644729</v>
      </c>
      <c r="AF8" s="1">
        <v>31.075235796648698</v>
      </c>
      <c r="AG8" s="1">
        <v>30.3308789199472</v>
      </c>
      <c r="AH8" s="1">
        <v>24.874613539125399</v>
      </c>
      <c r="AI8" s="1">
        <v>26.518473919975001</v>
      </c>
      <c r="AJ8" s="1">
        <v>22.7523273546939</v>
      </c>
      <c r="AK8" s="1">
        <v>21.118807761501898</v>
      </c>
      <c r="AL8" s="1">
        <v>19.195101138151699</v>
      </c>
      <c r="AM8" s="1">
        <v>19.5610874799331</v>
      </c>
      <c r="AN8" s="1">
        <v>21.2867043609338</v>
      </c>
      <c r="AO8" s="1">
        <v>21.639518262082198</v>
      </c>
      <c r="AP8" s="1">
        <v>24.5238730443766</v>
      </c>
      <c r="AQ8" s="1">
        <v>28.5786627531762</v>
      </c>
      <c r="AR8" s="1">
        <v>26.4778105826218</v>
      </c>
      <c r="AS8" s="1">
        <v>25.956743348511498</v>
      </c>
      <c r="AT8" s="1">
        <v>24.6259751804795</v>
      </c>
      <c r="AU8" s="1">
        <v>34.785653087248001</v>
      </c>
      <c r="AV8" s="1">
        <v>23.8243111628192</v>
      </c>
      <c r="AW8" s="1">
        <v>23.5509581400425</v>
      </c>
      <c r="AX8" s="1">
        <v>21.640464581614399</v>
      </c>
      <c r="AY8" s="1">
        <v>22.515791077574299</v>
      </c>
      <c r="AZ8" s="1">
        <v>30.341203976310499</v>
      </c>
      <c r="BA8" s="1">
        <v>32.602241227285703</v>
      </c>
      <c r="BB8" s="1">
        <v>33.1373915984787</v>
      </c>
      <c r="BC8" s="1">
        <v>26.470620645956199</v>
      </c>
      <c r="BD8" s="1">
        <v>26.297297897089699</v>
      </c>
      <c r="BE8" s="1">
        <v>23.063515379677</v>
      </c>
      <c r="BF8" s="1">
        <v>29.42903111028</v>
      </c>
      <c r="BG8" s="1">
        <v>42.948163001595503</v>
      </c>
    </row>
    <row r="9" spans="1:72" x14ac:dyDescent="0.25">
      <c r="A9" s="26" t="s">
        <v>20</v>
      </c>
      <c r="AG9" s="1">
        <v>10.311445483210701</v>
      </c>
      <c r="AH9" s="1">
        <v>7.5715114031697004</v>
      </c>
      <c r="AI9" s="1">
        <v>10.8453501424747</v>
      </c>
      <c r="AJ9" s="1">
        <v>6.4207265558997504</v>
      </c>
      <c r="AK9" s="1">
        <v>9.1335638608841307</v>
      </c>
      <c r="AL9" s="1">
        <v>11.327630930177699</v>
      </c>
      <c r="AM9" s="1">
        <v>10.454393956227101</v>
      </c>
      <c r="AN9" s="1">
        <v>9.9004714510214793</v>
      </c>
      <c r="AO9" s="1">
        <v>12.249111964651901</v>
      </c>
      <c r="AP9" s="1">
        <v>12.6952822892498</v>
      </c>
      <c r="AQ9" s="1">
        <v>12.361726954492401</v>
      </c>
      <c r="AR9" s="1">
        <v>12.127238694856899</v>
      </c>
      <c r="AS9" s="1">
        <v>15.892048965413601</v>
      </c>
      <c r="AT9" s="1">
        <v>14.4087415501435</v>
      </c>
      <c r="AU9" s="1">
        <v>14.0399321569911</v>
      </c>
      <c r="AV9" s="1">
        <v>14.4888352321724</v>
      </c>
      <c r="AW9" s="1">
        <v>13.421925400935899</v>
      </c>
      <c r="AX9" s="1">
        <v>12.721178019873101</v>
      </c>
      <c r="AY9" s="1">
        <v>15.7100194116769</v>
      </c>
      <c r="AZ9" s="1">
        <v>15.342083970151901</v>
      </c>
      <c r="BA9" s="1">
        <v>17.4499924055816</v>
      </c>
      <c r="BB9" s="1">
        <v>16.9072215228265</v>
      </c>
      <c r="BC9" s="1">
        <v>18.255390009245101</v>
      </c>
      <c r="BD9" s="1">
        <v>18.517241819551401</v>
      </c>
      <c r="BE9" s="1">
        <v>20.007364674113202</v>
      </c>
      <c r="BF9" s="1">
        <v>20.721844010540099</v>
      </c>
      <c r="BG9" s="1">
        <v>18.8380010545178</v>
      </c>
    </row>
    <row r="10" spans="1:72" x14ac:dyDescent="0.25">
      <c r="A10" s="26" t="s">
        <v>21</v>
      </c>
      <c r="B10" s="1">
        <v>31.095746519435</v>
      </c>
      <c r="C10" s="1">
        <v>32.717169681453797</v>
      </c>
      <c r="D10" s="1">
        <v>32.037809261394798</v>
      </c>
      <c r="E10" s="1">
        <v>32.032947656704003</v>
      </c>
      <c r="F10" s="1">
        <v>33.389413153894701</v>
      </c>
      <c r="G10" s="1">
        <v>31.397315206878599</v>
      </c>
      <c r="H10" s="1">
        <v>32.411633516273902</v>
      </c>
      <c r="I10" s="1">
        <v>28.464334393457499</v>
      </c>
      <c r="J10" s="1">
        <v>29.4008110568567</v>
      </c>
      <c r="K10" s="1">
        <v>29.5286550830373</v>
      </c>
      <c r="L10" s="1">
        <v>29.825725561415201</v>
      </c>
      <c r="M10" s="1">
        <v>28.639355102812001</v>
      </c>
      <c r="N10" s="1">
        <v>26.5878288599522</v>
      </c>
      <c r="O10" s="1">
        <v>27.393834680632999</v>
      </c>
      <c r="P10" s="1">
        <v>33.675883850287498</v>
      </c>
      <c r="Q10" s="1">
        <v>29.823685969750201</v>
      </c>
      <c r="R10" s="1">
        <v>32.450471243808501</v>
      </c>
      <c r="S10" s="1">
        <v>34.958868756384803</v>
      </c>
      <c r="T10" s="1">
        <v>28.935518336561401</v>
      </c>
      <c r="U10" s="1">
        <v>25.753154235687902</v>
      </c>
      <c r="V10" s="1">
        <v>29.516964217512001</v>
      </c>
      <c r="W10" s="1">
        <v>30.4598813209494</v>
      </c>
      <c r="X10" s="1">
        <v>26.657465998935201</v>
      </c>
      <c r="Y10" s="1">
        <v>25.949932405436702</v>
      </c>
      <c r="Z10" s="1">
        <v>26.749892652163901</v>
      </c>
      <c r="AA10" s="1">
        <v>25.2989329600959</v>
      </c>
      <c r="AB10" s="1">
        <v>25.848355272679601</v>
      </c>
      <c r="AC10" s="1">
        <v>21.305221347435602</v>
      </c>
      <c r="AD10" s="1">
        <v>22.3712135609168</v>
      </c>
      <c r="AE10" s="1">
        <v>23.0330294282825</v>
      </c>
      <c r="AF10" s="1">
        <v>25.692605964936401</v>
      </c>
      <c r="AG10" s="1">
        <v>27.0416323240194</v>
      </c>
      <c r="AH10" s="1">
        <v>26.260374190635101</v>
      </c>
      <c r="AI10" s="1">
        <v>38.903630169804202</v>
      </c>
      <c r="AJ10" s="1">
        <v>37.0402808384151</v>
      </c>
      <c r="AK10" s="1">
        <v>32.5917012190029</v>
      </c>
      <c r="AL10" s="1">
        <v>25.2006019494243</v>
      </c>
      <c r="AM10" s="1">
        <v>22.686387351634998</v>
      </c>
      <c r="AN10" s="1">
        <v>20.1692608275285</v>
      </c>
      <c r="AO10" s="1">
        <v>20.8327351985075</v>
      </c>
      <c r="AP10" s="1">
        <v>21.587571141762499</v>
      </c>
      <c r="AQ10" s="1">
        <v>22.931576364336699</v>
      </c>
      <c r="AR10" s="1">
        <v>24.897972614700201</v>
      </c>
      <c r="AS10" s="1">
        <v>24.086815305420998</v>
      </c>
      <c r="AT10" s="1">
        <v>26.610258575297301</v>
      </c>
      <c r="AU10" s="1">
        <v>28.5090302142012</v>
      </c>
      <c r="AV10" s="1">
        <v>22.984939644186099</v>
      </c>
      <c r="AW10" s="1">
        <v>21.918991293369899</v>
      </c>
      <c r="AX10" s="1">
        <v>22.674057553226699</v>
      </c>
      <c r="AY10" s="1">
        <v>20.032629252907402</v>
      </c>
      <c r="AZ10" s="1">
        <v>20.656983247274301</v>
      </c>
      <c r="BA10" s="1">
        <v>21.625194710111401</v>
      </c>
      <c r="BB10" s="1">
        <v>22.261822198698301</v>
      </c>
      <c r="BC10" s="1">
        <v>19.9253882154437</v>
      </c>
      <c r="BD10" s="1">
        <v>18.296980919547899</v>
      </c>
      <c r="BE10" s="1">
        <v>16.592443318291</v>
      </c>
      <c r="BF10" s="1">
        <v>13.971218534802899</v>
      </c>
      <c r="BG10" s="1">
        <v>13.931212921092699</v>
      </c>
    </row>
    <row r="11" spans="1:72" x14ac:dyDescent="0.25">
      <c r="A11" s="26" t="s">
        <v>22</v>
      </c>
      <c r="AV11" s="1">
        <v>12.624973082720601</v>
      </c>
      <c r="AW11" s="1">
        <v>15.478648694568699</v>
      </c>
      <c r="AX11" s="1">
        <v>15.661183973146301</v>
      </c>
      <c r="AY11" s="1">
        <v>17.0581875368587</v>
      </c>
      <c r="AZ11" s="1">
        <v>19.845056343147899</v>
      </c>
      <c r="BA11" s="1">
        <v>23.632130384167599</v>
      </c>
      <c r="BB11" s="1">
        <v>23.253147793085699</v>
      </c>
      <c r="BC11" s="1">
        <v>21.896878577997999</v>
      </c>
      <c r="BD11" s="1">
        <v>22.502020655590499</v>
      </c>
      <c r="BE11" s="1">
        <v>21.939416900583801</v>
      </c>
      <c r="BF11" s="1">
        <v>23.288528694735501</v>
      </c>
      <c r="BG11" s="1">
        <v>26.576035409421401</v>
      </c>
    </row>
    <row r="12" spans="1:72" x14ac:dyDescent="0.25">
      <c r="A12" s="26" t="s">
        <v>23</v>
      </c>
      <c r="B12" s="1">
        <v>45.827830144108297</v>
      </c>
      <c r="C12" s="1">
        <v>34.580083068318999</v>
      </c>
      <c r="D12" s="1">
        <v>36.5888363394902</v>
      </c>
      <c r="E12" s="1">
        <v>38.705566010220302</v>
      </c>
      <c r="F12" s="1">
        <v>61.937860247906698</v>
      </c>
      <c r="G12" s="1">
        <v>62.897800234492799</v>
      </c>
      <c r="H12" s="1">
        <v>67.986721726911796</v>
      </c>
      <c r="I12" s="1">
        <v>78.728302307486302</v>
      </c>
      <c r="J12" s="1">
        <v>84.314503937024995</v>
      </c>
      <c r="K12" s="1">
        <v>89.229278692006602</v>
      </c>
      <c r="L12" s="1">
        <v>74.311427711012996</v>
      </c>
      <c r="M12" s="1">
        <v>73.724223970561894</v>
      </c>
      <c r="N12" s="1">
        <v>74.654059516759105</v>
      </c>
      <c r="O12" s="1">
        <v>85.252409564297693</v>
      </c>
      <c r="P12" s="1">
        <v>83.621689889209506</v>
      </c>
      <c r="Q12" s="1">
        <v>69.898794786869303</v>
      </c>
      <c r="R12" s="1">
        <v>78.2837645307158</v>
      </c>
      <c r="S12" s="1">
        <v>68.201020905168505</v>
      </c>
      <c r="T12" s="1">
        <v>69.711633644730597</v>
      </c>
      <c r="U12" s="1">
        <v>68.004155427329806</v>
      </c>
      <c r="V12" s="1">
        <v>71.778594297607995</v>
      </c>
      <c r="W12" s="1">
        <v>69.461302789261097</v>
      </c>
      <c r="X12" s="1">
        <v>62.389094434615998</v>
      </c>
      <c r="Y12" s="1">
        <v>59.1468236401182</v>
      </c>
      <c r="Z12" s="1">
        <v>55.511154498588802</v>
      </c>
      <c r="AA12" s="1">
        <v>54.8575401672814</v>
      </c>
      <c r="AB12" s="1">
        <v>55.174749371079201</v>
      </c>
      <c r="AM12" s="1">
        <v>8.7867522811760708</v>
      </c>
      <c r="AN12" s="1">
        <v>10.789766407119</v>
      </c>
      <c r="AO12" s="1">
        <v>14.5540968764147</v>
      </c>
      <c r="AP12" s="1">
        <v>31.3761306275264</v>
      </c>
      <c r="AQ12" s="1">
        <v>33.973128598848398</v>
      </c>
      <c r="AR12" s="1">
        <v>42.357274401473298</v>
      </c>
      <c r="AS12" s="1">
        <v>36.057692307692299</v>
      </c>
      <c r="AT12" s="1">
        <v>67.621655782599504</v>
      </c>
      <c r="AU12" s="1">
        <v>59.090909090909101</v>
      </c>
      <c r="AV12" s="1">
        <v>82.446386257346305</v>
      </c>
      <c r="AW12" s="1">
        <v>74.963411360231405</v>
      </c>
      <c r="AX12" s="1">
        <v>34.392490710736702</v>
      </c>
      <c r="AY12" s="1">
        <v>15.264380978566001</v>
      </c>
      <c r="AZ12" s="1">
        <v>19.139077514755801</v>
      </c>
      <c r="BA12" s="1">
        <v>21.807434968292998</v>
      </c>
      <c r="BB12" s="1">
        <v>32.912705272255799</v>
      </c>
      <c r="BC12" s="1">
        <v>34.579717441561797</v>
      </c>
      <c r="BD12" s="1">
        <v>28.4320168902136</v>
      </c>
      <c r="BE12" s="1">
        <v>19.469026548672598</v>
      </c>
      <c r="BF12" s="1">
        <v>21.418372203712501</v>
      </c>
    </row>
    <row r="13" spans="1:72" x14ac:dyDescent="0.25">
      <c r="A13" s="26" t="s">
        <v>24</v>
      </c>
      <c r="B13" s="1">
        <v>10.030184184754001</v>
      </c>
      <c r="C13" s="1">
        <v>14.6047493240543</v>
      </c>
      <c r="D13" s="1">
        <v>13.7550293037585</v>
      </c>
      <c r="E13" s="1">
        <v>12.7804480657338</v>
      </c>
      <c r="F13" s="1">
        <v>13.3027974495759</v>
      </c>
      <c r="G13" s="1">
        <v>13.2117044602017</v>
      </c>
      <c r="H13" s="1">
        <v>17.2947153056537</v>
      </c>
      <c r="I13" s="1">
        <v>17.5142528784686</v>
      </c>
      <c r="J13" s="1">
        <v>17.750338775661099</v>
      </c>
      <c r="K13" s="1">
        <v>18.109269659193501</v>
      </c>
      <c r="L13" s="1">
        <v>19.1603376936907</v>
      </c>
      <c r="M13" s="1">
        <v>14.4446683335605</v>
      </c>
      <c r="N13" s="1">
        <v>14.262974393354799</v>
      </c>
      <c r="O13" s="1">
        <v>14.2478557674161</v>
      </c>
      <c r="P13" s="1">
        <v>15.5261612545993</v>
      </c>
      <c r="Q13" s="1">
        <v>15.8595183896258</v>
      </c>
      <c r="R13" s="1">
        <v>15.1637418440442</v>
      </c>
      <c r="S13" s="1">
        <v>16.444991262526202</v>
      </c>
      <c r="T13" s="1">
        <v>17.151038309536101</v>
      </c>
      <c r="U13" s="1">
        <v>14.575381808721801</v>
      </c>
      <c r="V13" s="1">
        <v>13.3427556649841</v>
      </c>
      <c r="W13" s="1">
        <v>11.5052727797532</v>
      </c>
      <c r="X13" s="1">
        <v>11.2246900150919</v>
      </c>
      <c r="Y13" s="1">
        <v>10.570551504478599</v>
      </c>
      <c r="Z13" s="1">
        <v>13.282972366288</v>
      </c>
      <c r="AA13" s="1">
        <v>12.2416548115918</v>
      </c>
      <c r="AB13" s="1">
        <v>12.1485579091572</v>
      </c>
      <c r="AC13" s="1">
        <v>16.564550338242501</v>
      </c>
      <c r="AD13" s="1">
        <v>16.299242540370599</v>
      </c>
      <c r="AE13" s="1">
        <v>18.4488139496654</v>
      </c>
      <c r="AF13" s="1">
        <v>16.602148814521499</v>
      </c>
      <c r="AG13" s="1">
        <v>18.1096252223516</v>
      </c>
      <c r="AH13" s="1">
        <v>16.383778997714401</v>
      </c>
      <c r="AI13" s="1">
        <v>15.317519441438501</v>
      </c>
      <c r="AJ13" s="1">
        <v>22.032269385151899</v>
      </c>
      <c r="AK13" s="1">
        <v>24.134484672260601</v>
      </c>
      <c r="AL13" s="1">
        <v>20.492433526918202</v>
      </c>
      <c r="AM13" s="1">
        <v>21.866142303983398</v>
      </c>
      <c r="AN13" s="1">
        <v>21.520575698302501</v>
      </c>
      <c r="AO13" s="1">
        <v>24.4654181745797</v>
      </c>
      <c r="AP13" s="1">
        <v>30.679320529903102</v>
      </c>
      <c r="AQ13" s="1">
        <v>29.078574446739399</v>
      </c>
      <c r="AR13" s="1">
        <v>16.008379477295801</v>
      </c>
      <c r="AS13" s="1">
        <v>23.0857444087594</v>
      </c>
      <c r="AT13" s="1">
        <v>32.636436784543001</v>
      </c>
      <c r="AU13" s="1">
        <v>28.212391969559199</v>
      </c>
      <c r="AV13" s="1">
        <v>29.728498171923398</v>
      </c>
      <c r="AW13" s="1">
        <v>30.323654742471</v>
      </c>
      <c r="AX13" s="1">
        <v>26.5413389654451</v>
      </c>
      <c r="AY13" s="1">
        <v>22.369390438987502</v>
      </c>
      <c r="AZ13" s="1">
        <v>24.974099901080301</v>
      </c>
      <c r="BA13" s="1">
        <v>26.7428014544383</v>
      </c>
      <c r="BB13" s="1">
        <v>28.557779803661699</v>
      </c>
      <c r="BC13" s="1">
        <v>30.064300988592102</v>
      </c>
      <c r="BD13" s="1">
        <v>32.758229294121797</v>
      </c>
      <c r="BE13" s="1">
        <v>32.064005118253</v>
      </c>
      <c r="BF13" s="1">
        <v>33.496719870636198</v>
      </c>
      <c r="BG13" s="1">
        <v>35.418556458820703</v>
      </c>
    </row>
    <row r="14" spans="1:72" x14ac:dyDescent="0.25">
      <c r="A14" s="26" t="s">
        <v>25</v>
      </c>
      <c r="B14" s="1">
        <v>22.079037800687299</v>
      </c>
      <c r="C14" s="1">
        <v>20.609462710505198</v>
      </c>
      <c r="D14" s="1">
        <v>21.406727828746199</v>
      </c>
      <c r="E14" s="1">
        <v>21.863536316947901</v>
      </c>
      <c r="F14" s="1">
        <v>19.482386772106398</v>
      </c>
      <c r="G14" s="1">
        <v>19.4630872483221</v>
      </c>
      <c r="H14" s="1">
        <v>21.505376344085999</v>
      </c>
      <c r="I14" s="1">
        <v>24.053224155578299</v>
      </c>
      <c r="J14" s="1">
        <v>23.837493881546699</v>
      </c>
      <c r="K14" s="1">
        <v>23.476297968397301</v>
      </c>
      <c r="L14" s="1">
        <v>24.246179264766599</v>
      </c>
      <c r="M14" s="1">
        <v>23.451910408432099</v>
      </c>
      <c r="N14" s="1">
        <v>23.287250384024599</v>
      </c>
      <c r="O14" s="1">
        <v>27.6373626373626</v>
      </c>
      <c r="P14" s="1">
        <v>28.017334777898199</v>
      </c>
      <c r="Q14" s="1">
        <v>29.129696054370399</v>
      </c>
      <c r="R14" s="1">
        <v>30.4411764705882</v>
      </c>
      <c r="S14" s="1">
        <v>30</v>
      </c>
      <c r="T14" s="1">
        <v>23.192206819033299</v>
      </c>
      <c r="U14" s="1">
        <v>23.1925968768074</v>
      </c>
      <c r="V14" s="1">
        <v>24.843299174211499</v>
      </c>
      <c r="W14" s="1">
        <v>25.665553650392599</v>
      </c>
      <c r="X14" s="1">
        <v>22.495183044316001</v>
      </c>
      <c r="Y14" s="1">
        <v>20.751567206093799</v>
      </c>
      <c r="Z14" s="1">
        <v>28.370623659987299</v>
      </c>
      <c r="AA14" s="1">
        <v>24.191475140110001</v>
      </c>
      <c r="AB14" s="1">
        <v>22.910708611375899</v>
      </c>
      <c r="AC14" s="1">
        <v>25.452527649152302</v>
      </c>
      <c r="AD14" s="1">
        <v>23.322204617474</v>
      </c>
      <c r="AE14" s="1">
        <v>18.779910185951199</v>
      </c>
      <c r="AF14" s="1">
        <v>23.782074306798702</v>
      </c>
      <c r="AG14" s="1">
        <v>23.2715838361785</v>
      </c>
      <c r="AH14" s="1">
        <v>23.206224718642599</v>
      </c>
      <c r="AI14" s="1">
        <v>16.130302433024301</v>
      </c>
      <c r="AJ14" s="1">
        <v>29.6328216871614</v>
      </c>
      <c r="AK14" s="1">
        <v>30.3684813752133</v>
      </c>
      <c r="AL14" s="1">
        <v>22.8257528499141</v>
      </c>
      <c r="AM14" s="1">
        <v>21.356509346862001</v>
      </c>
      <c r="AN14" s="1">
        <v>32.770162095219298</v>
      </c>
      <c r="AO14" s="1">
        <v>28.022280537969401</v>
      </c>
      <c r="AP14" s="1">
        <v>25.6036524824415</v>
      </c>
      <c r="AQ14" s="1">
        <v>27.991226367763701</v>
      </c>
      <c r="AR14" s="1">
        <v>15.860637171211099</v>
      </c>
      <c r="AS14" s="1">
        <v>20.170456553498301</v>
      </c>
      <c r="AT14" s="1">
        <v>18.8482493164564</v>
      </c>
      <c r="AU14" s="1">
        <v>18.121155507343499</v>
      </c>
      <c r="AV14" s="1">
        <v>17.633835036062401</v>
      </c>
      <c r="AW14" s="1">
        <v>23.3114453084264</v>
      </c>
      <c r="AX14" s="1">
        <v>22.656758692724399</v>
      </c>
      <c r="AY14" s="1">
        <v>20.028653475018899</v>
      </c>
      <c r="AZ14" s="1">
        <v>22.7870608045788</v>
      </c>
      <c r="BA14" s="1">
        <v>20.777167283281202</v>
      </c>
      <c r="BB14" s="1">
        <v>26.203401493376699</v>
      </c>
      <c r="BC14" s="1">
        <v>35.659773814225701</v>
      </c>
      <c r="BD14" s="1">
        <v>33.701567964221802</v>
      </c>
      <c r="BE14" s="1">
        <v>29.1565198766117</v>
      </c>
      <c r="BF14" s="1">
        <v>32.966918314769501</v>
      </c>
      <c r="BG14" s="1">
        <v>29.162844079049801</v>
      </c>
    </row>
    <row r="15" spans="1:72" x14ac:dyDescent="0.25">
      <c r="A15" s="26" t="s">
        <v>26</v>
      </c>
      <c r="I15" s="1">
        <v>11.361640608219099</v>
      </c>
      <c r="J15" s="1">
        <v>10.222569980724201</v>
      </c>
      <c r="K15" s="1">
        <v>11.2036320725528</v>
      </c>
      <c r="L15" s="1">
        <v>12.469555617669799</v>
      </c>
      <c r="M15" s="1">
        <v>13.4159110067238</v>
      </c>
      <c r="N15" s="1">
        <v>10.029272804745901</v>
      </c>
      <c r="O15" s="1">
        <v>10.187919348142</v>
      </c>
      <c r="P15" s="1">
        <v>12.7237253147348</v>
      </c>
      <c r="Q15" s="1">
        <v>9.6611850135864099</v>
      </c>
      <c r="R15" s="1">
        <v>11.0057080159312</v>
      </c>
      <c r="S15" s="1">
        <v>12.755695068087499</v>
      </c>
      <c r="T15" s="1">
        <v>11.5979848249111</v>
      </c>
      <c r="U15" s="1">
        <v>11.992421178423401</v>
      </c>
      <c r="V15" s="1">
        <v>14.806874349387201</v>
      </c>
      <c r="W15" s="1">
        <v>13.299784945839599</v>
      </c>
      <c r="X15" s="1">
        <v>14.255043144415501</v>
      </c>
      <c r="Y15" s="1">
        <v>15.9260948830904</v>
      </c>
      <c r="Z15" s="1">
        <v>19.064372433231501</v>
      </c>
      <c r="AA15" s="1">
        <v>17.0165380643252</v>
      </c>
      <c r="AB15" s="1">
        <v>14.4912388792245</v>
      </c>
      <c r="AC15" s="1">
        <v>15.561726454991</v>
      </c>
      <c r="AD15" s="1">
        <v>14.5807207561982</v>
      </c>
      <c r="AE15" s="1">
        <v>15.8101938599128</v>
      </c>
      <c r="AF15" s="1">
        <v>15.653591808212401</v>
      </c>
      <c r="AG15" s="1">
        <v>16.2112685675379</v>
      </c>
      <c r="AH15" s="1">
        <v>15.629103351586</v>
      </c>
      <c r="AI15" s="1">
        <v>15.8535047661871</v>
      </c>
      <c r="AJ15" s="1">
        <v>19.4427753535685</v>
      </c>
      <c r="AK15" s="1">
        <v>19.561067659239701</v>
      </c>
      <c r="AL15" s="1">
        <v>18.871477613841002</v>
      </c>
      <c r="AM15" s="1">
        <v>23.8265592935591</v>
      </c>
      <c r="AN15" s="1">
        <v>21.253952516843199</v>
      </c>
      <c r="AO15" s="1">
        <v>20.250988919750601</v>
      </c>
      <c r="AP15" s="1">
        <v>22.478590456810299</v>
      </c>
      <c r="AQ15" s="1">
        <v>26.3124370675839</v>
      </c>
      <c r="AR15" s="1">
        <v>28.087453813660801</v>
      </c>
      <c r="AS15" s="1">
        <v>25.769340392594401</v>
      </c>
      <c r="AT15" s="1">
        <v>23.677184706524098</v>
      </c>
      <c r="AU15" s="1">
        <v>22.988869341890201</v>
      </c>
      <c r="AV15" s="1">
        <v>28.428945099238099</v>
      </c>
      <c r="AW15" s="1">
        <v>24.152111150700499</v>
      </c>
      <c r="AX15" s="1">
        <v>25.2677563340639</v>
      </c>
      <c r="AY15" s="1">
        <v>21.7344772232622</v>
      </c>
      <c r="AZ15" s="1">
        <v>22.8371701772321</v>
      </c>
      <c r="BA15" s="1">
        <v>22.7261779161711</v>
      </c>
      <c r="BB15" s="1">
        <v>26.8925571346712</v>
      </c>
      <c r="BC15" s="1">
        <v>24.926607651465499</v>
      </c>
      <c r="BD15" s="1">
        <v>22.4917117714363</v>
      </c>
      <c r="BE15" s="1">
        <v>24.043227932297</v>
      </c>
      <c r="BF15" s="1">
        <v>22.9137678617757</v>
      </c>
      <c r="BG15" s="1">
        <v>22.079764689271101</v>
      </c>
    </row>
    <row r="16" spans="1:72" x14ac:dyDescent="0.25">
      <c r="A16" s="26" t="s">
        <v>27</v>
      </c>
      <c r="AK16" s="1">
        <v>49.345825413920799</v>
      </c>
      <c r="AL16" s="1">
        <v>55.267130203304497</v>
      </c>
      <c r="AM16" s="1">
        <v>54.787091014363597</v>
      </c>
      <c r="AN16" s="1">
        <v>48.5282925000852</v>
      </c>
      <c r="AO16" s="1">
        <v>52.086418165987801</v>
      </c>
      <c r="AP16" s="1">
        <v>49.777669229888097</v>
      </c>
      <c r="AQ16" s="1">
        <v>49.853548699732897</v>
      </c>
      <c r="AR16" s="1">
        <v>52.740427342644203</v>
      </c>
      <c r="AS16" s="1">
        <v>53.481204079030199</v>
      </c>
      <c r="AT16" s="1">
        <v>50.706798751752103</v>
      </c>
      <c r="AU16" s="1">
        <v>51.144304416867101</v>
      </c>
      <c r="AV16" s="1">
        <v>45.255965747432001</v>
      </c>
      <c r="AW16" s="1">
        <v>47.452462232945898</v>
      </c>
      <c r="AX16" s="1">
        <v>40.819043779042602</v>
      </c>
      <c r="AY16" s="1">
        <v>36.872122518751198</v>
      </c>
      <c r="AZ16" s="1">
        <v>39.225215375223101</v>
      </c>
      <c r="BA16" s="1">
        <v>44.970957223212103</v>
      </c>
      <c r="BB16" s="1">
        <v>43.482916310925397</v>
      </c>
      <c r="BC16" s="1">
        <v>43.343945876032201</v>
      </c>
      <c r="BD16" s="1">
        <v>41.533244087461</v>
      </c>
      <c r="BE16" s="1">
        <v>42.804529915227299</v>
      </c>
      <c r="BF16" s="1">
        <v>43.3302805822876</v>
      </c>
      <c r="BG16" s="1">
        <v>42.537956626698303</v>
      </c>
    </row>
    <row r="17" spans="1:59" x14ac:dyDescent="0.25">
      <c r="A17" s="26" t="s">
        <v>28</v>
      </c>
      <c r="V17" s="1">
        <v>10.861895271580201</v>
      </c>
      <c r="W17" s="1">
        <v>9.9495753630477708</v>
      </c>
      <c r="X17" s="1">
        <v>8.3136748837887193</v>
      </c>
      <c r="Y17" s="1">
        <v>6.1170828065132303</v>
      </c>
      <c r="Z17" s="1">
        <v>4.1456601026757296</v>
      </c>
      <c r="AA17" s="1">
        <v>2.85959765123402</v>
      </c>
      <c r="AB17" s="1">
        <v>2.5246878812151299</v>
      </c>
      <c r="AC17" s="1">
        <v>6.6411833032582104</v>
      </c>
      <c r="AD17" s="1">
        <v>8.0709180299478902</v>
      </c>
      <c r="AE17" s="1">
        <v>8.2234681776385106</v>
      </c>
      <c r="AF17" s="1">
        <v>8.1740709157334202</v>
      </c>
      <c r="AG17" s="1">
        <v>9.1737558087143203</v>
      </c>
      <c r="AH17" s="1">
        <v>10.608722755186101</v>
      </c>
      <c r="AI17" s="1">
        <v>9.3929125506249296</v>
      </c>
      <c r="AJ17" s="1">
        <v>11.9987149882928</v>
      </c>
      <c r="AK17" s="1">
        <v>13.214528227837199</v>
      </c>
      <c r="AL17" s="1">
        <v>13.175605555840701</v>
      </c>
      <c r="AM17" s="1">
        <v>12.0068848630758</v>
      </c>
      <c r="AN17" s="1">
        <v>10.930931670008</v>
      </c>
      <c r="AO17" s="1">
        <v>10.1657727684956</v>
      </c>
      <c r="AP17" s="1">
        <v>12.831728844046101</v>
      </c>
      <c r="AQ17" s="1">
        <v>21.117035072928399</v>
      </c>
      <c r="AR17" s="1">
        <v>24.410417552031799</v>
      </c>
      <c r="AS17" s="1">
        <v>25.564246109953</v>
      </c>
      <c r="AT17" s="1">
        <v>28.925053876089201</v>
      </c>
      <c r="AU17" s="1">
        <v>30.190457444004899</v>
      </c>
      <c r="AV17" s="1">
        <v>30.216878733606201</v>
      </c>
      <c r="AW17" s="1">
        <v>30.837282338301399</v>
      </c>
      <c r="AX17" s="1">
        <v>29.337176578513201</v>
      </c>
      <c r="AY17" s="1">
        <v>29.969513431970601</v>
      </c>
      <c r="AZ17" s="1">
        <v>31.5102163297875</v>
      </c>
      <c r="BA17" s="1">
        <v>33.426692070247803</v>
      </c>
      <c r="BB17" s="1">
        <v>32.376133012249703</v>
      </c>
      <c r="BC17" s="1">
        <v>30.3693090502289</v>
      </c>
      <c r="BD17" s="1">
        <v>33.359304134363001</v>
      </c>
      <c r="BE17" s="1">
        <v>32.216277673686399</v>
      </c>
      <c r="BF17" s="1">
        <v>36.677642239344998</v>
      </c>
      <c r="BG17" s="1">
        <v>38.266487420297501</v>
      </c>
    </row>
    <row r="18" spans="1:59" x14ac:dyDescent="0.25">
      <c r="A18" s="26" t="s">
        <v>29</v>
      </c>
      <c r="AP18" s="1">
        <v>0.53883789233693702</v>
      </c>
      <c r="AQ18" s="1">
        <v>0.47059971330760297</v>
      </c>
      <c r="AR18" s="1">
        <v>0.28575417216219601</v>
      </c>
      <c r="AS18" s="1">
        <v>0.20756507236941499</v>
      </c>
      <c r="AT18" s="1">
        <v>0.18673679388487299</v>
      </c>
      <c r="AU18" s="1">
        <v>0.17845542977487</v>
      </c>
      <c r="AV18" s="1">
        <v>0.157094763445779</v>
      </c>
      <c r="AW18" s="1">
        <v>0.13818068336634301</v>
      </c>
      <c r="AX18" s="1">
        <v>0.11655616706543601</v>
      </c>
      <c r="AY18" s="1">
        <v>0.10271275104536</v>
      </c>
      <c r="AZ18" s="1">
        <v>0.10912350491329199</v>
      </c>
      <c r="BA18" s="1">
        <v>9.9464912540158906E-2</v>
      </c>
      <c r="BB18" s="1">
        <v>11.4983610766133</v>
      </c>
      <c r="BC18" s="1">
        <v>19.635098316327099</v>
      </c>
      <c r="BD18" s="1">
        <v>20.090339886052501</v>
      </c>
      <c r="BE18" s="1">
        <v>20.799172855575499</v>
      </c>
      <c r="BF18" s="1">
        <v>17.092432209045601</v>
      </c>
    </row>
    <row r="19" spans="1:59" x14ac:dyDescent="0.25">
      <c r="A19" s="26" t="s">
        <v>31</v>
      </c>
      <c r="G19" s="1">
        <v>7.7650840372203502</v>
      </c>
      <c r="H19" s="1">
        <v>5.6448109525311603</v>
      </c>
      <c r="I19" s="1">
        <v>6.8745127533201398</v>
      </c>
      <c r="J19" s="1">
        <v>6.8451134296636402</v>
      </c>
      <c r="K19" s="1">
        <v>7.0131497434333099</v>
      </c>
      <c r="L19" s="1">
        <v>4.9041970802919703</v>
      </c>
      <c r="M19" s="1">
        <v>5.4038932466371303</v>
      </c>
      <c r="N19" s="1">
        <v>5.6611049990893996</v>
      </c>
      <c r="O19" s="1">
        <v>6.61049226159124</v>
      </c>
      <c r="P19" s="1">
        <v>5.44971913841814</v>
      </c>
      <c r="Q19" s="1">
        <v>8.9010929805213106</v>
      </c>
      <c r="R19" s="1">
        <v>10.7738301182812</v>
      </c>
      <c r="S19" s="1">
        <v>11.7881938657407</v>
      </c>
      <c r="T19" s="1">
        <v>10.5716598187042</v>
      </c>
      <c r="U19" s="1">
        <v>11.7848295665774</v>
      </c>
      <c r="V19" s="1">
        <v>11.5412625387034</v>
      </c>
      <c r="W19" s="1">
        <v>12.901454300373199</v>
      </c>
      <c r="X19" s="1">
        <v>11.5915841381589</v>
      </c>
      <c r="Y19" s="1">
        <v>10.231042950237001</v>
      </c>
      <c r="Z19" s="1">
        <v>10.652450103762501</v>
      </c>
      <c r="AA19" s="1">
        <v>11.529214356244401</v>
      </c>
      <c r="AB19" s="1">
        <v>11.6622999066829</v>
      </c>
      <c r="AC19" s="1">
        <v>11.8132750845547</v>
      </c>
      <c r="AD19" s="1">
        <v>11.4471692715783</v>
      </c>
      <c r="AE19" s="1">
        <v>11.0676046555915</v>
      </c>
      <c r="AF19" s="1">
        <v>10.527309120445601</v>
      </c>
      <c r="AG19" s="1">
        <v>11.4907512863386</v>
      </c>
      <c r="AH19" s="1">
        <v>15.9597261292976</v>
      </c>
      <c r="AI19" s="1">
        <v>18.432964105599901</v>
      </c>
      <c r="AJ19" s="1">
        <v>18.993937934080101</v>
      </c>
      <c r="AK19" s="1">
        <v>24.973158982548199</v>
      </c>
      <c r="AL19" s="1">
        <v>22.817575136694298</v>
      </c>
      <c r="AM19" s="1">
        <v>26.327835073597299</v>
      </c>
      <c r="AN19" s="1">
        <v>22.8220512223903</v>
      </c>
      <c r="AO19" s="1">
        <v>22.848472090657101</v>
      </c>
      <c r="AP19" s="1">
        <v>23.284003710262301</v>
      </c>
      <c r="AQ19" s="1">
        <v>22.5607504999785</v>
      </c>
      <c r="AR19" s="1">
        <v>17.737129524228301</v>
      </c>
      <c r="AS19" s="1">
        <v>15.699864494515801</v>
      </c>
      <c r="AT19" s="1">
        <v>16.682695263521701</v>
      </c>
      <c r="AU19" s="1">
        <v>14.5836867929394</v>
      </c>
      <c r="AV19" s="1">
        <v>13.4465909577363</v>
      </c>
      <c r="AW19" s="1">
        <v>12.855664876406101</v>
      </c>
      <c r="AX19" s="1">
        <v>12.7758202580003</v>
      </c>
      <c r="AY19" s="1">
        <v>12.4193541858921</v>
      </c>
      <c r="AZ19" s="1">
        <v>9.5825361719822908</v>
      </c>
      <c r="BA19" s="1">
        <v>8.9040304209212593</v>
      </c>
      <c r="BB19" s="1">
        <v>10.073892980232401</v>
      </c>
      <c r="BC19" s="1">
        <v>10.689075174143399</v>
      </c>
      <c r="BD19" s="1">
        <v>11.5050876388893</v>
      </c>
      <c r="BE19" s="1">
        <v>11.6219397442892</v>
      </c>
      <c r="BF19" s="1">
        <v>9.4925439675177206</v>
      </c>
      <c r="BG19" s="1">
        <v>9.7581968698520996</v>
      </c>
    </row>
    <row r="20" spans="1:59" x14ac:dyDescent="0.25">
      <c r="A20" s="26" t="s">
        <v>32</v>
      </c>
      <c r="B20" s="1">
        <v>23.652970528497701</v>
      </c>
      <c r="C20" s="1">
        <v>23.401895618851601</v>
      </c>
      <c r="D20" s="1">
        <v>26.431557700624499</v>
      </c>
      <c r="E20" s="1">
        <v>28.824290928488299</v>
      </c>
      <c r="F20" s="1">
        <v>28.873966346893798</v>
      </c>
      <c r="G20" s="1">
        <v>29.300518666976298</v>
      </c>
      <c r="H20" s="1">
        <v>27.115170431526</v>
      </c>
      <c r="I20" s="1">
        <v>26.461892589816099</v>
      </c>
      <c r="J20" s="1">
        <v>26.6848685578443</v>
      </c>
      <c r="K20" s="1">
        <v>24.3859582232446</v>
      </c>
      <c r="L20" s="1">
        <v>26.732400887636899</v>
      </c>
      <c r="M20" s="1">
        <v>26.299689809499998</v>
      </c>
      <c r="N20" s="1">
        <v>35.289251539244503</v>
      </c>
      <c r="O20" s="1">
        <v>28.210319366030799</v>
      </c>
      <c r="P20" s="1">
        <v>29.074889338299201</v>
      </c>
      <c r="Q20" s="1">
        <v>28.042757516087502</v>
      </c>
      <c r="R20" s="1">
        <v>32.994720731335597</v>
      </c>
      <c r="S20" s="1">
        <v>32.091333524753402</v>
      </c>
      <c r="T20" s="1">
        <v>34.4096982244766</v>
      </c>
      <c r="U20" s="1">
        <v>42.024580211101501</v>
      </c>
      <c r="V20" s="1">
        <v>24.228800356556398</v>
      </c>
      <c r="W20" s="1">
        <v>22.344165713605101</v>
      </c>
      <c r="X20" s="1">
        <v>15.978821506868499</v>
      </c>
      <c r="Y20" s="1">
        <v>19.400305598500299</v>
      </c>
      <c r="Z20" s="1">
        <v>16.4430387120894</v>
      </c>
      <c r="AA20" s="1">
        <v>14.7661996361284</v>
      </c>
      <c r="AB20" s="1">
        <v>12.7763132748443</v>
      </c>
      <c r="AC20" s="1">
        <v>11.7706828688996</v>
      </c>
      <c r="AD20" s="1">
        <v>17.980878530827098</v>
      </c>
      <c r="AE20" s="1">
        <v>32.537011013431801</v>
      </c>
      <c r="AF20" s="1">
        <v>24.948359255964199</v>
      </c>
      <c r="AG20" s="1">
        <v>21.821984018169999</v>
      </c>
      <c r="AH20" s="1">
        <v>17.2512271307452</v>
      </c>
      <c r="AI20" s="1">
        <v>20.427926880320001</v>
      </c>
      <c r="AJ20" s="1">
        <v>13.1398768688125</v>
      </c>
      <c r="AK20" s="1">
        <v>16.095086253383901</v>
      </c>
      <c r="AL20" s="1">
        <v>16.847358108153699</v>
      </c>
      <c r="AM20" s="1">
        <v>19.419545183751399</v>
      </c>
      <c r="AN20" s="1">
        <v>19.334440514707101</v>
      </c>
      <c r="AO20" s="1">
        <v>18.5302795190448</v>
      </c>
      <c r="AP20" s="1">
        <v>20.108165886693101</v>
      </c>
      <c r="AQ20" s="1">
        <v>19.041910882449301</v>
      </c>
      <c r="AR20" s="1">
        <v>18.8471358845682</v>
      </c>
      <c r="AS20" s="1">
        <v>20.704998914845</v>
      </c>
      <c r="AT20" s="1">
        <v>23.059855739825601</v>
      </c>
      <c r="AU20" s="1">
        <v>24.3821308946094</v>
      </c>
      <c r="AV20" s="1">
        <v>31.2666288650856</v>
      </c>
      <c r="AW20" s="1">
        <v>33.063573042367402</v>
      </c>
      <c r="AX20" s="1">
        <v>34.470462001104799</v>
      </c>
      <c r="AY20" s="1">
        <v>33.981494209613899</v>
      </c>
      <c r="AZ20" s="1">
        <v>40.4671151559929</v>
      </c>
      <c r="BA20" s="1">
        <v>45.0169781525763</v>
      </c>
      <c r="BB20" s="1">
        <v>47.469175558778197</v>
      </c>
      <c r="BC20" s="1">
        <v>45.214269490206398</v>
      </c>
      <c r="BD20" s="1">
        <v>45.008072249633997</v>
      </c>
      <c r="BE20" s="1">
        <v>40.5508552960546</v>
      </c>
      <c r="BF20" s="1">
        <v>39.101991579144403</v>
      </c>
      <c r="BG20" s="1">
        <v>41.226851587223898</v>
      </c>
    </row>
    <row r="21" spans="1:59" x14ac:dyDescent="0.25">
      <c r="A21" s="26" t="s">
        <v>33</v>
      </c>
      <c r="B21" s="1">
        <v>7.1004107317726497</v>
      </c>
      <c r="C21" s="1">
        <v>8.1212351414334094</v>
      </c>
      <c r="D21" s="1">
        <v>9.2835749143705897</v>
      </c>
      <c r="E21" s="1">
        <v>9.3111499744899202</v>
      </c>
      <c r="F21" s="1">
        <v>9.2666605298503608</v>
      </c>
      <c r="G21" s="1">
        <v>9.4848510176361795</v>
      </c>
      <c r="H21" s="1">
        <v>12.4527143653732</v>
      </c>
      <c r="I21" s="1">
        <v>8.4295356093115803</v>
      </c>
      <c r="J21" s="1">
        <v>7.9775985591896603</v>
      </c>
      <c r="K21" s="1">
        <v>9.3576559667711994</v>
      </c>
      <c r="L21" s="1">
        <v>10.7723830375582</v>
      </c>
      <c r="M21" s="1">
        <v>12.3678397656615</v>
      </c>
      <c r="N21" s="1">
        <v>14.2137063199685</v>
      </c>
      <c r="O21" s="1">
        <v>15.5147694594512</v>
      </c>
      <c r="P21" s="1">
        <v>12.270563048803099</v>
      </c>
      <c r="Q21" s="1">
        <v>19.246529376492798</v>
      </c>
      <c r="R21" s="1">
        <v>22.2636539756868</v>
      </c>
      <c r="S21" s="1">
        <v>19.6425919430317</v>
      </c>
      <c r="T21" s="1">
        <v>22.530647872260101</v>
      </c>
      <c r="U21" s="1">
        <v>28.541148540586899</v>
      </c>
      <c r="V21" s="1">
        <v>24.584222503717299</v>
      </c>
      <c r="W21" s="1">
        <v>24.155824162405501</v>
      </c>
      <c r="X21" s="1">
        <v>20.9705721016811</v>
      </c>
      <c r="Y21" s="1">
        <v>20.8249206114142</v>
      </c>
      <c r="Z21" s="1">
        <v>22.905326429343901</v>
      </c>
      <c r="AA21" s="1">
        <v>20.685952380441201</v>
      </c>
      <c r="AB21" s="1">
        <v>20.000424634495399</v>
      </c>
      <c r="AC21" s="1">
        <v>20.8029218654525</v>
      </c>
      <c r="AD21" s="1">
        <v>18.299882123371098</v>
      </c>
      <c r="AE21" s="1">
        <v>16.599714998100598</v>
      </c>
      <c r="AF21" s="1">
        <v>14.8110928766013</v>
      </c>
      <c r="AG21" s="1">
        <v>14.0521592483564</v>
      </c>
      <c r="AH21" s="1">
        <v>16.755075719451099</v>
      </c>
      <c r="AI21" s="1">
        <v>15.642106474350401</v>
      </c>
      <c r="AJ21" s="1">
        <v>16.531956941764602</v>
      </c>
      <c r="AK21" s="1">
        <v>17.680762888573302</v>
      </c>
      <c r="AL21" s="1">
        <v>18.541298153198799</v>
      </c>
      <c r="AM21" s="1">
        <v>16.824139664257402</v>
      </c>
      <c r="AN21" s="1">
        <v>17.781705500580301</v>
      </c>
      <c r="AO21" s="1">
        <v>15.900047689568501</v>
      </c>
      <c r="AP21" s="1">
        <v>17.799437675726299</v>
      </c>
      <c r="AQ21" s="1">
        <v>16.922931276297302</v>
      </c>
      <c r="AR21" s="1">
        <v>15.9079547593866</v>
      </c>
      <c r="AS21" s="1">
        <v>15.197867401574801</v>
      </c>
      <c r="AT21" s="1">
        <v>17.364273313492099</v>
      </c>
      <c r="AU21" s="1">
        <v>16.595289794554901</v>
      </c>
      <c r="AV21" s="1">
        <v>16.412458740595699</v>
      </c>
      <c r="AW21" s="1">
        <v>17.428434177335799</v>
      </c>
      <c r="AX21" s="1">
        <v>17.7301309484203</v>
      </c>
      <c r="AY21" s="1">
        <v>20.321513455057101</v>
      </c>
      <c r="AZ21" s="1">
        <v>22.198252577599899</v>
      </c>
      <c r="BA21" s="1">
        <v>20.902366521507702</v>
      </c>
      <c r="BB21" s="1">
        <v>21.8589148537915</v>
      </c>
      <c r="BC21" s="1">
        <v>22.635506301814502</v>
      </c>
      <c r="BD21" s="1">
        <v>21.019770567884201</v>
      </c>
      <c r="BE21" s="1">
        <v>18.188851286616199</v>
      </c>
      <c r="BF21" s="1">
        <v>16.1675439604697</v>
      </c>
      <c r="BG21" s="1">
        <v>16.6237373309962</v>
      </c>
    </row>
    <row r="22" spans="1:59" x14ac:dyDescent="0.25">
      <c r="A22" s="26" t="s">
        <v>34</v>
      </c>
      <c r="B22" s="1">
        <v>12.436972281618999</v>
      </c>
      <c r="C22" s="1">
        <v>11.475408331094</v>
      </c>
      <c r="D22" s="1">
        <v>9.2799994060800408</v>
      </c>
      <c r="E22" s="1">
        <v>5.9375</v>
      </c>
      <c r="F22" s="1">
        <v>12.000000553846199</v>
      </c>
      <c r="G22" s="1">
        <v>12.096775819459101</v>
      </c>
      <c r="H22" s="1">
        <v>11.2793686930404</v>
      </c>
      <c r="I22" s="1">
        <v>10.512031905135499</v>
      </c>
      <c r="J22" s="1">
        <v>8.7398359040821898</v>
      </c>
      <c r="K22" s="1">
        <v>7.6788532903149296</v>
      </c>
      <c r="L22" s="1">
        <v>11.505228881167</v>
      </c>
      <c r="M22" s="1">
        <v>10.211426634483599</v>
      </c>
      <c r="N22" s="1">
        <v>8.2819386178656806</v>
      </c>
      <c r="O22" s="1">
        <v>11.5983615409165</v>
      </c>
      <c r="P22" s="1">
        <v>12.1687577317595</v>
      </c>
      <c r="Q22" s="1">
        <v>9.1718815945671093</v>
      </c>
      <c r="R22" s="1">
        <v>14.578953413609399</v>
      </c>
      <c r="S22" s="1">
        <v>14.2677661185406</v>
      </c>
      <c r="T22" s="1">
        <v>14.780998002497499</v>
      </c>
      <c r="U22" s="1">
        <v>21.046063133841901</v>
      </c>
      <c r="V22" s="1">
        <v>14.436521583244801</v>
      </c>
      <c r="W22" s="1">
        <v>9.8255055432608103</v>
      </c>
      <c r="X22" s="1">
        <v>11.552558750475299</v>
      </c>
      <c r="Y22" s="1">
        <v>11.581767489545999</v>
      </c>
      <c r="Z22" s="1">
        <v>12.631433634054099</v>
      </c>
      <c r="AA22" s="1">
        <v>10.782506693740499</v>
      </c>
      <c r="AB22" s="1">
        <v>12.584317915545499</v>
      </c>
      <c r="AC22" s="1">
        <v>7.4500525246594202</v>
      </c>
      <c r="AD22" s="1">
        <v>6.61955980927653</v>
      </c>
      <c r="AE22" s="1">
        <v>6.1392889513756304</v>
      </c>
      <c r="AF22" s="1">
        <v>5.6146091553814204</v>
      </c>
      <c r="AG22" s="1">
        <v>7.3166044426604602</v>
      </c>
      <c r="AH22" s="1">
        <v>5.5684081898581201</v>
      </c>
      <c r="AI22" s="1">
        <v>5.1752459789237397</v>
      </c>
      <c r="AJ22" s="1">
        <v>6.3025859502178596</v>
      </c>
      <c r="AK22" s="1">
        <v>5.1507919127310497</v>
      </c>
      <c r="AL22" s="1">
        <v>6.0313700208094101</v>
      </c>
      <c r="AM22" s="1">
        <v>7.79733936179779</v>
      </c>
      <c r="AN22" s="1">
        <v>5.5850635761597003</v>
      </c>
      <c r="AO22" s="1">
        <v>6.2603893632689802</v>
      </c>
      <c r="AP22" s="1">
        <v>6.3198140361100998</v>
      </c>
      <c r="AQ22" s="1">
        <v>8.4683079695688797</v>
      </c>
      <c r="AR22" s="1">
        <v>7.0411824942002603</v>
      </c>
      <c r="AS22" s="1">
        <v>8.4526324729150595</v>
      </c>
      <c r="AT22" s="1">
        <v>11.1232693868449</v>
      </c>
      <c r="AU22" s="1">
        <v>11.4261186320026</v>
      </c>
      <c r="AV22" s="1">
        <v>12.1499424553091</v>
      </c>
      <c r="AW22" s="1">
        <v>15.664663719229599</v>
      </c>
      <c r="AX22" s="1">
        <v>12.549146517938601</v>
      </c>
      <c r="AY22" s="1">
        <v>11.7337968746473</v>
      </c>
      <c r="AZ22" s="1">
        <v>12.0393097445866</v>
      </c>
      <c r="BA22" s="1">
        <v>13.645423570636</v>
      </c>
      <c r="BB22" s="1">
        <v>12.7868823188936</v>
      </c>
      <c r="BC22" s="1">
        <v>14.0904245050836</v>
      </c>
      <c r="BD22" s="1">
        <v>14.7221145338989</v>
      </c>
      <c r="BE22" s="1">
        <v>14.2427395121912</v>
      </c>
      <c r="BF22" s="1">
        <v>14.9269545880378</v>
      </c>
      <c r="BG22" s="1">
        <v>18.242996716260599</v>
      </c>
    </row>
    <row r="23" spans="1:59" x14ac:dyDescent="0.25">
      <c r="A23" s="26" t="s">
        <v>2</v>
      </c>
      <c r="B23" s="1">
        <v>29.953249888243199</v>
      </c>
      <c r="C23" s="1">
        <v>27.5375436843795</v>
      </c>
      <c r="D23" s="1">
        <v>27.792673642229101</v>
      </c>
      <c r="E23" s="1">
        <v>25.7568075413568</v>
      </c>
      <c r="F23" s="1">
        <v>24.6155221290607</v>
      </c>
      <c r="G23" s="1">
        <v>25.903018307768399</v>
      </c>
      <c r="H23" s="1">
        <v>22.370157130862399</v>
      </c>
      <c r="I23" s="1">
        <v>20.460329755449798</v>
      </c>
      <c r="J23" s="1">
        <v>20.621442567882799</v>
      </c>
      <c r="K23" s="1">
        <v>18.3924754168448</v>
      </c>
      <c r="L23" s="1">
        <v>25.453747072599501</v>
      </c>
      <c r="M23" s="1">
        <v>24.612099644128101</v>
      </c>
      <c r="N23" s="1">
        <v>22.325703417065601</v>
      </c>
      <c r="O23" s="1">
        <v>24.3479678330798</v>
      </c>
      <c r="P23" s="1">
        <v>26.431365950107299</v>
      </c>
      <c r="Q23" s="1">
        <v>27.4899349061218</v>
      </c>
      <c r="R23" s="1">
        <v>29.0467834321094</v>
      </c>
      <c r="S23" s="1">
        <v>33.814925701101402</v>
      </c>
      <c r="T23" s="1">
        <v>34.770889487870598</v>
      </c>
      <c r="U23" s="1">
        <v>33.7106534063794</v>
      </c>
      <c r="V23" s="1">
        <v>32.218497752792103</v>
      </c>
      <c r="W23" s="1">
        <v>30.459384742074</v>
      </c>
      <c r="X23" s="1">
        <v>27.356456196215198</v>
      </c>
      <c r="Y23" s="1">
        <v>26.328730849252899</v>
      </c>
      <c r="Z23" s="1">
        <v>28.804001404914601</v>
      </c>
      <c r="AA23" s="1">
        <v>26.012009237875301</v>
      </c>
      <c r="AB23" s="1">
        <v>23.718198736307201</v>
      </c>
      <c r="AC23" s="1">
        <v>25.1922754329692</v>
      </c>
      <c r="AD23" s="1">
        <v>26.076438630159199</v>
      </c>
      <c r="AE23" s="1">
        <v>27.2602038183182</v>
      </c>
      <c r="AF23" s="1">
        <v>30.180804514829799</v>
      </c>
      <c r="AG23" s="1">
        <v>28.741086895218199</v>
      </c>
      <c r="AH23" s="1">
        <v>31.770374080318302</v>
      </c>
      <c r="AI23" s="1">
        <v>33.801006875982097</v>
      </c>
      <c r="AJ23" s="1">
        <v>33.812883795787798</v>
      </c>
      <c r="AK23" s="1">
        <v>35.597629130900998</v>
      </c>
      <c r="AL23" s="1">
        <v>34.973337777037202</v>
      </c>
      <c r="AM23" s="1">
        <v>36.538118080766303</v>
      </c>
      <c r="AN23" s="1">
        <v>36.243818677270603</v>
      </c>
      <c r="AO23" s="1">
        <v>35.483704717065599</v>
      </c>
      <c r="AP23" s="1">
        <v>39.015700886425002</v>
      </c>
      <c r="AQ23" s="1">
        <v>37.331188476891398</v>
      </c>
      <c r="AR23" s="1">
        <v>34.913330197833602</v>
      </c>
      <c r="AS23" s="1">
        <v>34.653502832422802</v>
      </c>
      <c r="AT23" s="1">
        <v>35.330902732441203</v>
      </c>
      <c r="AU23" s="1">
        <v>32.336872987489301</v>
      </c>
      <c r="AV23" s="1">
        <v>30.128527093797199</v>
      </c>
      <c r="AW23" s="1">
        <v>29.1149996870361</v>
      </c>
      <c r="AX23" s="1">
        <v>24.841487098820501</v>
      </c>
      <c r="AY23" s="1">
        <v>21.328366243783002</v>
      </c>
      <c r="AZ23" s="1">
        <v>19.552321697973799</v>
      </c>
      <c r="BA23" s="1">
        <v>20.896839580967502</v>
      </c>
      <c r="BB23" s="1">
        <v>19.816482474646602</v>
      </c>
      <c r="BC23" s="1">
        <v>20.320398243350699</v>
      </c>
      <c r="BD23" s="1">
        <v>21.088762290752999</v>
      </c>
      <c r="BE23" s="1">
        <v>21.013103191359001</v>
      </c>
      <c r="BF23" s="1">
        <v>21.332843840231099</v>
      </c>
      <c r="BG23" s="1">
        <v>21.9294664161927</v>
      </c>
    </row>
    <row r="24" spans="1:59" x14ac:dyDescent="0.25">
      <c r="A24" s="26" t="s">
        <v>36</v>
      </c>
      <c r="AD24" s="1">
        <v>35.174418604651201</v>
      </c>
      <c r="AE24" s="1">
        <v>35.942028985507299</v>
      </c>
      <c r="AF24" s="1">
        <v>27.8463648834019</v>
      </c>
      <c r="AG24" s="1">
        <v>33.210059171597599</v>
      </c>
      <c r="AH24" s="1">
        <v>9.6754250386398795</v>
      </c>
      <c r="AI24" s="1">
        <v>28.554860973608999</v>
      </c>
      <c r="AJ24" s="1">
        <v>43.036345011726901</v>
      </c>
      <c r="AK24" s="1">
        <v>65.585443604713603</v>
      </c>
      <c r="AL24" s="1">
        <v>76.588320953971603</v>
      </c>
      <c r="AM24" s="1">
        <v>87.238276508414003</v>
      </c>
      <c r="AN24" s="1">
        <v>48.915042219626301</v>
      </c>
      <c r="AO24" s="1">
        <v>66.073382038377403</v>
      </c>
      <c r="AP24" s="1">
        <v>98.762195674115503</v>
      </c>
      <c r="AQ24" s="1">
        <v>67.991963997673594</v>
      </c>
      <c r="AR24" s="1">
        <v>65.461164917666395</v>
      </c>
      <c r="AS24" s="1">
        <v>63.376862486377398</v>
      </c>
      <c r="AT24" s="1">
        <v>58.314112967673097</v>
      </c>
      <c r="AU24" s="1">
        <v>26.994334285167799</v>
      </c>
      <c r="AV24" s="1">
        <v>23.191231738331702</v>
      </c>
      <c r="AW24" s="1">
        <v>20.612993547038901</v>
      </c>
      <c r="AX24" s="1">
        <v>16.758165529602</v>
      </c>
      <c r="AY24" s="1">
        <v>15.1702547446494</v>
      </c>
      <c r="AZ24" s="1">
        <v>14.9373516114801</v>
      </c>
      <c r="BA24" s="1">
        <v>16.447132629002599</v>
      </c>
      <c r="BB24" s="1">
        <v>17.186636101440399</v>
      </c>
      <c r="BC24" s="1">
        <v>11.287360434272999</v>
      </c>
      <c r="BD24" s="1">
        <v>9.0540394516414793</v>
      </c>
      <c r="BE24" s="1">
        <v>10.5039418118409</v>
      </c>
      <c r="BF24" s="1">
        <v>13.276742896691999</v>
      </c>
      <c r="BG24" s="1">
        <v>15.709794970340599</v>
      </c>
    </row>
    <row r="25" spans="1:59" x14ac:dyDescent="0.25">
      <c r="A25" s="26" t="s">
        <v>37</v>
      </c>
      <c r="AF25" s="1">
        <v>12.62114884801</v>
      </c>
      <c r="AG25" s="1">
        <v>10.2620611945616</v>
      </c>
      <c r="AH25" s="1">
        <v>12.4418378862935</v>
      </c>
      <c r="AI25" s="1">
        <v>17.983107857500499</v>
      </c>
      <c r="AJ25" s="1">
        <v>20.6139807131078</v>
      </c>
      <c r="AK25" s="1">
        <v>24.074722728025201</v>
      </c>
      <c r="AL25" s="1">
        <v>19.9371649429537</v>
      </c>
      <c r="AM25" s="1">
        <v>16.218106716780099</v>
      </c>
      <c r="AN25" s="1">
        <v>12.397729165892599</v>
      </c>
      <c r="AO25" s="1">
        <v>12.5296570744999</v>
      </c>
      <c r="AP25" s="1">
        <v>13.364909435910899</v>
      </c>
      <c r="AQ25" s="1">
        <v>17.006564857277901</v>
      </c>
      <c r="AR25" s="1">
        <v>17.580753213148299</v>
      </c>
      <c r="AS25" s="1">
        <v>18.562595946068502</v>
      </c>
      <c r="AT25" s="1">
        <v>19.6512752447967</v>
      </c>
      <c r="AU25" s="1">
        <v>16.914313671501901</v>
      </c>
      <c r="AV25" s="1">
        <v>17.100833958327399</v>
      </c>
      <c r="AW25" s="1">
        <v>18.919116129904602</v>
      </c>
      <c r="AX25" s="1">
        <v>18.648670738518302</v>
      </c>
      <c r="AY25" s="1">
        <v>17.373845954712401</v>
      </c>
      <c r="AZ25" s="1">
        <v>18.7464132724043</v>
      </c>
      <c r="BA25" s="1">
        <v>20.756418338336101</v>
      </c>
      <c r="BB25" s="1">
        <v>21.285309859524201</v>
      </c>
      <c r="BC25" s="1">
        <v>17.651226297459601</v>
      </c>
      <c r="BD25" s="1">
        <v>19.4141823209435</v>
      </c>
      <c r="BE25" s="1">
        <v>21.623518041850101</v>
      </c>
      <c r="BF25" s="1">
        <v>19.592305081512201</v>
      </c>
    </row>
    <row r="26" spans="1:59" x14ac:dyDescent="0.25">
      <c r="A26" s="26" t="s">
        <v>38</v>
      </c>
      <c r="B26" s="1">
        <v>27.329451121298501</v>
      </c>
      <c r="C26" s="1">
        <v>24.418229213653898</v>
      </c>
      <c r="D26" s="1">
        <v>24.107405487933001</v>
      </c>
      <c r="E26" s="1">
        <v>28.290939369015401</v>
      </c>
      <c r="F26" s="1">
        <v>29.897857498754401</v>
      </c>
      <c r="G26" s="1">
        <v>25.5777144666034</v>
      </c>
      <c r="H26" s="1">
        <v>25.5673222390318</v>
      </c>
      <c r="I26" s="1">
        <v>25.300332899117102</v>
      </c>
      <c r="J26" s="1">
        <v>23.940620782726</v>
      </c>
      <c r="K26" s="1">
        <v>21.528692943572501</v>
      </c>
      <c r="L26" s="1">
        <v>23.352228520617999</v>
      </c>
      <c r="M26" s="1">
        <v>19.816260001975699</v>
      </c>
      <c r="N26" s="1">
        <v>19.389671361502302</v>
      </c>
      <c r="O26" s="1">
        <v>16.551497203027299</v>
      </c>
      <c r="P26" s="1">
        <v>14.7194674636598</v>
      </c>
      <c r="Q26" s="1">
        <v>8.6504049726878893</v>
      </c>
      <c r="R26" s="1">
        <v>11.3880603113635</v>
      </c>
      <c r="S26" s="1">
        <v>9.1526442307692299</v>
      </c>
      <c r="T26" s="1">
        <v>13.6528581180613</v>
      </c>
      <c r="U26" s="1">
        <v>19.401362770421098</v>
      </c>
      <c r="V26" s="1">
        <v>19.443841846040101</v>
      </c>
      <c r="W26" s="1">
        <v>16.0771704180064</v>
      </c>
      <c r="X26" s="1">
        <v>8.3811710677382294</v>
      </c>
      <c r="Y26" s="1">
        <v>8.6594256807022791</v>
      </c>
      <c r="Z26" s="1">
        <v>12.692422639177501</v>
      </c>
      <c r="AA26" s="1">
        <v>13.738524870531</v>
      </c>
      <c r="AB26" s="1">
        <v>12.8101121198077</v>
      </c>
      <c r="AC26" s="1">
        <v>8.2470987512090197</v>
      </c>
      <c r="AD26" s="1">
        <v>7.5726713134833501</v>
      </c>
      <c r="AE26" s="1">
        <v>7.9544006990522096</v>
      </c>
      <c r="AF26" s="1">
        <v>7.2407208592858998</v>
      </c>
      <c r="AG26" s="1">
        <v>7.4644303084318597</v>
      </c>
      <c r="AH26" s="1">
        <v>8.7610888047182893</v>
      </c>
      <c r="AI26" s="1">
        <v>7.0625229772864104</v>
      </c>
      <c r="AJ26" s="1">
        <v>8.7405318310012792</v>
      </c>
      <c r="AK26" s="1">
        <v>11.7919923330531</v>
      </c>
      <c r="AL26" s="1">
        <v>11.961113273590099</v>
      </c>
      <c r="AM26" s="1">
        <v>13.359513678728</v>
      </c>
      <c r="AN26" s="1">
        <v>9.6390475875961794</v>
      </c>
      <c r="AO26" s="1">
        <v>12.2515738969733</v>
      </c>
      <c r="AP26" s="1">
        <v>10.651409293254</v>
      </c>
      <c r="AQ26" s="1">
        <v>11.5180826372043</v>
      </c>
      <c r="AR26" s="1">
        <v>11.2132791665583</v>
      </c>
      <c r="AS26" s="1">
        <v>11.386724834337199</v>
      </c>
      <c r="AT26" s="1">
        <v>12.696880748841799</v>
      </c>
      <c r="AU26" s="1">
        <v>14.179699980210801</v>
      </c>
      <c r="AV26" s="1">
        <v>15.2754133833713</v>
      </c>
      <c r="AW26" s="1">
        <v>16.7250685272735</v>
      </c>
      <c r="AX26" s="1">
        <v>24.280142344324201</v>
      </c>
      <c r="AY26" s="1">
        <v>17.267979217193101</v>
      </c>
      <c r="AZ26" s="1">
        <v>17.1317969486892</v>
      </c>
      <c r="BA26" s="1">
        <v>19.0175749239841</v>
      </c>
      <c r="BB26" s="1">
        <v>20.216720958749999</v>
      </c>
      <c r="BC26" s="1">
        <v>20.298028404477801</v>
      </c>
      <c r="BD26" s="1">
        <v>18.1702567498821</v>
      </c>
      <c r="BE26" s="1">
        <v>18.4443044055058</v>
      </c>
      <c r="BF26" s="1">
        <v>18.581515995322601</v>
      </c>
      <c r="BG26" s="1">
        <v>18.511698613161698</v>
      </c>
    </row>
    <row r="27" spans="1:59" x14ac:dyDescent="0.25">
      <c r="A27" s="26" t="s">
        <v>39</v>
      </c>
      <c r="AJ27" s="1">
        <v>32.950395463607499</v>
      </c>
      <c r="AK27" s="1">
        <v>32.901026714793197</v>
      </c>
      <c r="AL27" s="1">
        <v>28.478909218585301</v>
      </c>
      <c r="AM27" s="1">
        <v>27.371257557966</v>
      </c>
      <c r="AN27" s="1">
        <v>24.6177635661228</v>
      </c>
      <c r="AO27" s="1">
        <v>25.037219399921099</v>
      </c>
      <c r="AP27" s="1">
        <v>23.923860830771201</v>
      </c>
      <c r="AQ27" s="1">
        <v>25.109699098695</v>
      </c>
      <c r="AR27" s="1">
        <v>27.133678330869799</v>
      </c>
      <c r="AS27" s="1">
        <v>25.683964030842699</v>
      </c>
      <c r="AT27" s="1">
        <v>33.539982251071898</v>
      </c>
      <c r="AU27" s="1">
        <v>30.610712314381299</v>
      </c>
      <c r="AV27" s="1">
        <v>32.592958687188798</v>
      </c>
      <c r="AW27" s="1">
        <v>33.591193205013298</v>
      </c>
      <c r="AX27" s="1">
        <v>28.9193597052566</v>
      </c>
      <c r="AY27" s="1">
        <v>29.250997669334801</v>
      </c>
      <c r="AZ27" s="1">
        <v>37.025939172501602</v>
      </c>
      <c r="BA27" s="1">
        <v>40.470216824151002</v>
      </c>
      <c r="BB27" s="1">
        <v>40.082423337535801</v>
      </c>
      <c r="BC27" s="1">
        <v>40.482850449843198</v>
      </c>
      <c r="BD27" s="1">
        <v>38.822429369467301</v>
      </c>
      <c r="BE27" s="1">
        <v>37.1384510181256</v>
      </c>
      <c r="BF27" s="1">
        <v>35.324667511962197</v>
      </c>
      <c r="BG27" s="1">
        <v>35.2413816682785</v>
      </c>
    </row>
    <row r="28" spans="1:59" x14ac:dyDescent="0.25">
      <c r="A28" s="26" t="s">
        <v>40</v>
      </c>
      <c r="Q28" s="1">
        <v>22.764979311535399</v>
      </c>
      <c r="R28" s="1">
        <v>21.9602479823415</v>
      </c>
      <c r="S28" s="1">
        <v>21.3950286341794</v>
      </c>
      <c r="T28" s="1">
        <v>22.021695236040198</v>
      </c>
      <c r="U28" s="1">
        <v>21.800002912625398</v>
      </c>
      <c r="V28" s="1">
        <v>23.367391798508599</v>
      </c>
      <c r="W28" s="1">
        <v>19.425226419968102</v>
      </c>
      <c r="X28" s="1">
        <v>16.925580307515901</v>
      </c>
      <c r="Y28" s="1">
        <v>16.442924822776501</v>
      </c>
      <c r="Z28" s="1">
        <v>20.561138437133302</v>
      </c>
      <c r="AA28" s="1">
        <v>22.205774710416499</v>
      </c>
      <c r="AB28" s="1">
        <v>24.049410539440299</v>
      </c>
      <c r="AC28" s="1">
        <v>24.015710461456699</v>
      </c>
      <c r="AD28" s="1">
        <v>23.740346198431801</v>
      </c>
      <c r="AE28" s="1">
        <v>23.342283061218499</v>
      </c>
      <c r="AF28" s="1">
        <v>22.866845570673199</v>
      </c>
      <c r="AG28" s="1">
        <v>23.883468965744601</v>
      </c>
      <c r="AH28" s="1">
        <v>27.2272631145545</v>
      </c>
      <c r="AI28" s="1">
        <v>30.719616903180398</v>
      </c>
      <c r="AJ28" s="1">
        <v>34.599976054595501</v>
      </c>
      <c r="AK28" s="1">
        <v>38.236343611557402</v>
      </c>
      <c r="AL28" s="1">
        <v>36.130072878676003</v>
      </c>
      <c r="AM28" s="1">
        <v>37.595272662931897</v>
      </c>
      <c r="AN28" s="1">
        <v>43.393084957841602</v>
      </c>
      <c r="AO28" s="1">
        <v>37.4085797532233</v>
      </c>
      <c r="AP28" s="1">
        <v>38.1597545550961</v>
      </c>
      <c r="AQ28" s="1">
        <v>34.958912690908598</v>
      </c>
      <c r="AR28" s="1">
        <v>31.834798869349001</v>
      </c>
      <c r="AS28" s="1">
        <v>32.397059092095198</v>
      </c>
      <c r="AT28" s="1">
        <v>34.469799013310997</v>
      </c>
      <c r="AU28" s="1">
        <v>33.548648189558598</v>
      </c>
      <c r="AV28" s="1">
        <v>35.956168527450899</v>
      </c>
      <c r="AW28" s="1">
        <v>37.7853732974542</v>
      </c>
      <c r="AX28" s="1">
        <v>41.466848719981797</v>
      </c>
      <c r="AY28" s="1">
        <v>21.836555452011702</v>
      </c>
      <c r="AZ28" s="1">
        <v>35.193293001282598</v>
      </c>
      <c r="BA28" s="1">
        <v>40.563716972454998</v>
      </c>
      <c r="BB28" s="1">
        <v>30.238062370314601</v>
      </c>
      <c r="BC28" s="1">
        <v>27.166387754691101</v>
      </c>
      <c r="BD28" s="1">
        <v>25.6776040942596</v>
      </c>
      <c r="BE28" s="1">
        <v>23.459349475369301</v>
      </c>
      <c r="BF28" s="1">
        <v>24.657893288361901</v>
      </c>
      <c r="BG28" s="1">
        <v>24.123425890612101</v>
      </c>
    </row>
    <row r="33" spans="2:9" x14ac:dyDescent="0.25">
      <c r="B33" s="25">
        <v>1960</v>
      </c>
      <c r="C33" s="1">
        <f>VLOOKUP(Indicateur1!$K$6,prevision1!$A$1:$BG$28,MATCH(B33,$A$1:$BG$1,0),FALSE)</f>
        <v>31.095746519435</v>
      </c>
      <c r="H33" s="25">
        <v>1960</v>
      </c>
      <c r="I33" s="1">
        <f>VLOOKUP('comite 1'!$C$4,prevision1!$A$1:$BG$28,MATCH(H33,$A$1:$BG$1,0),FALSE)</f>
        <v>31.095746519435</v>
      </c>
    </row>
    <row r="34" spans="2:9" x14ac:dyDescent="0.25">
      <c r="B34" s="25">
        <v>1961</v>
      </c>
      <c r="C34" s="1">
        <f>VLOOKUP(Indicateur1!$K$6,prevision1!$A$1:$BG$28,MATCH(B34,$A$1:$BG$1,0),FALSE)</f>
        <v>32.717169681453797</v>
      </c>
      <c r="H34" s="25">
        <v>1961</v>
      </c>
      <c r="I34" s="1">
        <f>VLOOKUP('comite 1'!$C$4,prevision1!$A$1:$BG$28,MATCH(H34,$A$1:$BG$1,0),FALSE)</f>
        <v>32.717169681453797</v>
      </c>
    </row>
    <row r="35" spans="2:9" x14ac:dyDescent="0.25">
      <c r="B35" s="25">
        <v>1962</v>
      </c>
      <c r="C35" s="1">
        <f>VLOOKUP(Indicateur1!$K$6,prevision1!$A$1:$BG$28,MATCH(B35,$A$1:$BG$1,0),FALSE)</f>
        <v>32.037809261394798</v>
      </c>
      <c r="H35" s="25">
        <v>1962</v>
      </c>
      <c r="I35" s="1">
        <f>VLOOKUP('comite 1'!$C$4,prevision1!$A$1:$BG$28,MATCH(H35,$A$1:$BG$1,0),FALSE)</f>
        <v>32.037809261394798</v>
      </c>
    </row>
    <row r="36" spans="2:9" x14ac:dyDescent="0.25">
      <c r="B36" s="25">
        <v>1963</v>
      </c>
      <c r="C36" s="1">
        <f>VLOOKUP(Indicateur1!$K$6,prevision1!$A$1:$BG$28,MATCH(B36,$A$1:$BG$1,0),FALSE)</f>
        <v>32.032947656704003</v>
      </c>
      <c r="H36" s="25">
        <v>1963</v>
      </c>
      <c r="I36" s="1">
        <f>VLOOKUP('comite 1'!$C$4,prevision1!$A$1:$BG$28,MATCH(H36,$A$1:$BG$1,0),FALSE)</f>
        <v>32.032947656704003</v>
      </c>
    </row>
    <row r="37" spans="2:9" x14ac:dyDescent="0.25">
      <c r="B37" s="25">
        <v>1964</v>
      </c>
      <c r="C37" s="1">
        <f>VLOOKUP(Indicateur1!$K$6,prevision1!$A$1:$BG$28,MATCH(B37,$A$1:$BG$1,0),FALSE)</f>
        <v>33.389413153894701</v>
      </c>
      <c r="H37" s="25">
        <v>1964</v>
      </c>
      <c r="I37" s="1">
        <f>VLOOKUP('comite 1'!$C$4,prevision1!$A$1:$BG$28,MATCH(H37,$A$1:$BG$1,0),FALSE)</f>
        <v>33.389413153894701</v>
      </c>
    </row>
    <row r="38" spans="2:9" x14ac:dyDescent="0.25">
      <c r="B38" s="25">
        <v>1965</v>
      </c>
      <c r="C38" s="1">
        <f>VLOOKUP(Indicateur1!$K$6,prevision1!$A$1:$BG$28,MATCH(B38,$A$1:$BG$1,0),FALSE)</f>
        <v>31.397315206878599</v>
      </c>
      <c r="H38" s="25">
        <v>1965</v>
      </c>
      <c r="I38" s="1">
        <f>VLOOKUP('comite 1'!$C$4,prevision1!$A$1:$BG$28,MATCH(H38,$A$1:$BG$1,0),FALSE)</f>
        <v>31.397315206878599</v>
      </c>
    </row>
    <row r="39" spans="2:9" x14ac:dyDescent="0.25">
      <c r="B39" s="25">
        <v>1966</v>
      </c>
      <c r="C39" s="1">
        <f>VLOOKUP(Indicateur1!$K$6,prevision1!$A$1:$BG$28,MATCH(B39,$A$1:$BG$1,0),FALSE)</f>
        <v>32.411633516273902</v>
      </c>
      <c r="H39" s="25">
        <v>1966</v>
      </c>
      <c r="I39" s="1">
        <f>VLOOKUP('comite 1'!$C$4,prevision1!$A$1:$BG$28,MATCH(H39,$A$1:$BG$1,0),FALSE)</f>
        <v>32.411633516273902</v>
      </c>
    </row>
    <row r="40" spans="2:9" x14ac:dyDescent="0.25">
      <c r="B40" s="25">
        <v>1967</v>
      </c>
      <c r="C40" s="1">
        <f>VLOOKUP(Indicateur1!$K$6,prevision1!$A$1:$BG$28,MATCH(B40,$A$1:$BG$1,0),FALSE)</f>
        <v>28.464334393457499</v>
      </c>
      <c r="H40" s="25">
        <v>1967</v>
      </c>
      <c r="I40" s="1">
        <f>VLOOKUP('comite 1'!$C$4,prevision1!$A$1:$BG$28,MATCH(H40,$A$1:$BG$1,0),FALSE)</f>
        <v>28.464334393457499</v>
      </c>
    </row>
    <row r="41" spans="2:9" x14ac:dyDescent="0.25">
      <c r="B41" s="25">
        <v>1968</v>
      </c>
      <c r="C41" s="1">
        <f>VLOOKUP(Indicateur1!$K$6,prevision1!$A$1:$BG$28,MATCH(B41,$A$1:$BG$1,0),FALSE)</f>
        <v>29.4008110568567</v>
      </c>
      <c r="H41" s="25">
        <v>1968</v>
      </c>
      <c r="I41" s="1">
        <f>VLOOKUP('comite 1'!$C$4,prevision1!$A$1:$BG$28,MATCH(H41,$A$1:$BG$1,0),FALSE)</f>
        <v>29.4008110568567</v>
      </c>
    </row>
    <row r="42" spans="2:9" x14ac:dyDescent="0.25">
      <c r="B42" s="25">
        <v>1969</v>
      </c>
      <c r="C42" s="1">
        <f>VLOOKUP(Indicateur1!$K$6,prevision1!$A$1:$BG$28,MATCH(B42,$A$1:$BG$1,0),FALSE)</f>
        <v>29.5286550830373</v>
      </c>
      <c r="H42" s="25">
        <v>1969</v>
      </c>
      <c r="I42" s="1">
        <f>VLOOKUP('comite 1'!$C$4,prevision1!$A$1:$BG$28,MATCH(H42,$A$1:$BG$1,0),FALSE)</f>
        <v>29.5286550830373</v>
      </c>
    </row>
    <row r="43" spans="2:9" x14ac:dyDescent="0.25">
      <c r="B43" s="25">
        <v>1970</v>
      </c>
      <c r="C43" s="1">
        <f>VLOOKUP(Indicateur1!$K$6,prevision1!$A$1:$BG$28,MATCH(B43,$A$1:$BG$1,0),FALSE)</f>
        <v>29.825725561415201</v>
      </c>
      <c r="H43" s="25">
        <v>1970</v>
      </c>
      <c r="I43" s="1">
        <f>VLOOKUP('comite 1'!$C$4,prevision1!$A$1:$BG$28,MATCH(H43,$A$1:$BG$1,0),FALSE)</f>
        <v>29.825725561415201</v>
      </c>
    </row>
    <row r="44" spans="2:9" x14ac:dyDescent="0.25">
      <c r="B44" s="25">
        <v>1971</v>
      </c>
      <c r="C44" s="1">
        <f>VLOOKUP(Indicateur1!$K$6,prevision1!$A$1:$BG$28,MATCH(B44,$A$1:$BG$1,0),FALSE)</f>
        <v>28.639355102812001</v>
      </c>
      <c r="H44" s="25">
        <v>1971</v>
      </c>
      <c r="I44" s="1">
        <f>VLOOKUP('comite 1'!$C$4,prevision1!$A$1:$BG$28,MATCH(H44,$A$1:$BG$1,0),FALSE)</f>
        <v>28.639355102812001</v>
      </c>
    </row>
    <row r="45" spans="2:9" x14ac:dyDescent="0.25">
      <c r="B45" s="25">
        <v>1972</v>
      </c>
      <c r="C45" s="1">
        <f>VLOOKUP(Indicateur1!$K$6,prevision1!$A$1:$BG$28,MATCH(B45,$A$1:$BG$1,0),FALSE)</f>
        <v>26.5878288599522</v>
      </c>
      <c r="H45" s="25">
        <v>1972</v>
      </c>
      <c r="I45" s="1">
        <f>VLOOKUP('comite 1'!$C$4,prevision1!$A$1:$BG$28,MATCH(H45,$A$1:$BG$1,0),FALSE)</f>
        <v>26.5878288599522</v>
      </c>
    </row>
    <row r="46" spans="2:9" x14ac:dyDescent="0.25">
      <c r="B46" s="25">
        <v>1973</v>
      </c>
      <c r="C46" s="1">
        <f>VLOOKUP(Indicateur1!$K$6,prevision1!$A$1:$BG$28,MATCH(B46,$A$1:$BG$1,0),FALSE)</f>
        <v>27.393834680632999</v>
      </c>
      <c r="H46" s="25">
        <v>1973</v>
      </c>
      <c r="I46" s="1">
        <f>VLOOKUP('comite 1'!$C$4,prevision1!$A$1:$BG$28,MATCH(H46,$A$1:$BG$1,0),FALSE)</f>
        <v>27.393834680632999</v>
      </c>
    </row>
    <row r="47" spans="2:9" x14ac:dyDescent="0.25">
      <c r="B47" s="25">
        <v>1974</v>
      </c>
      <c r="C47" s="1">
        <f>VLOOKUP(Indicateur1!$K$6,prevision1!$A$1:$BG$28,MATCH(B47,$A$1:$BG$1,0),FALSE)</f>
        <v>33.675883850287498</v>
      </c>
      <c r="H47" s="25">
        <v>1974</v>
      </c>
      <c r="I47" s="1">
        <f>VLOOKUP('comite 1'!$C$4,prevision1!$A$1:$BG$28,MATCH(H47,$A$1:$BG$1,0),FALSE)</f>
        <v>33.675883850287498</v>
      </c>
    </row>
    <row r="48" spans="2:9" x14ac:dyDescent="0.25">
      <c r="B48" s="25">
        <v>1975</v>
      </c>
      <c r="C48" s="1">
        <f>VLOOKUP(Indicateur1!$K$6,prevision1!$A$1:$BG$28,MATCH(B48,$A$1:$BG$1,0),FALSE)</f>
        <v>29.823685969750201</v>
      </c>
      <c r="H48" s="25">
        <v>1975</v>
      </c>
      <c r="I48" s="1">
        <f>VLOOKUP('comite 1'!$C$4,prevision1!$A$1:$BG$28,MATCH(H48,$A$1:$BG$1,0),FALSE)</f>
        <v>29.823685969750201</v>
      </c>
    </row>
    <row r="49" spans="2:9" x14ac:dyDescent="0.25">
      <c r="B49" s="25">
        <v>1976</v>
      </c>
      <c r="C49" s="1">
        <f>VLOOKUP(Indicateur1!$K$6,prevision1!$A$1:$BG$28,MATCH(B49,$A$1:$BG$1,0),FALSE)</f>
        <v>32.450471243808501</v>
      </c>
      <c r="H49" s="25">
        <v>1976</v>
      </c>
      <c r="I49" s="1">
        <f>VLOOKUP('comite 1'!$C$4,prevision1!$A$1:$BG$28,MATCH(H49,$A$1:$BG$1,0),FALSE)</f>
        <v>32.450471243808501</v>
      </c>
    </row>
    <row r="50" spans="2:9" x14ac:dyDescent="0.25">
      <c r="B50" s="25">
        <v>1977</v>
      </c>
      <c r="C50" s="1">
        <f>VLOOKUP(Indicateur1!$K$6,prevision1!$A$1:$BG$28,MATCH(B50,$A$1:$BG$1,0),FALSE)</f>
        <v>34.958868756384803</v>
      </c>
      <c r="H50" s="25">
        <v>1977</v>
      </c>
      <c r="I50" s="1">
        <f>VLOOKUP('comite 1'!$C$4,prevision1!$A$1:$BG$28,MATCH(H50,$A$1:$BG$1,0),FALSE)</f>
        <v>34.958868756384803</v>
      </c>
    </row>
    <row r="51" spans="2:9" x14ac:dyDescent="0.25">
      <c r="B51" s="25">
        <v>1978</v>
      </c>
      <c r="C51" s="1">
        <f>VLOOKUP(Indicateur1!$K$6,prevision1!$A$1:$BG$28,MATCH(B51,$A$1:$BG$1,0),FALSE)</f>
        <v>28.935518336561401</v>
      </c>
      <c r="H51" s="25">
        <v>1978</v>
      </c>
      <c r="I51" s="1">
        <f>VLOOKUP('comite 1'!$C$4,prevision1!$A$1:$BG$28,MATCH(H51,$A$1:$BG$1,0),FALSE)</f>
        <v>28.935518336561401</v>
      </c>
    </row>
    <row r="52" spans="2:9" x14ac:dyDescent="0.25">
      <c r="B52" s="25">
        <v>1979</v>
      </c>
      <c r="C52" s="1">
        <f>VLOOKUP(Indicateur1!$K$6,prevision1!$A$1:$BG$28,MATCH(B52,$A$1:$BG$1,0),FALSE)</f>
        <v>25.753154235687902</v>
      </c>
      <c r="H52" s="25">
        <v>1979</v>
      </c>
      <c r="I52" s="1">
        <f>VLOOKUP('comite 1'!$C$4,prevision1!$A$1:$BG$28,MATCH(H52,$A$1:$BG$1,0),FALSE)</f>
        <v>25.753154235687902</v>
      </c>
    </row>
    <row r="53" spans="2:9" x14ac:dyDescent="0.25">
      <c r="B53" s="25">
        <v>1980</v>
      </c>
      <c r="C53" s="1">
        <f>VLOOKUP(Indicateur1!$K$6,prevision1!$A$1:$BG$28,MATCH(B53,$A$1:$BG$1,0),FALSE)</f>
        <v>29.516964217512001</v>
      </c>
      <c r="H53" s="25">
        <v>1980</v>
      </c>
      <c r="I53" s="1">
        <f>VLOOKUP('comite 1'!$C$4,prevision1!$A$1:$BG$28,MATCH(H53,$A$1:$BG$1,0),FALSE)</f>
        <v>29.516964217512001</v>
      </c>
    </row>
    <row r="54" spans="2:9" x14ac:dyDescent="0.25">
      <c r="B54" s="25">
        <v>1981</v>
      </c>
      <c r="C54" s="1">
        <f>VLOOKUP(Indicateur1!$K$6,prevision1!$A$1:$BG$28,MATCH(B54,$A$1:$BG$1,0),FALSE)</f>
        <v>30.4598813209494</v>
      </c>
      <c r="H54" s="25">
        <v>1981</v>
      </c>
      <c r="I54" s="1">
        <f>VLOOKUP('comite 1'!$C$4,prevision1!$A$1:$BG$28,MATCH(H54,$A$1:$BG$1,0),FALSE)</f>
        <v>30.4598813209494</v>
      </c>
    </row>
    <row r="55" spans="2:9" x14ac:dyDescent="0.25">
      <c r="B55" s="25">
        <v>1982</v>
      </c>
      <c r="C55" s="1">
        <f>VLOOKUP(Indicateur1!$K$6,prevision1!$A$1:$BG$28,MATCH(B55,$A$1:$BG$1,0),FALSE)</f>
        <v>26.657465998935201</v>
      </c>
      <c r="H55" s="25">
        <v>1982</v>
      </c>
      <c r="I55" s="1">
        <f>VLOOKUP('comite 1'!$C$4,prevision1!$A$1:$BG$28,MATCH(H55,$A$1:$BG$1,0),FALSE)</f>
        <v>26.657465998935201</v>
      </c>
    </row>
    <row r="56" spans="2:9" x14ac:dyDescent="0.25">
      <c r="B56" s="25">
        <v>1983</v>
      </c>
      <c r="C56" s="1">
        <f>VLOOKUP(Indicateur1!$K$6,prevision1!$A$1:$BG$28,MATCH(B56,$A$1:$BG$1,0),FALSE)</f>
        <v>25.949932405436702</v>
      </c>
      <c r="H56" s="25">
        <v>1983</v>
      </c>
      <c r="I56" s="1">
        <f>VLOOKUP('comite 1'!$C$4,prevision1!$A$1:$BG$28,MATCH(H56,$A$1:$BG$1,0),FALSE)</f>
        <v>25.949932405436702</v>
      </c>
    </row>
    <row r="57" spans="2:9" x14ac:dyDescent="0.25">
      <c r="B57" s="25">
        <v>1984</v>
      </c>
      <c r="C57" s="1">
        <f>VLOOKUP(Indicateur1!$K$6,prevision1!$A$1:$BG$28,MATCH(B57,$A$1:$BG$1,0),FALSE)</f>
        <v>26.749892652163901</v>
      </c>
      <c r="H57" s="25">
        <v>1984</v>
      </c>
      <c r="I57" s="1">
        <f>VLOOKUP('comite 1'!$C$4,prevision1!$A$1:$BG$28,MATCH(H57,$A$1:$BG$1,0),FALSE)</f>
        <v>26.749892652163901</v>
      </c>
    </row>
    <row r="58" spans="2:9" x14ac:dyDescent="0.25">
      <c r="B58" s="25">
        <v>1985</v>
      </c>
      <c r="C58" s="1">
        <f>VLOOKUP(Indicateur1!$K$6,prevision1!$A$1:$BG$28,MATCH(B58,$A$1:$BG$1,0),FALSE)</f>
        <v>25.2989329600959</v>
      </c>
      <c r="H58" s="25">
        <v>1985</v>
      </c>
      <c r="I58" s="1">
        <f>VLOOKUP('comite 1'!$C$4,prevision1!$A$1:$BG$28,MATCH(H58,$A$1:$BG$1,0),FALSE)</f>
        <v>25.2989329600959</v>
      </c>
    </row>
    <row r="59" spans="2:9" x14ac:dyDescent="0.25">
      <c r="B59" s="25">
        <v>1986</v>
      </c>
      <c r="C59" s="1">
        <f>VLOOKUP(Indicateur1!$K$6,prevision1!$A$1:$BG$28,MATCH(B59,$A$1:$BG$1,0),FALSE)</f>
        <v>25.848355272679601</v>
      </c>
      <c r="H59" s="25">
        <v>1986</v>
      </c>
      <c r="I59" s="1">
        <f>VLOOKUP('comite 1'!$C$4,prevision1!$A$1:$BG$28,MATCH(H59,$A$1:$BG$1,0),FALSE)</f>
        <v>25.848355272679601</v>
      </c>
    </row>
    <row r="60" spans="2:9" x14ac:dyDescent="0.25">
      <c r="B60" s="25">
        <v>1987</v>
      </c>
      <c r="C60" s="1">
        <f>VLOOKUP(Indicateur1!$K$6,prevision1!$A$1:$BG$28,MATCH(B60,$A$1:$BG$1,0),FALSE)</f>
        <v>21.305221347435602</v>
      </c>
      <c r="H60" s="25">
        <v>1987</v>
      </c>
      <c r="I60" s="1">
        <f>VLOOKUP('comite 1'!$C$4,prevision1!$A$1:$BG$28,MATCH(H60,$A$1:$BG$1,0),FALSE)</f>
        <v>21.305221347435602</v>
      </c>
    </row>
    <row r="61" spans="2:9" x14ac:dyDescent="0.25">
      <c r="B61" s="25">
        <v>1988</v>
      </c>
      <c r="C61" s="1">
        <f>VLOOKUP(Indicateur1!$K$6,prevision1!$A$1:$BG$28,MATCH(B61,$A$1:$BG$1,0),FALSE)</f>
        <v>22.3712135609168</v>
      </c>
      <c r="H61" s="25">
        <v>1988</v>
      </c>
      <c r="I61" s="1">
        <f>VLOOKUP('comite 1'!$C$4,prevision1!$A$1:$BG$28,MATCH(H61,$A$1:$BG$1,0),FALSE)</f>
        <v>22.3712135609168</v>
      </c>
    </row>
    <row r="62" spans="2:9" x14ac:dyDescent="0.25">
      <c r="B62" s="25">
        <v>1989</v>
      </c>
      <c r="C62" s="1">
        <f>VLOOKUP(Indicateur1!$K$6,prevision1!$A$1:$BG$28,MATCH(B62,$A$1:$BG$1,0),FALSE)</f>
        <v>23.0330294282825</v>
      </c>
      <c r="H62" s="25">
        <v>1989</v>
      </c>
      <c r="I62" s="1">
        <f>VLOOKUP('comite 1'!$C$4,prevision1!$A$1:$BG$28,MATCH(H62,$A$1:$BG$1,0),FALSE)</f>
        <v>23.0330294282825</v>
      </c>
    </row>
    <row r="63" spans="2:9" x14ac:dyDescent="0.25">
      <c r="B63" s="25">
        <v>1990</v>
      </c>
      <c r="C63" s="1">
        <f>VLOOKUP(Indicateur1!$K$6,prevision1!$A$1:$BG$28,MATCH(B63,$A$1:$BG$1,0),FALSE)</f>
        <v>25.692605964936401</v>
      </c>
      <c r="H63" s="25">
        <v>1990</v>
      </c>
      <c r="I63" s="1">
        <f>VLOOKUP('comite 1'!$C$4,prevision1!$A$1:$BG$28,MATCH(H63,$A$1:$BG$1,0),FALSE)</f>
        <v>25.692605964936401</v>
      </c>
    </row>
    <row r="64" spans="2:9" x14ac:dyDescent="0.25">
      <c r="B64" s="25">
        <v>1991</v>
      </c>
      <c r="C64" s="1">
        <f>VLOOKUP(Indicateur1!$K$6,prevision1!$A$1:$BG$28,MATCH(B64,$A$1:$BG$1,0),FALSE)</f>
        <v>27.0416323240194</v>
      </c>
      <c r="H64" s="25">
        <v>1991</v>
      </c>
      <c r="I64" s="1">
        <f>VLOOKUP('comite 1'!$C$4,prevision1!$A$1:$BG$28,MATCH(H64,$A$1:$BG$1,0),FALSE)</f>
        <v>27.0416323240194</v>
      </c>
    </row>
    <row r="65" spans="2:9" x14ac:dyDescent="0.25">
      <c r="B65" s="25">
        <v>1992</v>
      </c>
      <c r="C65" s="1">
        <f>VLOOKUP(Indicateur1!$K$6,prevision1!$A$1:$BG$28,MATCH(B65,$A$1:$BG$1,0),FALSE)</f>
        <v>26.260374190635101</v>
      </c>
      <c r="H65" s="25">
        <v>1992</v>
      </c>
      <c r="I65" s="1">
        <f>VLOOKUP('comite 1'!$C$4,prevision1!$A$1:$BG$28,MATCH(H65,$A$1:$BG$1,0),FALSE)</f>
        <v>26.260374190635101</v>
      </c>
    </row>
    <row r="66" spans="2:9" x14ac:dyDescent="0.25">
      <c r="B66" s="25">
        <v>1993</v>
      </c>
      <c r="C66" s="1">
        <f>VLOOKUP(Indicateur1!$K$6,prevision1!$A$1:$BG$28,MATCH(B66,$A$1:$BG$1,0),FALSE)</f>
        <v>38.903630169804202</v>
      </c>
      <c r="H66" s="25">
        <v>1993</v>
      </c>
      <c r="I66" s="1">
        <f>VLOOKUP('comite 1'!$C$4,prevision1!$A$1:$BG$28,MATCH(H66,$A$1:$BG$1,0),FALSE)</f>
        <v>38.903630169804202</v>
      </c>
    </row>
    <row r="67" spans="2:9" x14ac:dyDescent="0.25">
      <c r="B67" s="25">
        <v>1994</v>
      </c>
      <c r="C67" s="1">
        <f>VLOOKUP(Indicateur1!$K$6,prevision1!$A$1:$BG$28,MATCH(B67,$A$1:$BG$1,0),FALSE)</f>
        <v>37.0402808384151</v>
      </c>
      <c r="H67" s="25">
        <v>1994</v>
      </c>
      <c r="I67" s="1">
        <f>VLOOKUP('comite 1'!$C$4,prevision1!$A$1:$BG$28,MATCH(H67,$A$1:$BG$1,0),FALSE)</f>
        <v>37.0402808384151</v>
      </c>
    </row>
    <row r="68" spans="2:9" x14ac:dyDescent="0.25">
      <c r="B68" s="25">
        <v>1995</v>
      </c>
      <c r="C68" s="1">
        <f>VLOOKUP(Indicateur1!$K$6,prevision1!$A$1:$BG$28,MATCH(B68,$A$1:$BG$1,0),FALSE)</f>
        <v>32.5917012190029</v>
      </c>
      <c r="H68" s="25">
        <v>1995</v>
      </c>
      <c r="I68" s="1">
        <f>VLOOKUP('comite 1'!$C$4,prevision1!$A$1:$BG$28,MATCH(H68,$A$1:$BG$1,0),FALSE)</f>
        <v>32.5917012190029</v>
      </c>
    </row>
    <row r="69" spans="2:9" x14ac:dyDescent="0.25">
      <c r="B69" s="25">
        <v>1996</v>
      </c>
      <c r="C69" s="1">
        <f>VLOOKUP(Indicateur1!$K$6,prevision1!$A$1:$BG$28,MATCH(B69,$A$1:$BG$1,0),FALSE)</f>
        <v>25.2006019494243</v>
      </c>
      <c r="H69" s="25">
        <v>1996</v>
      </c>
      <c r="I69" s="1">
        <f>VLOOKUP('comite 1'!$C$4,prevision1!$A$1:$BG$28,MATCH(H69,$A$1:$BG$1,0),FALSE)</f>
        <v>25.2006019494243</v>
      </c>
    </row>
    <row r="70" spans="2:9" x14ac:dyDescent="0.25">
      <c r="B70" s="25">
        <v>1997</v>
      </c>
      <c r="C70" s="1">
        <f>VLOOKUP(Indicateur1!$K$6,prevision1!$A$1:$BG$28,MATCH(B70,$A$1:$BG$1,0),FALSE)</f>
        <v>22.686387351634998</v>
      </c>
      <c r="H70" s="25">
        <v>1997</v>
      </c>
      <c r="I70" s="1">
        <f>VLOOKUP('comite 1'!$C$4,prevision1!$A$1:$BG$28,MATCH(H70,$A$1:$BG$1,0),FALSE)</f>
        <v>22.686387351634998</v>
      </c>
    </row>
    <row r="71" spans="2:9" x14ac:dyDescent="0.25">
      <c r="B71" s="25">
        <v>1998</v>
      </c>
      <c r="C71" s="1">
        <f>VLOOKUP(Indicateur1!$K$6,prevision1!$A$1:$BG$28,MATCH(B71,$A$1:$BG$1,0),FALSE)</f>
        <v>20.1692608275285</v>
      </c>
      <c r="H71" s="25">
        <v>1998</v>
      </c>
      <c r="I71" s="1">
        <f>VLOOKUP('comite 1'!$C$4,prevision1!$A$1:$BG$28,MATCH(H71,$A$1:$BG$1,0),FALSE)</f>
        <v>20.1692608275285</v>
      </c>
    </row>
    <row r="72" spans="2:9" x14ac:dyDescent="0.25">
      <c r="B72" s="25">
        <v>1999</v>
      </c>
      <c r="C72" s="1">
        <f>VLOOKUP(Indicateur1!$K$6,prevision1!$A$1:$BG$28,MATCH(B72,$A$1:$BG$1,0),FALSE)</f>
        <v>20.8327351985075</v>
      </c>
      <c r="H72" s="25">
        <v>1999</v>
      </c>
      <c r="I72" s="1">
        <f>VLOOKUP('comite 1'!$C$4,prevision1!$A$1:$BG$28,MATCH(H72,$A$1:$BG$1,0),FALSE)</f>
        <v>20.8327351985075</v>
      </c>
    </row>
    <row r="73" spans="2:9" x14ac:dyDescent="0.25">
      <c r="B73" s="25">
        <v>2000</v>
      </c>
      <c r="C73" s="1">
        <f>VLOOKUP(Indicateur1!$K$6,prevision1!$A$1:$BG$28,MATCH(B73,$A$1:$BG$1,0),FALSE)</f>
        <v>21.587571141762499</v>
      </c>
      <c r="H73" s="25">
        <v>2000</v>
      </c>
      <c r="I73" s="1">
        <f>VLOOKUP('comite 1'!$C$4,prevision1!$A$1:$BG$28,MATCH(H73,$A$1:$BG$1,0),FALSE)</f>
        <v>21.587571141762499</v>
      </c>
    </row>
    <row r="74" spans="2:9" x14ac:dyDescent="0.25">
      <c r="B74" s="25">
        <v>2001</v>
      </c>
      <c r="C74" s="1">
        <f>VLOOKUP(Indicateur1!$K$6,prevision1!$A$1:$BG$28,MATCH(B74,$A$1:$BG$1,0),FALSE)</f>
        <v>22.931576364336699</v>
      </c>
      <c r="H74" s="25">
        <v>2001</v>
      </c>
      <c r="I74" s="1">
        <f>VLOOKUP('comite 1'!$C$4,prevision1!$A$1:$BG$28,MATCH(H74,$A$1:$BG$1,0),FALSE)</f>
        <v>22.931576364336699</v>
      </c>
    </row>
    <row r="75" spans="2:9" x14ac:dyDescent="0.25">
      <c r="B75" s="25">
        <v>2002</v>
      </c>
      <c r="C75" s="1">
        <f>VLOOKUP(Indicateur1!$K$6,prevision1!$A$1:$BG$28,MATCH(B75,$A$1:$BG$1,0),FALSE)</f>
        <v>24.897972614700201</v>
      </c>
      <c r="H75" s="25">
        <v>2002</v>
      </c>
      <c r="I75" s="1">
        <f>VLOOKUP('comite 1'!$C$4,prevision1!$A$1:$BG$28,MATCH(H75,$A$1:$BG$1,0),FALSE)</f>
        <v>24.897972614700201</v>
      </c>
    </row>
    <row r="76" spans="2:9" x14ac:dyDescent="0.25">
      <c r="B76" s="25">
        <v>2003</v>
      </c>
      <c r="C76" s="1">
        <f>VLOOKUP(Indicateur1!$K$6,prevision1!$A$1:$BG$28,MATCH(B76,$A$1:$BG$1,0),FALSE)</f>
        <v>24.086815305420998</v>
      </c>
      <c r="H76" s="25">
        <v>2003</v>
      </c>
      <c r="I76" s="1">
        <f>VLOOKUP('comite 1'!$C$4,prevision1!$A$1:$BG$28,MATCH(H76,$A$1:$BG$1,0),FALSE)</f>
        <v>24.086815305420998</v>
      </c>
    </row>
    <row r="77" spans="2:9" x14ac:dyDescent="0.25">
      <c r="B77" s="25">
        <v>2004</v>
      </c>
      <c r="C77" s="1">
        <f>VLOOKUP(Indicateur1!$K$6,prevision1!$A$1:$BG$28,MATCH(B77,$A$1:$BG$1,0),FALSE)</f>
        <v>26.610258575297301</v>
      </c>
      <c r="H77" s="25">
        <v>2004</v>
      </c>
      <c r="I77" s="1">
        <f>VLOOKUP('comite 1'!$C$4,prevision1!$A$1:$BG$28,MATCH(H77,$A$1:$BG$1,0),FALSE)</f>
        <v>26.610258575297301</v>
      </c>
    </row>
    <row r="78" spans="2:9" x14ac:dyDescent="0.25">
      <c r="B78" s="25">
        <v>2005</v>
      </c>
      <c r="C78" s="1">
        <f>VLOOKUP(Indicateur1!$K$6,prevision1!$A$1:$BG$28,MATCH(B78,$A$1:$BG$1,0),FALSE)</f>
        <v>28.5090302142012</v>
      </c>
      <c r="H78" s="25">
        <v>2005</v>
      </c>
      <c r="I78" s="1">
        <f>VLOOKUP('comite 1'!$C$4,prevision1!$A$1:$BG$28,MATCH(H78,$A$1:$BG$1,0),FALSE)</f>
        <v>28.5090302142012</v>
      </c>
    </row>
    <row r="79" spans="2:9" x14ac:dyDescent="0.25">
      <c r="B79" s="25">
        <v>2006</v>
      </c>
      <c r="C79" s="1">
        <f>VLOOKUP(Indicateur1!$K$6,prevision1!$A$1:$BG$28,MATCH(B79,$A$1:$BG$1,0),FALSE)</f>
        <v>22.984939644186099</v>
      </c>
      <c r="H79" s="25">
        <v>2006</v>
      </c>
      <c r="I79" s="1">
        <f>VLOOKUP('comite 1'!$C$4,prevision1!$A$1:$BG$28,MATCH(H79,$A$1:$BG$1,0),FALSE)</f>
        <v>22.984939644186099</v>
      </c>
    </row>
    <row r="80" spans="2:9" x14ac:dyDescent="0.25">
      <c r="B80" s="25">
        <v>2007</v>
      </c>
      <c r="C80" s="1">
        <f>VLOOKUP(Indicateur1!$K$6,prevision1!$A$1:$BG$28,MATCH(B80,$A$1:$BG$1,0),FALSE)</f>
        <v>21.918991293369899</v>
      </c>
      <c r="H80" s="25">
        <v>2007</v>
      </c>
      <c r="I80" s="1">
        <f>VLOOKUP('comite 1'!$C$4,prevision1!$A$1:$BG$28,MATCH(H80,$A$1:$BG$1,0),FALSE)</f>
        <v>21.918991293369899</v>
      </c>
    </row>
    <row r="81" spans="2:10" x14ac:dyDescent="0.25">
      <c r="B81" s="25">
        <v>2008</v>
      </c>
      <c r="C81" s="1">
        <f>VLOOKUP(Indicateur1!$K$6,prevision1!$A$1:$BG$28,MATCH(B81,$A$1:$BG$1,0),FALSE)</f>
        <v>22.674057553226699</v>
      </c>
      <c r="H81" s="25">
        <v>2008</v>
      </c>
      <c r="I81" s="1">
        <f>VLOOKUP('comite 1'!$C$4,prevision1!$A$1:$BG$28,MATCH(H81,$A$1:$BG$1,0),FALSE)</f>
        <v>22.674057553226699</v>
      </c>
    </row>
    <row r="82" spans="2:10" x14ac:dyDescent="0.25">
      <c r="B82" s="25">
        <v>2009</v>
      </c>
      <c r="C82" s="1">
        <f>VLOOKUP(Indicateur1!$K$6,prevision1!$A$1:$BG$28,MATCH(B82,$A$1:$BG$1,0),FALSE)</f>
        <v>20.032629252907402</v>
      </c>
      <c r="H82" s="25">
        <v>2009</v>
      </c>
      <c r="I82" s="1">
        <f>VLOOKUP('comite 1'!$C$4,prevision1!$A$1:$BG$28,MATCH(H82,$A$1:$BG$1,0),FALSE)</f>
        <v>20.032629252907402</v>
      </c>
    </row>
    <row r="83" spans="2:10" x14ac:dyDescent="0.25">
      <c r="B83" s="25">
        <v>2010</v>
      </c>
      <c r="C83" s="1">
        <f>VLOOKUP(Indicateur1!$K$6,prevision1!$A$1:$BG$28,MATCH(B83,$A$1:$BG$1,0),FALSE)</f>
        <v>20.656983247274301</v>
      </c>
      <c r="H83" s="25">
        <v>2010</v>
      </c>
      <c r="I83" s="1">
        <f>VLOOKUP('comite 1'!$C$4,prevision1!$A$1:$BG$28,MATCH(H83,$A$1:$BG$1,0),FALSE)</f>
        <v>20.656983247274301</v>
      </c>
    </row>
    <row r="84" spans="2:10" x14ac:dyDescent="0.25">
      <c r="B84" s="25">
        <v>2011</v>
      </c>
      <c r="C84" s="1">
        <f>VLOOKUP(Indicateur1!$K$6,prevision1!$A$1:$BG$28,MATCH(B84,$A$1:$BG$1,0),FALSE)</f>
        <v>21.625194710111401</v>
      </c>
      <c r="H84" s="25">
        <v>2011</v>
      </c>
      <c r="I84" s="1">
        <f>VLOOKUP('comite 1'!$C$4,prevision1!$A$1:$BG$28,MATCH(H84,$A$1:$BG$1,0),FALSE)</f>
        <v>21.625194710111401</v>
      </c>
    </row>
    <row r="85" spans="2:10" x14ac:dyDescent="0.25">
      <c r="B85" s="25">
        <v>2012</v>
      </c>
      <c r="C85" s="1">
        <f>VLOOKUP(Indicateur1!$K$6,prevision1!$A$1:$BG$28,MATCH(B85,$A$1:$BG$1,0),FALSE)</f>
        <v>22.261822198698301</v>
      </c>
      <c r="H85" s="25">
        <v>2012</v>
      </c>
      <c r="I85" s="1">
        <f>VLOOKUP('comite 1'!$C$4,prevision1!$A$1:$BG$28,MATCH(H85,$A$1:$BG$1,0),FALSE)</f>
        <v>22.261822198698301</v>
      </c>
    </row>
    <row r="86" spans="2:10" x14ac:dyDescent="0.25">
      <c r="B86" s="25">
        <v>2013</v>
      </c>
      <c r="C86" s="1">
        <f>VLOOKUP(Indicateur1!$K$6,prevision1!$A$1:$BG$28,MATCH(B86,$A$1:$BG$1,0),FALSE)</f>
        <v>19.9253882154437</v>
      </c>
      <c r="H86" s="25">
        <v>2013</v>
      </c>
      <c r="I86" s="1">
        <f>VLOOKUP('comite 1'!$C$4,prevision1!$A$1:$BG$28,MATCH(H86,$A$1:$BG$1,0),FALSE)</f>
        <v>19.9253882154437</v>
      </c>
    </row>
    <row r="87" spans="2:10" x14ac:dyDescent="0.25">
      <c r="B87" s="25">
        <v>2014</v>
      </c>
      <c r="C87" s="1">
        <f>VLOOKUP(Indicateur1!$K$6,prevision1!$A$1:$BG$28,MATCH(B87,$A$1:$BG$1,0),FALSE)</f>
        <v>18.296980919547899</v>
      </c>
      <c r="H87" s="25">
        <v>2014</v>
      </c>
      <c r="I87" s="1">
        <f>VLOOKUP('comite 1'!$C$4,prevision1!$A$1:$BG$28,MATCH(H87,$A$1:$BG$1,0),FALSE)</f>
        <v>18.296980919547899</v>
      </c>
    </row>
    <row r="88" spans="2:10" x14ac:dyDescent="0.25">
      <c r="B88" s="25">
        <v>2015</v>
      </c>
      <c r="C88" s="1">
        <f>VLOOKUP(Indicateur1!$K$6,prevision1!$A$1:$BG$28,MATCH(B88,$A$1:$BG$1,0),FALSE)</f>
        <v>16.592443318291</v>
      </c>
      <c r="H88" s="25">
        <v>2015</v>
      </c>
      <c r="I88" s="1">
        <f>VLOOKUP('comite 1'!$C$4,prevision1!$A$1:$BG$28,MATCH(H88,$A$1:$BG$1,0),FALSE)</f>
        <v>16.592443318291</v>
      </c>
    </row>
    <row r="89" spans="2:10" x14ac:dyDescent="0.25">
      <c r="B89" s="25">
        <v>2016</v>
      </c>
      <c r="C89" s="1">
        <f>VLOOKUP(Indicateur1!$K$6,prevision1!$A$1:$BG$28,MATCH(B89,$A$1:$BG$1,0),FALSE)</f>
        <v>13.971218534802899</v>
      </c>
      <c r="H89" s="25">
        <v>2016</v>
      </c>
      <c r="I89" s="1">
        <f>VLOOKUP('comite 1'!$C$4,prevision1!$A$1:$BG$28,MATCH(H89,$A$1:$BG$1,0),FALSE)</f>
        <v>13.971218534802899</v>
      </c>
    </row>
    <row r="90" spans="2:10" x14ac:dyDescent="0.25">
      <c r="B90" s="25">
        <v>2017</v>
      </c>
      <c r="C90" s="1">
        <f>VLOOKUP(Indicateur1!$K$6,prevision1!$A$1:$BG$28,MATCH(B90,$A$1:$BG$1,0),FALSE)</f>
        <v>13.931212921092699</v>
      </c>
      <c r="D90" s="1">
        <f>C90</f>
        <v>13.931212921092699</v>
      </c>
      <c r="H90" s="25">
        <v>2017</v>
      </c>
      <c r="I90" s="1">
        <f>VLOOKUP('comite 1'!$C$4,prevision1!$A$1:$BG$28,MATCH(H90,$A$1:$BG$1,0),FALSE)</f>
        <v>13.931212921092699</v>
      </c>
      <c r="J90" s="1">
        <f>I90</f>
        <v>13.931212921092699</v>
      </c>
    </row>
    <row r="91" spans="2:10" x14ac:dyDescent="0.25">
      <c r="B91" s="25">
        <v>2018</v>
      </c>
      <c r="D91" s="1">
        <f t="shared" ref="D91:D103" si="0">TREND($C$33:$C$89,$B$33:$B$89,B91)</f>
        <v>19.833145696850693</v>
      </c>
      <c r="H91" s="25">
        <v>2018</v>
      </c>
      <c r="J91" s="1">
        <f>TREND($I$33:$I$89,$H$33:$H$89,H91)</f>
        <v>19.833145696850693</v>
      </c>
    </row>
    <row r="92" spans="2:10" x14ac:dyDescent="0.25">
      <c r="B92" s="25">
        <v>2019</v>
      </c>
      <c r="D92" s="1">
        <f t="shared" si="0"/>
        <v>19.609049305208544</v>
      </c>
      <c r="H92" s="25">
        <v>2019</v>
      </c>
      <c r="J92" s="1">
        <f t="shared" ref="J92:J103" si="1">TREND($I$33:$I$89,$H$33:$H$89,H92)</f>
        <v>19.609049305208544</v>
      </c>
    </row>
    <row r="93" spans="2:10" x14ac:dyDescent="0.25">
      <c r="B93" s="25">
        <v>2020</v>
      </c>
      <c r="D93" s="1">
        <f t="shared" si="0"/>
        <v>19.384952913566394</v>
      </c>
      <c r="H93" s="25">
        <v>2020</v>
      </c>
      <c r="J93" s="1">
        <f t="shared" si="1"/>
        <v>19.384952913566394</v>
      </c>
    </row>
    <row r="94" spans="2:10" x14ac:dyDescent="0.25">
      <c r="B94" s="25">
        <v>2021</v>
      </c>
      <c r="D94" s="1">
        <f t="shared" si="0"/>
        <v>19.160856521924245</v>
      </c>
      <c r="H94" s="25">
        <v>2021</v>
      </c>
      <c r="J94" s="1">
        <f t="shared" si="1"/>
        <v>19.160856521924245</v>
      </c>
    </row>
    <row r="95" spans="2:10" x14ac:dyDescent="0.25">
      <c r="B95" s="25">
        <v>2022</v>
      </c>
      <c r="D95" s="1">
        <f t="shared" si="0"/>
        <v>18.936760130282096</v>
      </c>
      <c r="H95" s="25">
        <v>2022</v>
      </c>
      <c r="J95" s="1">
        <f t="shared" si="1"/>
        <v>18.936760130282096</v>
      </c>
    </row>
    <row r="96" spans="2:10" x14ac:dyDescent="0.25">
      <c r="B96" s="25">
        <v>2023</v>
      </c>
      <c r="D96" s="1">
        <f t="shared" si="0"/>
        <v>18.712663738639947</v>
      </c>
      <c r="H96" s="25">
        <v>2023</v>
      </c>
      <c r="J96" s="1">
        <f t="shared" si="1"/>
        <v>18.712663738639947</v>
      </c>
    </row>
    <row r="97" spans="2:10" x14ac:dyDescent="0.25">
      <c r="B97" s="25">
        <v>2024</v>
      </c>
      <c r="D97" s="1">
        <f t="shared" si="0"/>
        <v>18.488567346997741</v>
      </c>
      <c r="H97" s="25">
        <v>2024</v>
      </c>
      <c r="J97" s="1">
        <f t="shared" si="1"/>
        <v>18.488567346997741</v>
      </c>
    </row>
    <row r="98" spans="2:10" x14ac:dyDescent="0.25">
      <c r="B98" s="25">
        <v>2025</v>
      </c>
      <c r="D98" s="1">
        <f t="shared" si="0"/>
        <v>18.264470955355591</v>
      </c>
      <c r="H98" s="25">
        <v>2025</v>
      </c>
      <c r="J98" s="1">
        <f t="shared" si="1"/>
        <v>18.264470955355591</v>
      </c>
    </row>
    <row r="99" spans="2:10" x14ac:dyDescent="0.25">
      <c r="B99" s="25">
        <v>2026</v>
      </c>
      <c r="D99" s="1">
        <f t="shared" si="0"/>
        <v>18.040374563713442</v>
      </c>
      <c r="H99" s="25">
        <v>2026</v>
      </c>
      <c r="J99" s="1">
        <f t="shared" si="1"/>
        <v>18.040374563713442</v>
      </c>
    </row>
    <row r="100" spans="2:10" x14ac:dyDescent="0.25">
      <c r="B100" s="25">
        <v>2027</v>
      </c>
      <c r="D100" s="1">
        <f t="shared" si="0"/>
        <v>17.816278172071293</v>
      </c>
      <c r="H100" s="25">
        <v>2027</v>
      </c>
      <c r="J100" s="1">
        <f t="shared" si="1"/>
        <v>17.816278172071293</v>
      </c>
    </row>
    <row r="101" spans="2:10" x14ac:dyDescent="0.25">
      <c r="B101" s="25">
        <v>2028</v>
      </c>
      <c r="D101" s="1">
        <f t="shared" si="0"/>
        <v>17.592181780429144</v>
      </c>
      <c r="H101" s="25">
        <v>2028</v>
      </c>
      <c r="J101" s="1">
        <f t="shared" si="1"/>
        <v>17.592181780429144</v>
      </c>
    </row>
    <row r="102" spans="2:10" x14ac:dyDescent="0.25">
      <c r="B102" s="25">
        <v>2029</v>
      </c>
      <c r="D102" s="1">
        <f t="shared" si="0"/>
        <v>17.368085388786994</v>
      </c>
      <c r="H102" s="25">
        <v>2029</v>
      </c>
      <c r="J102" s="1">
        <f t="shared" si="1"/>
        <v>17.368085388786994</v>
      </c>
    </row>
    <row r="103" spans="2:10" x14ac:dyDescent="0.25">
      <c r="B103" s="25">
        <v>2030</v>
      </c>
      <c r="D103" s="1">
        <f t="shared" si="0"/>
        <v>17.143988997144845</v>
      </c>
      <c r="H103" s="25">
        <v>2030</v>
      </c>
      <c r="J103" s="1">
        <f t="shared" si="1"/>
        <v>17.143988997144845</v>
      </c>
    </row>
    <row r="104" spans="2:10" x14ac:dyDescent="0.25">
      <c r="B104" s="25"/>
    </row>
    <row r="105" spans="2:10" x14ac:dyDescent="0.25">
      <c r="B105" s="25"/>
    </row>
  </sheetData>
  <phoneticPr fontId="1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1:BF101"/>
  <sheetViews>
    <sheetView topLeftCell="A65" workbookViewId="0">
      <selection activeCell="D32" sqref="D32:D88"/>
    </sheetView>
  </sheetViews>
  <sheetFormatPr defaultColWidth="8" defaultRowHeight="13.8" x14ac:dyDescent="0.25"/>
  <cols>
    <col min="1" max="5" width="8" style="1"/>
    <col min="6" max="6" width="8" style="1" bestFit="1" customWidth="1"/>
    <col min="7" max="16384" width="8" style="1"/>
  </cols>
  <sheetData>
    <row r="1" spans="1:58" x14ac:dyDescent="0.25">
      <c r="A1" s="27" t="s">
        <v>7</v>
      </c>
      <c r="B1" s="25">
        <v>1961</v>
      </c>
      <c r="C1" s="25">
        <v>1962</v>
      </c>
      <c r="D1" s="25">
        <v>1963</v>
      </c>
      <c r="E1" s="25">
        <v>1964</v>
      </c>
      <c r="F1" s="25">
        <v>1965</v>
      </c>
      <c r="G1" s="25">
        <v>1966</v>
      </c>
      <c r="H1" s="25">
        <v>1967</v>
      </c>
      <c r="I1" s="25">
        <v>1968</v>
      </c>
      <c r="J1" s="25">
        <v>1969</v>
      </c>
      <c r="K1" s="25">
        <v>1970</v>
      </c>
      <c r="L1" s="25">
        <v>1971</v>
      </c>
      <c r="M1" s="25">
        <v>1972</v>
      </c>
      <c r="N1" s="25">
        <v>1973</v>
      </c>
      <c r="O1" s="25">
        <v>1974</v>
      </c>
      <c r="P1" s="25">
        <v>1975</v>
      </c>
      <c r="Q1" s="25">
        <v>1976</v>
      </c>
      <c r="R1" s="25">
        <v>1977</v>
      </c>
      <c r="S1" s="25">
        <v>1978</v>
      </c>
      <c r="T1" s="25">
        <v>1979</v>
      </c>
      <c r="U1" s="25">
        <v>1980</v>
      </c>
      <c r="V1" s="25">
        <v>1981</v>
      </c>
      <c r="W1" s="25">
        <v>1982</v>
      </c>
      <c r="X1" s="25">
        <v>1983</v>
      </c>
      <c r="Y1" s="25">
        <v>1984</v>
      </c>
      <c r="Z1" s="25">
        <v>1985</v>
      </c>
      <c r="AA1" s="25">
        <v>1986</v>
      </c>
      <c r="AB1" s="25">
        <v>1987</v>
      </c>
      <c r="AC1" s="25">
        <v>1988</v>
      </c>
      <c r="AD1" s="25">
        <v>1989</v>
      </c>
      <c r="AE1" s="25">
        <v>1990</v>
      </c>
      <c r="AF1" s="25">
        <v>1991</v>
      </c>
      <c r="AG1" s="25">
        <v>1992</v>
      </c>
      <c r="AH1" s="25">
        <v>1993</v>
      </c>
      <c r="AI1" s="25">
        <v>1994</v>
      </c>
      <c r="AJ1" s="25">
        <v>1995</v>
      </c>
      <c r="AK1" s="25">
        <v>1996</v>
      </c>
      <c r="AL1" s="25">
        <v>1997</v>
      </c>
      <c r="AM1" s="25">
        <v>1998</v>
      </c>
      <c r="AN1" s="25">
        <v>1999</v>
      </c>
      <c r="AO1" s="25">
        <v>2000</v>
      </c>
      <c r="AP1" s="25">
        <v>2001</v>
      </c>
      <c r="AQ1" s="25">
        <v>2002</v>
      </c>
      <c r="AR1" s="25">
        <v>2003</v>
      </c>
      <c r="AS1" s="25">
        <v>2004</v>
      </c>
      <c r="AT1" s="25">
        <v>2005</v>
      </c>
      <c r="AU1" s="25">
        <v>2006</v>
      </c>
      <c r="AV1" s="25">
        <v>2007</v>
      </c>
      <c r="AW1" s="25">
        <v>2008</v>
      </c>
      <c r="AX1" s="25">
        <v>2009</v>
      </c>
      <c r="AY1" s="25">
        <v>2010</v>
      </c>
      <c r="AZ1" s="25">
        <v>2011</v>
      </c>
      <c r="BA1" s="25">
        <v>2012</v>
      </c>
      <c r="BB1" s="25">
        <v>2013</v>
      </c>
      <c r="BC1" s="25">
        <v>2014</v>
      </c>
      <c r="BD1" s="25">
        <v>2015</v>
      </c>
      <c r="BE1" s="25">
        <v>2016</v>
      </c>
      <c r="BF1" s="25">
        <v>2017</v>
      </c>
    </row>
    <row r="2" spans="1:58" x14ac:dyDescent="0.25">
      <c r="A2" s="28" t="s">
        <v>10</v>
      </c>
      <c r="B2" s="1">
        <v>-13.746135054725899</v>
      </c>
      <c r="C2" s="1">
        <v>9.0631579345967701</v>
      </c>
      <c r="D2" s="1">
        <v>4.1354074197748902</v>
      </c>
      <c r="E2" s="1">
        <v>6.27303790305589</v>
      </c>
      <c r="F2" s="1">
        <v>3.9672256086622801</v>
      </c>
      <c r="G2" s="1">
        <v>4.6129928959305202</v>
      </c>
      <c r="H2" s="1">
        <v>13.8215186020324</v>
      </c>
      <c r="I2" s="1">
        <v>-0.297883673243859</v>
      </c>
      <c r="J2" s="1">
        <v>-1.4595411432062699</v>
      </c>
      <c r="K2" s="1">
        <v>21.325670732819699</v>
      </c>
      <c r="L2" s="1">
        <v>2.74682871136838</v>
      </c>
      <c r="M2" s="1">
        <v>-6.4039649229125901</v>
      </c>
      <c r="N2" s="1">
        <v>6.8890507178803899</v>
      </c>
      <c r="O2" s="1">
        <v>-0.72683956211645295</v>
      </c>
      <c r="P2" s="1">
        <v>0.69792023617054599</v>
      </c>
      <c r="Q2" s="1">
        <v>7.9426609759666302</v>
      </c>
      <c r="R2" s="1">
        <v>11.469453044272701</v>
      </c>
      <c r="S2" s="1">
        <v>-0.94057598916847995</v>
      </c>
      <c r="T2" s="1">
        <v>1.66495495026508</v>
      </c>
      <c r="U2" s="1">
        <v>0.99105572513178697</v>
      </c>
      <c r="V2" s="1">
        <v>12.163275570246601</v>
      </c>
      <c r="W2" s="1">
        <v>-1.05359982020342</v>
      </c>
      <c r="X2" s="1">
        <v>3.7153269914313101</v>
      </c>
      <c r="Y2" s="1">
        <v>0.15554400481792599</v>
      </c>
      <c r="Z2" s="1">
        <v>11.7831801831472</v>
      </c>
      <c r="AA2" s="1">
        <v>3.25018045829925</v>
      </c>
      <c r="AB2" s="1">
        <v>5.5030961188439003</v>
      </c>
      <c r="AC2" s="1">
        <v>5.0310243682899802</v>
      </c>
      <c r="AD2" s="1">
        <v>1.3495022299200901</v>
      </c>
      <c r="AE2" s="1">
        <v>3.4998221400369398</v>
      </c>
      <c r="AF2" s="1">
        <v>4.9968364514421797</v>
      </c>
      <c r="AG2" s="1">
        <v>1.0099983658612599</v>
      </c>
      <c r="AH2" s="1">
        <v>-6.2399999992022996</v>
      </c>
      <c r="AI2" s="1">
        <v>-3.8299999966925502</v>
      </c>
      <c r="AJ2" s="1">
        <v>-7.9200000006571996</v>
      </c>
      <c r="AK2" s="1">
        <v>-8.0000000013725305</v>
      </c>
      <c r="AL2" s="1">
        <v>-1.5899999971999299</v>
      </c>
      <c r="AM2" s="1">
        <v>4.7499999920647999</v>
      </c>
      <c r="AN2" s="1">
        <v>-1.0099999961991999</v>
      </c>
      <c r="AO2" s="1">
        <v>-0.85686405922355402</v>
      </c>
      <c r="AP2" s="1">
        <v>2.0558071093132599</v>
      </c>
      <c r="AQ2" s="1">
        <v>4.4465194189146304</v>
      </c>
      <c r="AR2" s="1">
        <v>-1.2237279592396499</v>
      </c>
      <c r="AS2" s="1">
        <v>4.8336577616482401</v>
      </c>
      <c r="AT2" s="1">
        <v>0.90000000286400506</v>
      </c>
      <c r="AU2" s="1">
        <v>5.3846573982125303</v>
      </c>
      <c r="AV2" s="1">
        <v>4.7858319508881397</v>
      </c>
      <c r="AW2" s="1">
        <v>5.0481187832760703</v>
      </c>
      <c r="AX2" s="1">
        <v>3.4684254250000102</v>
      </c>
      <c r="AY2" s="1">
        <v>3.7859025431217201</v>
      </c>
      <c r="AZ2" s="1">
        <v>4.1916256809539902</v>
      </c>
      <c r="BA2" s="1">
        <v>4.0193655295110498</v>
      </c>
      <c r="BB2" s="1">
        <v>4.5940542182263204</v>
      </c>
      <c r="BC2" s="1">
        <v>4.6609181844736698</v>
      </c>
      <c r="BD2" s="1">
        <v>-3.9211427505320602</v>
      </c>
      <c r="BE2" s="1">
        <v>-0.57043445065876597</v>
      </c>
      <c r="BF2" s="1">
        <v>0.51913901039000598</v>
      </c>
    </row>
    <row r="3" spans="1:58" x14ac:dyDescent="0.25">
      <c r="A3" s="28" t="s">
        <v>13</v>
      </c>
      <c r="B3" s="1">
        <v>1.1836808117073001</v>
      </c>
      <c r="C3" s="1">
        <v>3.0415590510083601</v>
      </c>
      <c r="D3" s="1">
        <v>3.7425503202420498</v>
      </c>
      <c r="E3" s="1">
        <v>3.5471596957654401</v>
      </c>
      <c r="F3" s="1">
        <v>2.02605371473777</v>
      </c>
      <c r="G3" s="1">
        <v>4.61495562069085</v>
      </c>
      <c r="H3" s="1">
        <v>-10.9120655904009</v>
      </c>
      <c r="I3" s="1">
        <v>6.3463238555248704</v>
      </c>
      <c r="J3" s="1">
        <v>4.9014795226400896</v>
      </c>
      <c r="K3" s="1">
        <v>3.0920682359675902</v>
      </c>
      <c r="L3" s="1">
        <v>3.47970781666606</v>
      </c>
      <c r="M3" s="1">
        <v>2.67384329241247</v>
      </c>
      <c r="N3" s="1">
        <v>5.35568077795112</v>
      </c>
      <c r="O3" s="1">
        <v>10.734262259412001</v>
      </c>
      <c r="P3" s="1">
        <v>11.245058774704701</v>
      </c>
      <c r="Q3" s="1">
        <v>-5.4951383967509297</v>
      </c>
      <c r="R3" s="1">
        <v>13.739871523038801</v>
      </c>
      <c r="S3" s="1">
        <v>22.0030049229977</v>
      </c>
      <c r="T3" s="1">
        <v>6.0351187732671399</v>
      </c>
      <c r="U3" s="1">
        <v>-1.9652916688370801</v>
      </c>
      <c r="V3" s="1">
        <v>17.0826822487541</v>
      </c>
      <c r="W3" s="1">
        <v>7.5162026055376003</v>
      </c>
      <c r="X3" s="1">
        <v>6.8668305661141904</v>
      </c>
      <c r="Y3" s="1">
        <v>7.4745725430174002</v>
      </c>
      <c r="Z3" s="1">
        <v>8.0631616718715993</v>
      </c>
      <c r="AA3" s="1">
        <v>6.77166308049779</v>
      </c>
      <c r="AB3" s="1">
        <v>-2.1466502119192099</v>
      </c>
      <c r="AC3" s="1">
        <v>-7.8236319750643899</v>
      </c>
      <c r="AD3" s="1">
        <v>-1.8191205125230701</v>
      </c>
      <c r="AE3" s="1">
        <v>-6.1056976460826702</v>
      </c>
      <c r="AF3" s="1">
        <v>-3.8085993724514702</v>
      </c>
      <c r="AG3" s="1">
        <v>-3.1000032107907201</v>
      </c>
      <c r="AH3" s="1">
        <v>-7.9320665745657397</v>
      </c>
      <c r="AI3" s="1">
        <v>2.1239354436073699</v>
      </c>
      <c r="AJ3" s="1">
        <v>3.4697921483269001</v>
      </c>
      <c r="AK3" s="1">
        <v>4.36108651788504</v>
      </c>
      <c r="AL3" s="1">
        <v>5.2313207086864804</v>
      </c>
      <c r="AM3" s="1">
        <v>4.5022912410183604</v>
      </c>
      <c r="AN3" s="1">
        <v>4.2920169452500501</v>
      </c>
      <c r="AO3" s="1">
        <v>3.5533743641612698</v>
      </c>
      <c r="AP3" s="1">
        <v>4.3680842421700099</v>
      </c>
      <c r="AQ3" s="1">
        <v>4.2372036771851196</v>
      </c>
      <c r="AR3" s="1">
        <v>4.5671952563738802</v>
      </c>
      <c r="AS3" s="1">
        <v>6.7809559237731598</v>
      </c>
      <c r="AT3" s="1">
        <v>2.02066230714679</v>
      </c>
      <c r="AU3" s="1">
        <v>3.45766879254916</v>
      </c>
      <c r="AV3" s="1">
        <v>4.9022017324404699</v>
      </c>
      <c r="AW3" s="1">
        <v>3.4888009190369198</v>
      </c>
      <c r="AX3" s="1">
        <v>2.1986641019343298</v>
      </c>
      <c r="AY3" s="1">
        <v>3.4225076411544002</v>
      </c>
      <c r="AZ3" s="1">
        <v>4.1292771605696696</v>
      </c>
      <c r="BA3" s="1">
        <v>4.5432650156673597</v>
      </c>
      <c r="BB3" s="1">
        <v>5.4042657097173503</v>
      </c>
      <c r="BC3" s="1">
        <v>5.8840593266804602</v>
      </c>
      <c r="BD3" s="1">
        <v>5.6514637436283</v>
      </c>
      <c r="BE3" s="1">
        <v>4.4504532662990499</v>
      </c>
      <c r="BF3" s="1">
        <v>3.1770847058806302</v>
      </c>
    </row>
    <row r="4" spans="1:58" x14ac:dyDescent="0.25">
      <c r="A4" s="28" t="s">
        <v>16</v>
      </c>
      <c r="B4" s="1">
        <v>1.3977436707753801</v>
      </c>
      <c r="C4" s="1">
        <v>5.3601161089397804</v>
      </c>
      <c r="D4" s="1">
        <v>-1.5994540152080501</v>
      </c>
      <c r="E4" s="1">
        <v>-2.5109396034681</v>
      </c>
      <c r="F4" s="1">
        <v>0.60622778632577501</v>
      </c>
      <c r="G4" s="1">
        <v>-1.8070923919984001</v>
      </c>
      <c r="H4" s="1">
        <v>0.76720138229011103</v>
      </c>
      <c r="I4" s="1">
        <v>-0.45721886653812799</v>
      </c>
      <c r="J4" s="1">
        <v>6.8813102237921298</v>
      </c>
      <c r="K4" s="1">
        <v>1.85965647855537</v>
      </c>
      <c r="L4" s="1">
        <v>-2.2476263724496701</v>
      </c>
      <c r="M4" s="1">
        <v>1.1496160948327201</v>
      </c>
      <c r="N4" s="1">
        <v>-8.3808830080084409</v>
      </c>
      <c r="O4" s="1">
        <v>4.9618525825387003</v>
      </c>
      <c r="P4" s="1">
        <v>9.0102673055045397</v>
      </c>
      <c r="Q4" s="1">
        <v>2.98076526952687</v>
      </c>
      <c r="R4" s="1">
        <v>2.2346248491377199</v>
      </c>
      <c r="S4" s="1">
        <v>-0.46963418803200302</v>
      </c>
      <c r="T4" s="1">
        <v>-21.441087688912202</v>
      </c>
      <c r="U4" s="1">
        <v>-6.04767074733003</v>
      </c>
      <c r="V4" s="1">
        <v>1.0429181025977501</v>
      </c>
      <c r="W4" s="1">
        <v>5.3466089993691197</v>
      </c>
      <c r="X4" s="1">
        <v>15.6787177787337</v>
      </c>
      <c r="Y4" s="1">
        <v>2.0488989108163098</v>
      </c>
      <c r="Z4" s="1">
        <v>21.792773530392001</v>
      </c>
      <c r="AA4" s="1">
        <v>-4.0816675172733596</v>
      </c>
      <c r="AB4" s="1">
        <v>-2.3888084973240402</v>
      </c>
      <c r="AC4" s="1">
        <v>15.482359070013301</v>
      </c>
      <c r="AD4" s="1">
        <v>4.8847351025103798</v>
      </c>
      <c r="AE4" s="1">
        <v>-4.1784723727767696</v>
      </c>
      <c r="AF4" s="1">
        <v>8.5351371664717401</v>
      </c>
      <c r="AG4" s="1">
        <v>8.0014433463192596</v>
      </c>
      <c r="AH4" s="1">
        <v>-15.709837045207699</v>
      </c>
      <c r="AI4" s="1">
        <v>10.1368876335147</v>
      </c>
      <c r="AJ4" s="1">
        <v>1.23654931686494</v>
      </c>
      <c r="AK4" s="1">
        <v>2.2144730346744099</v>
      </c>
      <c r="AL4" s="1">
        <v>5.6533923278835498</v>
      </c>
      <c r="AM4" s="1">
        <v>6.95157991354007</v>
      </c>
      <c r="AN4" s="1">
        <v>-0.68285021729774098</v>
      </c>
      <c r="AO4" s="1">
        <v>-0.87968102544483895</v>
      </c>
      <c r="AP4" s="1">
        <v>11.658134654294001</v>
      </c>
      <c r="AQ4" s="1">
        <v>8.4912098189805594</v>
      </c>
      <c r="AR4" s="1">
        <v>14.7216670121033</v>
      </c>
      <c r="AS4" s="1">
        <v>33.629371852465901</v>
      </c>
      <c r="AT4" s="1">
        <v>17.3325337350837</v>
      </c>
      <c r="AU4" s="1">
        <v>0.64826201409454098</v>
      </c>
      <c r="AV4" s="1">
        <v>3.2714995788864298</v>
      </c>
      <c r="AW4" s="1">
        <v>3.0526915319682502</v>
      </c>
      <c r="AX4" s="1">
        <v>4.2176955518963304</v>
      </c>
      <c r="AY4" s="1">
        <v>13.550100859549</v>
      </c>
      <c r="AZ4" s="1">
        <v>8.2869798438167705E-2</v>
      </c>
      <c r="BA4" s="1">
        <v>8.8825760717031592</v>
      </c>
      <c r="BB4" s="1">
        <v>5.7000013628586403</v>
      </c>
      <c r="BC4" s="1">
        <v>6.89998504532167</v>
      </c>
      <c r="BD4" s="1">
        <v>2.7676756848447002</v>
      </c>
      <c r="BE4" s="1">
        <v>-6.25552708545281</v>
      </c>
      <c r="BF4" s="1">
        <v>-2.9537715489237302</v>
      </c>
    </row>
    <row r="5" spans="1:58" x14ac:dyDescent="0.25">
      <c r="A5" s="28" t="s">
        <v>15</v>
      </c>
      <c r="V5" s="1">
        <v>3.8649211443068499</v>
      </c>
      <c r="W5" s="1">
        <v>6.3836233767744099</v>
      </c>
      <c r="X5" s="1">
        <v>4.8210279345244098</v>
      </c>
      <c r="Y5" s="1">
        <v>4.1102642508020297</v>
      </c>
      <c r="Z5" s="1">
        <v>2.28037187393622</v>
      </c>
      <c r="AA5" s="1">
        <v>1.8672117637174499</v>
      </c>
      <c r="AB5" s="1">
        <v>1.63799109676586</v>
      </c>
      <c r="AC5" s="1">
        <v>2.6875187882754701</v>
      </c>
      <c r="AD5" s="1">
        <v>-3.1806753672577601</v>
      </c>
      <c r="AE5" s="1">
        <v>5.0913926847242301</v>
      </c>
      <c r="AF5" s="1">
        <v>-5.3955989070717196</v>
      </c>
      <c r="AG5" s="1">
        <v>8.5309234328659507</v>
      </c>
      <c r="AH5" s="1">
        <v>3.0059374776450301</v>
      </c>
      <c r="AI5" s="1">
        <v>-5.27668203789099</v>
      </c>
      <c r="AJ5" s="1">
        <v>3.61012947783628</v>
      </c>
      <c r="AK5" s="1">
        <v>-1.29166843572652</v>
      </c>
      <c r="AL5" s="1">
        <v>4.0303406688696999</v>
      </c>
      <c r="AM5" s="1">
        <v>1.2826624751014299</v>
      </c>
      <c r="AN5" s="1">
        <v>1.9241236664489401</v>
      </c>
      <c r="AO5" s="1">
        <v>10.8480749512697</v>
      </c>
      <c r="AP5" s="1">
        <v>2.3329364937754802</v>
      </c>
      <c r="AQ5" s="1">
        <v>2.3247792591424701</v>
      </c>
      <c r="AR5" s="1">
        <v>2.1041019529446601</v>
      </c>
      <c r="AS5" s="1">
        <v>1.91960237946122</v>
      </c>
      <c r="AT5" s="1">
        <v>2.8374077642228999</v>
      </c>
      <c r="AU5" s="1">
        <v>2.64689986791771</v>
      </c>
      <c r="AV5" s="1">
        <v>0.80015279901626002</v>
      </c>
      <c r="AW5" s="1">
        <v>0.40026685523495997</v>
      </c>
      <c r="AX5" s="1">
        <v>1.9499999778070201</v>
      </c>
      <c r="AY5" s="1">
        <v>2.1999999817327298</v>
      </c>
      <c r="AZ5" s="1">
        <v>2.6000000881785801</v>
      </c>
      <c r="BA5" s="1">
        <v>2.9999999719327</v>
      </c>
      <c r="BB5" s="1">
        <v>3.4999999938922701</v>
      </c>
      <c r="BC5" s="1">
        <v>2.0616394689951401</v>
      </c>
      <c r="BD5" s="1">
        <v>1.0151184591981099</v>
      </c>
      <c r="BE5" s="1">
        <v>2.2000000228954701</v>
      </c>
      <c r="BF5" s="1">
        <v>2.4999999999999898</v>
      </c>
    </row>
    <row r="6" spans="1:58" x14ac:dyDescent="0.25">
      <c r="A6" s="28" t="s">
        <v>17</v>
      </c>
      <c r="BC6" s="1">
        <v>8.9205846249251302</v>
      </c>
      <c r="BD6" s="1">
        <v>9.6837981164817393</v>
      </c>
      <c r="BE6" s="1">
        <v>8.7222600610529195</v>
      </c>
      <c r="BF6" s="1">
        <v>4.0902636277002697</v>
      </c>
    </row>
    <row r="7" spans="1:58" x14ac:dyDescent="0.25">
      <c r="A7" s="28" t="s">
        <v>18</v>
      </c>
      <c r="W7" s="1">
        <v>0.91601385808238001</v>
      </c>
      <c r="X7" s="1">
        <v>8.2350057184645404</v>
      </c>
      <c r="Y7" s="1">
        <v>-2.8480214526401002</v>
      </c>
      <c r="Z7" s="1">
        <v>-11.144352977637899</v>
      </c>
      <c r="AA7" s="1">
        <v>9.6616123592666092</v>
      </c>
      <c r="AB7" s="1">
        <v>13.859330396653</v>
      </c>
      <c r="AC7" s="1">
        <v>0.50367487907483599</v>
      </c>
      <c r="AD7" s="1">
        <v>-0.36104418038227898</v>
      </c>
      <c r="AE7" s="1">
        <v>2.72645178301019</v>
      </c>
      <c r="AF7" s="1">
        <v>-7.13747970825791</v>
      </c>
      <c r="AG7" s="1">
        <v>-8.6724801281975292</v>
      </c>
      <c r="AH7" s="1">
        <v>13.1428339596483</v>
      </c>
      <c r="AI7" s="1">
        <v>3.1899645701300998</v>
      </c>
      <c r="AJ7" s="1">
        <v>6.1275114123847496</v>
      </c>
      <c r="AK7" s="1">
        <v>12.4261737798184</v>
      </c>
      <c r="AL7" s="1">
        <v>3.1339068670042098</v>
      </c>
      <c r="AM7" s="1">
        <v>-3.4581391483898001</v>
      </c>
      <c r="AN7" s="1">
        <v>5.1621458242367302</v>
      </c>
      <c r="AO7" s="1">
        <v>6.0732174923104596</v>
      </c>
      <c r="AP7" s="1">
        <v>8.3013063215748399</v>
      </c>
      <c r="AQ7" s="1">
        <v>1.5147256932108499</v>
      </c>
      <c r="AR7" s="1">
        <v>-2.1613597214194198</v>
      </c>
      <c r="AS7" s="1">
        <v>13.5726031535762</v>
      </c>
      <c r="AT7" s="1">
        <v>11.818765935324899</v>
      </c>
      <c r="AU7" s="1">
        <v>10.834727071885901</v>
      </c>
      <c r="AV7" s="1">
        <v>11.4561669954333</v>
      </c>
      <c r="AW7" s="1">
        <v>10.7885216814493</v>
      </c>
      <c r="AX7" s="1">
        <v>8.8025532023887401</v>
      </c>
      <c r="AY7" s="1">
        <v>12.5505383420508</v>
      </c>
      <c r="AZ7" s="1">
        <v>11.1782962356071</v>
      </c>
      <c r="BA7" s="1">
        <v>8.6478116353910508</v>
      </c>
      <c r="BB7" s="1">
        <v>10.582270040227399</v>
      </c>
      <c r="BC7" s="1">
        <v>10.2574929647496</v>
      </c>
      <c r="BD7" s="1">
        <v>10.3924630218107</v>
      </c>
      <c r="BE7" s="1">
        <v>7.5617666902314902</v>
      </c>
      <c r="BF7" s="1">
        <v>10.245810850259</v>
      </c>
    </row>
    <row r="8" spans="1:58" x14ac:dyDescent="0.25">
      <c r="A8" s="28" t="s">
        <v>19</v>
      </c>
      <c r="AB8" s="1">
        <v>3.2999388454758098</v>
      </c>
      <c r="AC8" s="1">
        <v>6.3081166971337401</v>
      </c>
      <c r="AD8" s="1">
        <v>4.0034760128128504</v>
      </c>
      <c r="AE8" s="1">
        <v>4.3240627537182696</v>
      </c>
      <c r="AF8" s="1">
        <v>2.61342300463021</v>
      </c>
      <c r="AG8" s="1">
        <v>3.2709473005163501</v>
      </c>
      <c r="AH8" s="1">
        <v>5.0441445420409003</v>
      </c>
      <c r="AI8" s="1">
        <v>3.9700991059506201</v>
      </c>
      <c r="AJ8" s="1">
        <v>4.6076732020219699</v>
      </c>
      <c r="AK8" s="1">
        <v>4.4615750849505096</v>
      </c>
      <c r="AL8" s="1">
        <v>5.18160345884999</v>
      </c>
      <c r="AM8" s="1">
        <v>3.6441212424800802</v>
      </c>
      <c r="AN8" s="1">
        <v>3.8120040345377801</v>
      </c>
      <c r="AO8" s="1">
        <v>2.5030605614563499</v>
      </c>
      <c r="AP8" s="1">
        <v>3.65834647077443</v>
      </c>
      <c r="AQ8" s="1">
        <v>5.1646094657592601</v>
      </c>
      <c r="AR8" s="1">
        <v>1.2486012600021901</v>
      </c>
      <c r="AS8" s="1">
        <v>2.3401173126173198</v>
      </c>
      <c r="AT8" s="1">
        <v>2.9972725615751599</v>
      </c>
      <c r="AU8" s="1">
        <v>1.18014044631364</v>
      </c>
      <c r="AV8" s="1">
        <v>6.82747442663229</v>
      </c>
      <c r="AW8" s="1">
        <v>4.1366161530800696</v>
      </c>
      <c r="AX8" s="1">
        <v>-1.1176385946021801</v>
      </c>
      <c r="AY8" s="1">
        <v>4.82071541392241</v>
      </c>
      <c r="AZ8" s="1">
        <v>5.6121042791249502</v>
      </c>
      <c r="BA8" s="1">
        <v>5.9169117315477804</v>
      </c>
      <c r="BB8" s="1">
        <v>3.9347840250179198</v>
      </c>
      <c r="BC8" s="1">
        <v>3.7074516130114001</v>
      </c>
      <c r="BD8" s="1">
        <v>3.81494988965694</v>
      </c>
      <c r="BE8" s="1">
        <v>10.4541058171845</v>
      </c>
      <c r="BF8" s="1">
        <v>8.2498442298828305</v>
      </c>
    </row>
    <row r="9" spans="1:58" x14ac:dyDescent="0.25">
      <c r="A9" s="28" t="s">
        <v>20</v>
      </c>
      <c r="AL9" s="1">
        <v>2.70471342634906</v>
      </c>
      <c r="AM9" s="1">
        <v>2.1818409576637401</v>
      </c>
      <c r="AN9" s="1">
        <v>2.71024735082645</v>
      </c>
      <c r="AO9" s="1">
        <v>0.87005979468143801</v>
      </c>
      <c r="AP9" s="1">
        <v>-1.0443748924879399</v>
      </c>
      <c r="AQ9" s="1">
        <v>-0.25146433893770798</v>
      </c>
      <c r="AR9" s="1">
        <v>0.36380034852912502</v>
      </c>
      <c r="AS9" s="1">
        <v>-3.5228881659758602</v>
      </c>
      <c r="AT9" s="1">
        <v>1.80501122760435</v>
      </c>
      <c r="AU9" s="1">
        <v>2.24922160032366</v>
      </c>
      <c r="AV9" s="1">
        <v>3.3432790146125102</v>
      </c>
      <c r="AW9" s="1">
        <v>0.843944329286344</v>
      </c>
      <c r="AX9" s="1">
        <v>3.0832476875642199</v>
      </c>
      <c r="AY9" s="1">
        <v>-5.4977923372738902</v>
      </c>
      <c r="AZ9" s="1">
        <v>5.5237377543330801</v>
      </c>
      <c r="BA9" s="1">
        <v>2.88509605084626</v>
      </c>
      <c r="BB9" s="1">
        <v>4.2340528909557804</v>
      </c>
      <c r="BC9" s="1">
        <v>2.8101484983685299</v>
      </c>
      <c r="BD9" s="1">
        <v>1.2112183431569199</v>
      </c>
      <c r="BE9" s="1">
        <v>1.45270702675029</v>
      </c>
      <c r="BF9" s="1">
        <v>1.17327950545638</v>
      </c>
    </row>
    <row r="10" spans="1:58" x14ac:dyDescent="0.25">
      <c r="A10" s="28" t="s">
        <v>21</v>
      </c>
      <c r="B10" s="1">
        <v>-7.77463490412923</v>
      </c>
      <c r="C10" s="1">
        <v>9.4573587417501308</v>
      </c>
      <c r="D10" s="1">
        <v>8.7783402162304895</v>
      </c>
      <c r="E10" s="1">
        <v>4.96446728796285</v>
      </c>
      <c r="F10" s="1">
        <v>2.0090941708295098</v>
      </c>
      <c r="G10" s="1">
        <v>14.728566401776</v>
      </c>
      <c r="H10" s="1">
        <v>3.3612320322510501</v>
      </c>
      <c r="I10" s="1">
        <v>7.9826899695325704</v>
      </c>
      <c r="J10" s="1">
        <v>7.9592244560822802</v>
      </c>
      <c r="K10" s="1">
        <v>-4.6554469135628302</v>
      </c>
      <c r="L10" s="1">
        <v>22.173891928008501</v>
      </c>
      <c r="M10" s="1">
        <v>17.082429345007299</v>
      </c>
      <c r="N10" s="1">
        <v>5.8965802146441497</v>
      </c>
      <c r="O10" s="1">
        <v>4.0656173472308597</v>
      </c>
      <c r="P10" s="1">
        <v>0.88220317844796603</v>
      </c>
      <c r="Q10" s="1">
        <v>2.1539644974098602</v>
      </c>
      <c r="R10" s="1">
        <v>9.4537978493697903</v>
      </c>
      <c r="S10" s="1">
        <v>6.9124935466745496</v>
      </c>
      <c r="T10" s="1">
        <v>7.6152260415942399</v>
      </c>
      <c r="U10" s="1">
        <v>5.5919762065950396</v>
      </c>
      <c r="V10" s="1">
        <v>3.7735441966441998</v>
      </c>
      <c r="W10" s="1">
        <v>1.50647825447521</v>
      </c>
      <c r="X10" s="1">
        <v>1.30905024171788</v>
      </c>
      <c r="Y10" s="1">
        <v>1.7552169769687</v>
      </c>
      <c r="Z10" s="1">
        <v>4.3005618195017101</v>
      </c>
      <c r="AA10" s="1">
        <v>7.17755539087368</v>
      </c>
      <c r="AB10" s="1">
        <v>5.9371074461072801</v>
      </c>
      <c r="AC10" s="1">
        <v>6.2031838198845897</v>
      </c>
      <c r="AD10" s="1">
        <v>4.6903487681229699</v>
      </c>
      <c r="AE10" s="1">
        <v>4.1920509742158503</v>
      </c>
      <c r="AF10" s="1">
        <v>1.43834679108514</v>
      </c>
      <c r="AG10" s="1">
        <v>-0.79949395992763095</v>
      </c>
      <c r="AH10" s="1">
        <v>0.353197256372624</v>
      </c>
      <c r="AI10" s="1">
        <v>2.6327845185903298</v>
      </c>
      <c r="AJ10" s="1">
        <v>4.4062165258050801</v>
      </c>
      <c r="AK10" s="1">
        <v>4.1468392671670999</v>
      </c>
      <c r="AL10" s="1">
        <v>0.47490192048410101</v>
      </c>
      <c r="AM10" s="1">
        <v>3.2902137230934598</v>
      </c>
      <c r="AN10" s="1">
        <v>2.3053885959187301</v>
      </c>
      <c r="AO10" s="1">
        <v>0.59969539161363605</v>
      </c>
      <c r="AP10" s="1">
        <v>3.7799064962898701</v>
      </c>
      <c r="AQ10" s="1">
        <v>0.54685952999452103</v>
      </c>
      <c r="AR10" s="1">
        <v>2.9324755461927299</v>
      </c>
      <c r="AS10" s="1">
        <v>5.1042997756893396</v>
      </c>
      <c r="AT10" s="1">
        <v>5.9066660816801297</v>
      </c>
      <c r="AU10" s="1">
        <v>6.4724942986248202</v>
      </c>
      <c r="AV10" s="1">
        <v>6.8507297706313803</v>
      </c>
      <c r="AW10" s="1">
        <v>0.23228274566594101</v>
      </c>
      <c r="AX10" s="1">
        <v>3.30693981534758</v>
      </c>
      <c r="AY10" s="1">
        <v>8.4056992242171908</v>
      </c>
      <c r="AZ10" s="1">
        <v>6.1082637197964997</v>
      </c>
      <c r="BA10" s="1">
        <v>4.5632091307111997</v>
      </c>
      <c r="BB10" s="1">
        <v>5.8786894770261702</v>
      </c>
      <c r="BC10" s="1">
        <v>5.3571167781201199</v>
      </c>
      <c r="BD10" s="1">
        <v>5.7185071313351399</v>
      </c>
      <c r="BE10" s="1">
        <v>5.8691928491103198</v>
      </c>
      <c r="BF10" s="1">
        <v>4.8854444803254999</v>
      </c>
    </row>
    <row r="11" spans="1:58" x14ac:dyDescent="0.25">
      <c r="A11" s="28" t="s">
        <v>22</v>
      </c>
      <c r="AP11" s="1">
        <v>26.973917835915302</v>
      </c>
      <c r="AQ11" s="1">
        <v>-0.70094828890135796</v>
      </c>
      <c r="AR11" s="1">
        <v>5.9801455955031297</v>
      </c>
      <c r="AS11" s="1">
        <v>2.61212675795448</v>
      </c>
      <c r="AT11" s="1">
        <v>6.0332297483318804</v>
      </c>
      <c r="AU11" s="1">
        <v>4.5030317556850301</v>
      </c>
      <c r="AV11" s="1">
        <v>7.2860829859042999</v>
      </c>
      <c r="AW11" s="1">
        <v>2.6448186528497399</v>
      </c>
      <c r="AX11" s="1">
        <v>3.34166553304867</v>
      </c>
      <c r="AY11" s="1">
        <v>3.3095748392563298</v>
      </c>
      <c r="AZ11" s="1">
        <v>4.8125633232016298</v>
      </c>
      <c r="BA11" s="1">
        <v>2.89534856958733</v>
      </c>
      <c r="BB11" s="1">
        <v>3.4312300087234999</v>
      </c>
      <c r="BC11" s="1">
        <v>1.1980709759736901</v>
      </c>
      <c r="BD11" s="1">
        <v>4.0944545357409901</v>
      </c>
      <c r="BE11" s="1">
        <v>4.0688961425550803</v>
      </c>
      <c r="BF11" s="1">
        <v>4.46609985599589</v>
      </c>
    </row>
    <row r="12" spans="1:58" x14ac:dyDescent="0.25">
      <c r="A12" s="28" t="s">
        <v>23</v>
      </c>
      <c r="B12" s="1">
        <v>2.4399854210132599</v>
      </c>
      <c r="C12" s="1">
        <v>1.3446060774484601</v>
      </c>
      <c r="D12" s="1">
        <v>2.2744606372968499</v>
      </c>
      <c r="E12" s="1">
        <v>5.1519613237386803</v>
      </c>
      <c r="F12" s="1">
        <v>4.7937862769221304</v>
      </c>
      <c r="G12" s="1">
        <v>7.7026559808507598</v>
      </c>
      <c r="H12" s="1">
        <v>6.74579085865388</v>
      </c>
      <c r="I12" s="1">
        <v>4.7688716893939498</v>
      </c>
      <c r="J12" s="1">
        <v>7.2884730103167197</v>
      </c>
      <c r="K12" s="1">
        <v>6.66319270949118</v>
      </c>
      <c r="L12" s="1">
        <v>4.9048302703177198</v>
      </c>
      <c r="M12" s="1">
        <v>4.1404956413712197</v>
      </c>
      <c r="N12" s="1">
        <v>-2.2559751981148399</v>
      </c>
      <c r="O12" s="1">
        <v>4.7532003355210701</v>
      </c>
      <c r="P12" s="1">
        <v>-3.4685894889403799</v>
      </c>
      <c r="Q12" s="1">
        <v>5.3107340739905204</v>
      </c>
      <c r="R12" s="1">
        <v>1.5879845666249699</v>
      </c>
      <c r="S12" s="1">
        <v>4.8162206284737596</v>
      </c>
      <c r="T12" s="1">
        <v>3.2648196898751798</v>
      </c>
      <c r="U12" s="1">
        <v>-4.0983640699047799</v>
      </c>
      <c r="V12" s="1">
        <v>-2.13675011492262</v>
      </c>
      <c r="W12" s="1">
        <v>-2.4329372470569299</v>
      </c>
      <c r="X12" s="1">
        <v>-1.8968528152653501</v>
      </c>
      <c r="Y12" s="1">
        <v>-2.1073156999200902</v>
      </c>
      <c r="Z12" s="1">
        <v>-0.84331815944257504</v>
      </c>
      <c r="AA12" s="1">
        <v>-1.6785981002684001</v>
      </c>
      <c r="AB12" s="1">
        <v>-1.00160075318946</v>
      </c>
      <c r="AC12" s="1">
        <v>-2.0418981684339599</v>
      </c>
      <c r="AD12" s="1">
        <v>-26.668449335162698</v>
      </c>
      <c r="AE12" s="1">
        <v>-51.030864950591699</v>
      </c>
      <c r="AF12" s="1">
        <v>-14.2252117588441</v>
      </c>
      <c r="AG12" s="1">
        <v>-35.085681092070899</v>
      </c>
      <c r="AH12" s="1">
        <v>-32.9753914988814</v>
      </c>
      <c r="AI12" s="1">
        <v>-21.762349799732998</v>
      </c>
      <c r="AJ12" s="1">
        <v>-4.2662116040955604</v>
      </c>
      <c r="AK12" s="1">
        <v>12.1212121212121</v>
      </c>
      <c r="AL12" s="1">
        <v>106.279809220986</v>
      </c>
      <c r="AM12" s="1">
        <v>30.2081310211946</v>
      </c>
      <c r="AN12" s="1">
        <v>21.741447884978001</v>
      </c>
      <c r="AO12" s="1">
        <v>28.615933349588701</v>
      </c>
      <c r="AP12" s="1">
        <v>2.9187172984168699</v>
      </c>
      <c r="AQ12" s="1">
        <v>3.7627649991322398</v>
      </c>
      <c r="AR12" s="1">
        <v>-30.1452225240931</v>
      </c>
      <c r="AS12" s="1">
        <v>2.6206052559568001</v>
      </c>
      <c r="AT12" s="1">
        <v>5.2819757300214896</v>
      </c>
      <c r="AU12" s="1">
        <v>8.0431620224482607</v>
      </c>
      <c r="AV12" s="1">
        <v>9.5348928575071898</v>
      </c>
      <c r="AW12" s="1">
        <v>7.1469392850702604</v>
      </c>
      <c r="AX12" s="1">
        <v>5.30009907470476</v>
      </c>
      <c r="AY12" s="1">
        <v>6.0999446923734704</v>
      </c>
      <c r="AZ12" s="1">
        <v>8.1999981459765792</v>
      </c>
      <c r="BA12" s="1">
        <v>7.99445127045679</v>
      </c>
      <c r="BB12" s="1">
        <v>8.7038750157604596</v>
      </c>
      <c r="BC12" s="1">
        <v>0.70114163582337596</v>
      </c>
      <c r="BD12" s="1">
        <v>0</v>
      </c>
      <c r="BE12" s="1">
        <v>-1.6000000000000101</v>
      </c>
      <c r="BF12" s="1">
        <v>2.4545964367369799</v>
      </c>
    </row>
    <row r="13" spans="1:58" x14ac:dyDescent="0.25">
      <c r="A13" s="28" t="s">
        <v>24</v>
      </c>
      <c r="B13" s="1">
        <v>2.04863275114189</v>
      </c>
      <c r="C13" s="1">
        <v>2.2710697015938002</v>
      </c>
      <c r="D13" s="1">
        <v>-0.92940162377629998</v>
      </c>
      <c r="E13" s="1">
        <v>3.9625188477375999</v>
      </c>
      <c r="F13" s="1">
        <v>-0.45225386362258702</v>
      </c>
      <c r="G13" s="1">
        <v>2.06455240687127</v>
      </c>
      <c r="H13" s="1">
        <v>5.5285656101044198</v>
      </c>
      <c r="I13" s="1">
        <v>6.8287860989285001</v>
      </c>
      <c r="J13" s="1">
        <v>3.7212221678009998</v>
      </c>
      <c r="K13" s="1">
        <v>5.2764555748476303</v>
      </c>
      <c r="L13" s="1">
        <v>3.92936503159802</v>
      </c>
      <c r="M13" s="1">
        <v>-1.2726215308478399</v>
      </c>
      <c r="N13" s="1">
        <v>-2.6184783296946499</v>
      </c>
      <c r="O13" s="1">
        <v>2.00687937926212</v>
      </c>
      <c r="P13" s="1">
        <v>1.2586916344902199</v>
      </c>
      <c r="Q13" s="1">
        <v>-3.06885839126649</v>
      </c>
      <c r="R13" s="1">
        <v>2.36400035887337</v>
      </c>
      <c r="S13" s="1">
        <v>-2.6618059648546599</v>
      </c>
      <c r="T13" s="1">
        <v>9.8546502902421498</v>
      </c>
      <c r="U13" s="1">
        <v>0.80577081769179404</v>
      </c>
      <c r="V13" s="1">
        <v>-9.6987883750713699</v>
      </c>
      <c r="W13" s="1">
        <v>-1.81019416145621</v>
      </c>
      <c r="X13" s="1">
        <v>0.90210631935559604</v>
      </c>
      <c r="Y13" s="1">
        <v>1.7046788407404601</v>
      </c>
      <c r="Z13" s="1">
        <v>1.15587716429373</v>
      </c>
      <c r="AA13" s="1">
        <v>1.9591057679615</v>
      </c>
      <c r="AB13" s="1">
        <v>1.1780855188710599</v>
      </c>
      <c r="AC13" s="1">
        <v>3.4034170096194201</v>
      </c>
      <c r="AD13" s="1">
        <v>4.0788927770411103</v>
      </c>
      <c r="AE13" s="1">
        <v>3.1300294278687302</v>
      </c>
      <c r="AF13" s="1">
        <v>-6.3095343931008498</v>
      </c>
      <c r="AG13" s="1">
        <v>1.18615228657475</v>
      </c>
      <c r="AH13" s="1">
        <v>2.0965598192496802</v>
      </c>
      <c r="AI13" s="1">
        <v>-7.1608256492027095E-2</v>
      </c>
      <c r="AJ13" s="1">
        <v>1.7122131758249599</v>
      </c>
      <c r="AK13" s="1">
        <v>2.1489150482302102</v>
      </c>
      <c r="AL13" s="1">
        <v>3.6934926062314002</v>
      </c>
      <c r="AM13" s="1">
        <v>3.9323364428415002</v>
      </c>
      <c r="AN13" s="1">
        <v>4.6591157004199504</v>
      </c>
      <c r="AO13" s="1">
        <v>4.7600650989119799</v>
      </c>
      <c r="AP13" s="1">
        <v>6.0178244030905601</v>
      </c>
      <c r="AQ13" s="1">
        <v>-12.673788136279001</v>
      </c>
      <c r="AR13" s="1">
        <v>9.7848921313328994</v>
      </c>
      <c r="AS13" s="1">
        <v>5.2570036042099604</v>
      </c>
      <c r="AT13" s="1">
        <v>4.6028999651506801</v>
      </c>
      <c r="AU13" s="1">
        <v>5.0226070023249001</v>
      </c>
      <c r="AV13" s="1">
        <v>6.2405784511612401</v>
      </c>
      <c r="AW13" s="1">
        <v>7.1285135388162102</v>
      </c>
      <c r="AX13" s="1">
        <v>-4.0138605828051199</v>
      </c>
      <c r="AY13" s="1">
        <v>0.26311085570331699</v>
      </c>
      <c r="AZ13" s="1">
        <v>1.45439216770913</v>
      </c>
      <c r="BA13" s="1">
        <v>3.0275080923156299</v>
      </c>
      <c r="BB13" s="1">
        <v>2.2552040402516802</v>
      </c>
      <c r="BC13" s="1">
        <v>3.31585416456267</v>
      </c>
      <c r="BD13" s="1">
        <v>3.1166147142309901</v>
      </c>
      <c r="BE13" s="1">
        <v>4.1799902356671801</v>
      </c>
      <c r="BF13" s="1">
        <v>4.1707947658651303</v>
      </c>
    </row>
    <row r="14" spans="1:58" x14ac:dyDescent="0.25">
      <c r="A14" s="28" t="s">
        <v>25</v>
      </c>
      <c r="B14" s="1">
        <v>7.6395978554392601</v>
      </c>
      <c r="C14" s="1">
        <v>0.66836474301494797</v>
      </c>
      <c r="D14" s="1">
        <v>-1.3910785170258699</v>
      </c>
      <c r="E14" s="1">
        <v>2.6611032676288899</v>
      </c>
      <c r="F14" s="1">
        <v>13.616493419953001</v>
      </c>
      <c r="G14" s="1">
        <v>13.249036322575799</v>
      </c>
      <c r="H14" s="1">
        <v>7.2815499434996704</v>
      </c>
      <c r="I14" s="1">
        <v>-1.9230791684213699</v>
      </c>
      <c r="J14" s="1">
        <v>5.8823598926885996</v>
      </c>
      <c r="K14" s="1">
        <v>0.47929797784460998</v>
      </c>
      <c r="L14" s="1">
        <v>16.218563632656998</v>
      </c>
      <c r="M14" s="1">
        <v>6.2313490084583698</v>
      </c>
      <c r="N14" s="1">
        <v>2.30066157112137</v>
      </c>
      <c r="O14" s="1">
        <v>7.1759636183840003</v>
      </c>
      <c r="P14" s="1">
        <v>6.0868238098933896</v>
      </c>
      <c r="Q14" s="1">
        <v>4.9977312425481299</v>
      </c>
      <c r="R14" s="1">
        <v>4.9180313685787498</v>
      </c>
      <c r="S14" s="1">
        <v>9.7450680272818992</v>
      </c>
      <c r="T14" s="1">
        <v>4.3961537403666897</v>
      </c>
      <c r="U14" s="1">
        <v>0.40674641302035802</v>
      </c>
      <c r="V14" s="1">
        <v>-5.2901192185899797</v>
      </c>
      <c r="W14" s="1">
        <v>2.50345381365055</v>
      </c>
      <c r="X14" s="1">
        <v>3.7187090510680298</v>
      </c>
      <c r="Y14" s="1">
        <v>5.3603040939681099</v>
      </c>
      <c r="Z14" s="1">
        <v>4.5709823019014504</v>
      </c>
      <c r="AA14" s="1">
        <v>-0.21480251787333801</v>
      </c>
      <c r="AB14" s="1">
        <v>1.6252391823554899</v>
      </c>
      <c r="AC14" s="1">
        <v>3.1772912783485201</v>
      </c>
      <c r="AD14" s="1">
        <v>1.3446897069269099</v>
      </c>
      <c r="AE14" s="1">
        <v>5.6922944937575002</v>
      </c>
      <c r="AF14" s="1">
        <v>8.7302318286141407</v>
      </c>
      <c r="AG14" s="1">
        <v>-7.3329781353231898</v>
      </c>
      <c r="AH14" s="1">
        <v>9.6918402678066293</v>
      </c>
      <c r="AI14" s="1">
        <v>-10.2401817338935</v>
      </c>
      <c r="AJ14" s="1">
        <v>16.728817592001501</v>
      </c>
      <c r="AK14" s="1">
        <v>7.3166815111922396</v>
      </c>
      <c r="AL14" s="1">
        <v>3.79241909896268</v>
      </c>
      <c r="AM14" s="1">
        <v>3.8952536296371298</v>
      </c>
      <c r="AN14" s="1">
        <v>3.0422780913400098</v>
      </c>
      <c r="AO14" s="1">
        <v>1.57607783734666</v>
      </c>
      <c r="AP14" s="1">
        <v>-4.9749638464943997</v>
      </c>
      <c r="AQ14" s="1">
        <v>1.70000001363076</v>
      </c>
      <c r="AR14" s="1">
        <v>5.7056394374716</v>
      </c>
      <c r="AS14" s="1">
        <v>5.4204976936605496</v>
      </c>
      <c r="AT14" s="1">
        <v>3.2687258275753002</v>
      </c>
      <c r="AU14" s="1">
        <v>4.6999999920261102</v>
      </c>
      <c r="AV14" s="1">
        <v>9.60000000260818</v>
      </c>
      <c r="AW14" s="1">
        <v>7.6397367741039197</v>
      </c>
      <c r="AX14" s="1">
        <v>8.3281102762457504</v>
      </c>
      <c r="AY14" s="1">
        <v>6.8740656350095399</v>
      </c>
      <c r="AZ14" s="1">
        <v>4.8540551089832196</v>
      </c>
      <c r="BA14" s="1">
        <v>1.88579950731867</v>
      </c>
      <c r="BB14" s="1">
        <v>5.1999999983554899</v>
      </c>
      <c r="BC14" s="1">
        <v>5.7000000037720904</v>
      </c>
      <c r="BD14" s="1">
        <v>2.79999999900333</v>
      </c>
      <c r="BE14" s="1">
        <v>2.4840406264186798</v>
      </c>
      <c r="BF14" s="1">
        <v>4.00003051653042</v>
      </c>
    </row>
    <row r="15" spans="1:58" x14ac:dyDescent="0.25">
      <c r="A15" s="28" t="s">
        <v>26</v>
      </c>
      <c r="I15" s="1">
        <v>3.7084101964868998</v>
      </c>
      <c r="J15" s="1">
        <v>0.230999419524821</v>
      </c>
      <c r="K15" s="1">
        <v>6.1369548625588797</v>
      </c>
      <c r="L15" s="1">
        <v>2.5689960235582801</v>
      </c>
      <c r="M15" s="1">
        <v>5.8440164309550697</v>
      </c>
      <c r="N15" s="1">
        <v>-1.4551158019297801</v>
      </c>
      <c r="O15" s="1">
        <v>-1.5288261023840299</v>
      </c>
      <c r="P15" s="1">
        <v>11.625049137452001</v>
      </c>
      <c r="Q15" s="1">
        <v>13.6234385336651</v>
      </c>
      <c r="R15" s="1">
        <v>6.34864719393605</v>
      </c>
      <c r="S15" s="1">
        <v>-1.4634763319916699</v>
      </c>
      <c r="T15" s="1">
        <v>10.3956772105957</v>
      </c>
      <c r="U15" s="1">
        <v>-4.3258398689978597</v>
      </c>
      <c r="V15" s="1">
        <v>1.5088042968527</v>
      </c>
      <c r="W15" s="1">
        <v>-7.3784330460581904</v>
      </c>
      <c r="X15" s="1">
        <v>1.8208737723150099</v>
      </c>
      <c r="Y15" s="1">
        <v>-0.28701115619664103</v>
      </c>
      <c r="Z15" s="1">
        <v>20.2866349407131</v>
      </c>
      <c r="AA15" s="1">
        <v>2.6926208809456802</v>
      </c>
      <c r="AB15" s="1">
        <v>-0.13916428907798201</v>
      </c>
      <c r="AC15" s="1">
        <v>7.38972104432428</v>
      </c>
      <c r="AD15" s="1">
        <v>4.1773881094425303</v>
      </c>
      <c r="AE15" s="1">
        <v>-2.5023951034775802</v>
      </c>
      <c r="AF15" s="1">
        <v>11.7452037933746</v>
      </c>
      <c r="AG15" s="1">
        <v>-3.2186624903075201</v>
      </c>
      <c r="AH15" s="1">
        <v>3.1721681773032202</v>
      </c>
      <c r="AI15" s="1">
        <v>3.7799340510106698</v>
      </c>
      <c r="AJ15" s="1">
        <v>0.92102239769160099</v>
      </c>
      <c r="AK15" s="1">
        <v>7.05578540412266</v>
      </c>
      <c r="AL15" s="1">
        <v>4.8290243393480701</v>
      </c>
      <c r="AM15" s="1">
        <v>7.57166763990283</v>
      </c>
      <c r="AN15" s="1">
        <v>5.7009436541914198</v>
      </c>
      <c r="AO15" s="1">
        <v>-6.0834971813136497E-2</v>
      </c>
      <c r="AP15" s="1">
        <v>15.3762394579174</v>
      </c>
      <c r="AQ15" s="1">
        <v>3.1063082520568601</v>
      </c>
      <c r="AR15" s="1">
        <v>9.1190419953242703</v>
      </c>
      <c r="AS15" s="1">
        <v>1.5599986605349201</v>
      </c>
      <c r="AT15" s="1">
        <v>6.5347626571099902</v>
      </c>
      <c r="AU15" s="1">
        <v>4.6621868797987496</v>
      </c>
      <c r="AV15" s="1">
        <v>3.4936168106396899</v>
      </c>
      <c r="AW15" s="1">
        <v>4.7733827267623896</v>
      </c>
      <c r="AX15" s="1">
        <v>4.6790656995892004</v>
      </c>
      <c r="AY15" s="1">
        <v>5.4134522222476598</v>
      </c>
      <c r="AZ15" s="1">
        <v>3.2402529131995101</v>
      </c>
      <c r="BA15" s="1">
        <v>-0.83617886564337596</v>
      </c>
      <c r="BB15" s="1">
        <v>2.3035848092943598</v>
      </c>
      <c r="BC15" s="1">
        <v>7.0433562036595303</v>
      </c>
      <c r="BD15" s="1">
        <v>5.9625815905151702</v>
      </c>
      <c r="BE15" s="1">
        <v>5.7999999950521204</v>
      </c>
      <c r="BF15" s="1">
        <v>5.2999999996793603</v>
      </c>
    </row>
    <row r="16" spans="1:58" x14ac:dyDescent="0.25">
      <c r="A16" s="28" t="s">
        <v>27</v>
      </c>
      <c r="AK16" s="1">
        <v>-5.8770601613995304</v>
      </c>
      <c r="AL16" s="1">
        <v>1.64706446813105</v>
      </c>
      <c r="AM16" s="1">
        <v>-6.5421920203155999</v>
      </c>
      <c r="AN16" s="1">
        <v>-3.3682544416364402</v>
      </c>
      <c r="AO16" s="1">
        <v>2.10771605209754</v>
      </c>
      <c r="AP16" s="1">
        <v>6.10000028090667</v>
      </c>
      <c r="AQ16" s="1">
        <v>7.7999997870180797</v>
      </c>
      <c r="AR16" s="1">
        <v>6.5999999061263104</v>
      </c>
      <c r="AS16" s="1">
        <v>7.39999984026029</v>
      </c>
      <c r="AT16" s="1">
        <v>7.5000000953419503</v>
      </c>
      <c r="AU16" s="1">
        <v>4.7999998687385501</v>
      </c>
      <c r="AV16" s="1">
        <v>3.00000019887585</v>
      </c>
      <c r="AW16" s="1">
        <v>7.800000100239</v>
      </c>
      <c r="AX16" s="1">
        <v>-6.00000025914159</v>
      </c>
      <c r="AY16" s="1">
        <v>7.1000000924347697</v>
      </c>
      <c r="AZ16" s="1">
        <v>6.8000002876897803</v>
      </c>
      <c r="BA16" s="1">
        <v>-0.70000015311698904</v>
      </c>
      <c r="BB16" s="1">
        <v>9.4000000992282402</v>
      </c>
      <c r="BC16" s="1">
        <v>4.7999997494270001</v>
      </c>
      <c r="BD16" s="1">
        <v>-0.40000012951054498</v>
      </c>
      <c r="BE16" s="1">
        <v>4.4999999656168903</v>
      </c>
      <c r="BF16" s="1">
        <v>4.4999998997969497</v>
      </c>
    </row>
    <row r="17" spans="1:58" x14ac:dyDescent="0.25">
      <c r="A17" s="28" t="s">
        <v>28</v>
      </c>
      <c r="V17" s="1">
        <v>5.0000029494085396</v>
      </c>
      <c r="W17" s="1">
        <v>-6.8999994394117596</v>
      </c>
      <c r="X17" s="1">
        <v>-15.7000020385832</v>
      </c>
      <c r="Y17" s="1">
        <v>-6.4999998798460004</v>
      </c>
      <c r="Z17" s="1">
        <v>0.99999672079451296</v>
      </c>
      <c r="AA17" s="1">
        <v>-2.29999602631008</v>
      </c>
      <c r="AB17" s="1">
        <v>14.700000422831501</v>
      </c>
      <c r="AC17" s="1">
        <v>8.1999951794804993</v>
      </c>
      <c r="AD17" s="1">
        <v>6.5000045516446399</v>
      </c>
      <c r="AE17" s="1">
        <v>0.99999283313445597</v>
      </c>
      <c r="AF17" s="1">
        <v>4.8999991388879103</v>
      </c>
      <c r="AG17" s="1">
        <v>-5.23133058993331</v>
      </c>
      <c r="AH17" s="1">
        <v>8.7671418244606905</v>
      </c>
      <c r="AI17" s="1">
        <v>6.1588624806474597</v>
      </c>
      <c r="AJ17" s="1">
        <v>2.2373100453749499</v>
      </c>
      <c r="AK17" s="1">
        <v>26.845321911800799</v>
      </c>
      <c r="AL17" s="1">
        <v>10.842031640483899</v>
      </c>
      <c r="AM17" s="1">
        <v>11.859393980897099</v>
      </c>
      <c r="AN17" s="1">
        <v>7.8229740270040899</v>
      </c>
      <c r="AO17" s="1">
        <v>1.6785029847974999</v>
      </c>
      <c r="AP17" s="1">
        <v>12.7209658181604</v>
      </c>
      <c r="AQ17" s="1">
        <v>8.7940575812753394</v>
      </c>
      <c r="AR17" s="1">
        <v>6.5006066677159904</v>
      </c>
      <c r="AS17" s="1">
        <v>7.8111861081321301</v>
      </c>
      <c r="AT17" s="1">
        <v>8.7206678772082409</v>
      </c>
      <c r="AU17" s="1">
        <v>9.8510554647083097</v>
      </c>
      <c r="AV17" s="1">
        <v>7.4260609905568904</v>
      </c>
      <c r="AW17" s="1">
        <v>6.8762054468780303</v>
      </c>
      <c r="AX17" s="1">
        <v>6.35197029435533</v>
      </c>
      <c r="AY17" s="1">
        <v>6.6872216323158504</v>
      </c>
      <c r="AZ17" s="1">
        <v>7.11760663190503</v>
      </c>
      <c r="BA17" s="1">
        <v>7.1981858257921196</v>
      </c>
      <c r="BB17" s="1">
        <v>7.1416832995044901</v>
      </c>
      <c r="BC17" s="1">
        <v>7.4440694921197101</v>
      </c>
      <c r="BD17" s="1">
        <v>6.5939859064514801</v>
      </c>
      <c r="BE17" s="1">
        <v>3.7629430392301702</v>
      </c>
      <c r="BF17" s="1">
        <v>3.7106974241939001</v>
      </c>
    </row>
    <row r="18" spans="1:58" x14ac:dyDescent="0.25">
      <c r="A18" s="28" t="s">
        <v>29</v>
      </c>
      <c r="B18" s="1">
        <v>0.47156108037967198</v>
      </c>
      <c r="C18" s="1">
        <v>4.0868725304389404</v>
      </c>
      <c r="D18" s="1">
        <v>13.3492949251415</v>
      </c>
      <c r="E18" s="1">
        <v>-5.8940188396450601</v>
      </c>
      <c r="F18" s="1">
        <v>10.6926495101717</v>
      </c>
      <c r="G18" s="1">
        <v>-4.8517787041822098</v>
      </c>
      <c r="H18" s="1">
        <v>-5.9252588826370003</v>
      </c>
      <c r="I18" s="1">
        <v>12.059340183653701</v>
      </c>
      <c r="J18" s="1">
        <v>3.29174112061312</v>
      </c>
      <c r="K18" s="1">
        <v>4.9793305971676602</v>
      </c>
      <c r="L18" s="1">
        <v>4.1299624445186804</v>
      </c>
      <c r="M18" s="1">
        <v>2.4358413728682802</v>
      </c>
      <c r="N18" s="1">
        <v>-0.96812471833550295</v>
      </c>
      <c r="O18" s="1">
        <v>5.34237568949926</v>
      </c>
      <c r="P18" s="1">
        <v>4.1527091885278802</v>
      </c>
      <c r="Q18" s="1">
        <v>6.0803962292861904</v>
      </c>
      <c r="R18" s="1">
        <v>5.9522866105718997</v>
      </c>
      <c r="S18" s="1">
        <v>6.5178170231427499</v>
      </c>
      <c r="T18" s="1">
        <v>5.2012774807409698</v>
      </c>
      <c r="U18" s="1">
        <v>7.9385380808307398</v>
      </c>
      <c r="V18" s="1">
        <v>6.3557545919585197</v>
      </c>
      <c r="W18" s="1">
        <v>5.6038764255664102</v>
      </c>
      <c r="X18" s="1">
        <v>4.3910926798879997</v>
      </c>
      <c r="Y18" s="1">
        <v>4.9327280261805804</v>
      </c>
      <c r="Z18" s="1">
        <v>2.8510002386845201</v>
      </c>
      <c r="AA18" s="1">
        <v>-1.05734875698275</v>
      </c>
      <c r="AB18" s="1">
        <v>-4.0056317860644404</v>
      </c>
      <c r="AC18" s="1">
        <v>-11.3524394768174</v>
      </c>
      <c r="AD18" s="1">
        <v>3.6952974226781499</v>
      </c>
      <c r="AE18" s="1">
        <v>2.8169332732916699</v>
      </c>
      <c r="AF18" s="1">
        <v>-0.65061690812294204</v>
      </c>
      <c r="AG18" s="1">
        <v>9.6609424527245995</v>
      </c>
      <c r="AH18" s="1">
        <v>6.0394102268840602</v>
      </c>
      <c r="AI18" s="1">
        <v>7.4779583583742504</v>
      </c>
      <c r="AJ18" s="1">
        <v>6.9480514367987496</v>
      </c>
      <c r="AK18" s="1">
        <v>6.4427153474501599</v>
      </c>
      <c r="AL18" s="1">
        <v>5.65158296317676</v>
      </c>
      <c r="AM18" s="1">
        <v>5.8662131529920503</v>
      </c>
      <c r="AN18" s="1">
        <v>10.945129982025801</v>
      </c>
      <c r="AO18" s="1">
        <v>13.745930555989901</v>
      </c>
      <c r="AP18" s="1">
        <v>11.3439970698499</v>
      </c>
      <c r="AQ18" s="1">
        <v>12.025513433977199</v>
      </c>
      <c r="AR18" s="1">
        <v>13.843996890138101</v>
      </c>
      <c r="AS18" s="1">
        <v>13.564661616294201</v>
      </c>
      <c r="AT18" s="1">
        <v>13.5689500216101</v>
      </c>
      <c r="AU18" s="1">
        <v>13.076101379581001</v>
      </c>
      <c r="AV18" s="1">
        <v>11.991435240049899</v>
      </c>
      <c r="AW18" s="1">
        <v>10.255305393015499</v>
      </c>
      <c r="AX18" s="1">
        <v>10.550009096178499</v>
      </c>
      <c r="AY18" s="1">
        <v>9.6344394521446599</v>
      </c>
      <c r="AZ18" s="1">
        <v>5.5914823781961003</v>
      </c>
      <c r="BA18" s="1">
        <v>7.3326704471545101</v>
      </c>
      <c r="BB18" s="1">
        <v>8.4260010248518693</v>
      </c>
      <c r="BC18" s="1">
        <v>7.9912433435203196</v>
      </c>
      <c r="BD18" s="1">
        <v>6.9925155741065597</v>
      </c>
      <c r="BE18" s="1">
        <v>5.8719822263758203</v>
      </c>
      <c r="BF18" s="1">
        <v>6.36884052643458</v>
      </c>
    </row>
    <row r="19" spans="1:58" x14ac:dyDescent="0.25">
      <c r="A19" s="28" t="s">
        <v>31</v>
      </c>
      <c r="B19" s="1">
        <v>1.90826596927236</v>
      </c>
      <c r="C19" s="1">
        <v>1.91032003367357</v>
      </c>
      <c r="D19" s="1">
        <v>1.89511164336658</v>
      </c>
      <c r="E19" s="1">
        <v>7.5324485533171703</v>
      </c>
      <c r="F19" s="1">
        <v>-1.20318901706183</v>
      </c>
      <c r="G19" s="1">
        <v>7.0406431427479204</v>
      </c>
      <c r="H19" s="1">
        <v>-1.5714974981418</v>
      </c>
      <c r="I19" s="1">
        <v>0.67548346391794201</v>
      </c>
      <c r="J19" s="1">
        <v>4.46342160070982</v>
      </c>
      <c r="K19" s="1">
        <v>2.5759921262924799</v>
      </c>
      <c r="L19" s="1">
        <v>-1.1953833001199301</v>
      </c>
      <c r="M19" s="1">
        <v>3.11780036344416</v>
      </c>
      <c r="N19" s="1">
        <v>-0.47653626836205398</v>
      </c>
      <c r="O19" s="1">
        <v>6.3335903734871097</v>
      </c>
      <c r="P19" s="1">
        <v>1.45647070823327</v>
      </c>
      <c r="Q19" s="1">
        <v>4.3985361798315701</v>
      </c>
      <c r="R19" s="1">
        <v>3.0169734406464199</v>
      </c>
      <c r="S19" s="1">
        <v>4.4057413896139401</v>
      </c>
      <c r="T19" s="1">
        <v>2.3688777943633301</v>
      </c>
      <c r="U19" s="1">
        <v>-2.31939420324042</v>
      </c>
      <c r="V19" s="1">
        <v>8.3419741344454206</v>
      </c>
      <c r="W19" s="1">
        <v>3.7793746542902502</v>
      </c>
      <c r="X19" s="1">
        <v>-2.9774058575497699</v>
      </c>
      <c r="Y19" s="1">
        <v>9.6811300152306394</v>
      </c>
      <c r="Z19" s="1">
        <v>6.1449052381674303</v>
      </c>
      <c r="AA19" s="1">
        <v>4.5656505452221596</v>
      </c>
      <c r="AB19" s="1">
        <v>1.69561826463837</v>
      </c>
      <c r="AC19" s="1">
        <v>7.6968087114899904</v>
      </c>
      <c r="AD19" s="1">
        <v>4.3296479338953002</v>
      </c>
      <c r="AE19" s="1">
        <v>4.6350363470598204</v>
      </c>
      <c r="AF19" s="1">
        <v>6.3681504032866902</v>
      </c>
      <c r="AG19" s="1">
        <v>4.10640661228756</v>
      </c>
      <c r="AH19" s="1">
        <v>3.8498500216171299</v>
      </c>
      <c r="AI19" s="1">
        <v>8.2160027093266699</v>
      </c>
      <c r="AJ19" s="1">
        <v>3.46845188342333</v>
      </c>
      <c r="AK19" s="1">
        <v>5.3282841745095597</v>
      </c>
      <c r="AL19" s="1">
        <v>5.0486125359023601</v>
      </c>
      <c r="AM19" s="1">
        <v>3.0163894816854899</v>
      </c>
      <c r="AN19" s="1">
        <v>4.4125732709716896</v>
      </c>
      <c r="AO19" s="1">
        <v>6.1999999875977103</v>
      </c>
      <c r="AP19" s="1">
        <v>4.7997626438878598</v>
      </c>
      <c r="AQ19" s="1">
        <v>0.120266897385847</v>
      </c>
      <c r="AR19" s="1">
        <v>3.9450377673063302</v>
      </c>
      <c r="AS19" s="1">
        <v>4.6826032453513404</v>
      </c>
      <c r="AT19" s="1">
        <v>3.4791810463114698</v>
      </c>
      <c r="AU19" s="1">
        <v>3.3646147880716599</v>
      </c>
      <c r="AV19" s="1">
        <v>3.41156027569262</v>
      </c>
      <c r="AW19" s="1">
        <v>6.1046391423169002</v>
      </c>
      <c r="AX19" s="1">
        <v>4.5330787203928402</v>
      </c>
      <c r="AY19" s="1">
        <v>4.8164146502244396</v>
      </c>
      <c r="AZ19" s="1">
        <v>3.4218282408747198</v>
      </c>
      <c r="BA19" s="1">
        <v>4.78119225754814</v>
      </c>
      <c r="BB19" s="1">
        <v>4.1288776763109203</v>
      </c>
      <c r="BC19" s="1">
        <v>5.9889846608802504</v>
      </c>
      <c r="BD19" s="1">
        <v>3.3229054393755701</v>
      </c>
      <c r="BE19" s="1">
        <v>0.41289187687314699</v>
      </c>
      <c r="BF19" s="1">
        <v>7.4994022885534397</v>
      </c>
    </row>
    <row r="20" spans="1:58" x14ac:dyDescent="0.25">
      <c r="A20" s="28" t="s">
        <v>32</v>
      </c>
      <c r="B20" s="1">
        <v>7.4002119181607799</v>
      </c>
      <c r="C20" s="1">
        <v>11.6953489843483</v>
      </c>
      <c r="D20" s="1">
        <v>9.9431781865350892</v>
      </c>
      <c r="E20" s="1">
        <v>11.1111358664548</v>
      </c>
      <c r="F20" s="1">
        <v>9.0038611199937009</v>
      </c>
      <c r="G20" s="1">
        <v>3.3011363977452199</v>
      </c>
      <c r="H20" s="1">
        <v>6.96951382512579</v>
      </c>
      <c r="I20" s="1">
        <v>1.3429600534577699</v>
      </c>
      <c r="J20" s="1">
        <v>6.2377039074100402</v>
      </c>
      <c r="K20" s="1">
        <v>1.3538265911120699</v>
      </c>
      <c r="L20" s="1">
        <v>3.3047564994872101</v>
      </c>
      <c r="M20" s="1">
        <v>2.22072289156625</v>
      </c>
      <c r="N20" s="1">
        <v>6.4170139740132202</v>
      </c>
      <c r="O20" s="1">
        <v>14.192425094918899</v>
      </c>
      <c r="P20" s="1">
        <v>-0.15324689432553401</v>
      </c>
      <c r="Q20" s="1">
        <v>5.2094544974138604</v>
      </c>
      <c r="R20" s="1">
        <v>8.3684805330067302</v>
      </c>
      <c r="S20" s="1">
        <v>-7.8388003748832897</v>
      </c>
      <c r="T20" s="1">
        <v>-26.478788864893399</v>
      </c>
      <c r="U20" s="1">
        <v>4.6117322791080504</v>
      </c>
      <c r="V20" s="1">
        <v>5.3632901898187102</v>
      </c>
      <c r="W20" s="1">
        <v>-0.81636191892965804</v>
      </c>
      <c r="X20" s="1">
        <v>4.6132116271151897</v>
      </c>
      <c r="Y20" s="1">
        <v>-1.5660939128598701</v>
      </c>
      <c r="Z20" s="1">
        <v>-4.0818514878027399</v>
      </c>
      <c r="AA20" s="1">
        <v>-1.0173091613721099</v>
      </c>
      <c r="AB20" s="1">
        <v>-0.70635294117637704</v>
      </c>
      <c r="AC20" s="1">
        <v>-12.4498220370713</v>
      </c>
      <c r="AD20" s="1">
        <v>-1.69761272858247</v>
      </c>
      <c r="AE20" s="1">
        <v>-9.3064818467780697E-2</v>
      </c>
      <c r="AF20" s="1">
        <v>-0.19071240340269899</v>
      </c>
      <c r="AG20" s="1">
        <v>0.38546712072602002</v>
      </c>
      <c r="AH20" s="1">
        <v>-0.39113849306281201</v>
      </c>
      <c r="AI20" s="1">
        <v>3.33761186435513</v>
      </c>
      <c r="AJ20" s="1">
        <v>5.9119077946102996</v>
      </c>
      <c r="AK20" s="1">
        <v>6.3442683043654302</v>
      </c>
      <c r="AL20" s="1">
        <v>3.96665097334412</v>
      </c>
      <c r="AM20" s="1">
        <v>3.7116814475378601</v>
      </c>
      <c r="AN20" s="1">
        <v>7.0359704803362897</v>
      </c>
      <c r="AO20" s="1">
        <v>4.1015901530124399</v>
      </c>
      <c r="AP20" s="1">
        <v>2.9608435289963499</v>
      </c>
      <c r="AQ20" s="1">
        <v>0.75393894095596203</v>
      </c>
      <c r="AR20" s="1">
        <v>2.5207329360950399</v>
      </c>
      <c r="AS20" s="1">
        <v>5.3121705202133302</v>
      </c>
      <c r="AT20" s="1">
        <v>4.2823983052872903</v>
      </c>
      <c r="AU20" s="1">
        <v>3.80486461731704</v>
      </c>
      <c r="AV20" s="1">
        <v>5.0763520180987296</v>
      </c>
      <c r="AW20" s="1">
        <v>3.4357169360807802</v>
      </c>
      <c r="AX20" s="1">
        <v>-3.2926651586197</v>
      </c>
      <c r="AY20" s="1">
        <v>4.4100991171654602</v>
      </c>
      <c r="AZ20" s="1">
        <v>6.3166855349184203</v>
      </c>
      <c r="BA20" s="1">
        <v>6.4961365432094498</v>
      </c>
      <c r="BB20" s="1">
        <v>4.9270940634137901</v>
      </c>
      <c r="BC20" s="1">
        <v>4.7854602004422304</v>
      </c>
      <c r="BD20" s="1">
        <v>4.76860879419793</v>
      </c>
      <c r="BE20" s="1">
        <v>4.6587591916021296</v>
      </c>
      <c r="BF20" s="1">
        <v>4.8610949762172</v>
      </c>
    </row>
    <row r="21" spans="1:58" x14ac:dyDescent="0.25">
      <c r="A21" s="28" t="s">
        <v>33</v>
      </c>
      <c r="B21" s="1">
        <v>4.5463930365000902</v>
      </c>
      <c r="C21" s="1">
        <v>10.278713494298399</v>
      </c>
      <c r="D21" s="1">
        <v>9.4282293210078496</v>
      </c>
      <c r="E21" s="1">
        <v>0.13103988960357099</v>
      </c>
      <c r="F21" s="1">
        <v>6.9197618187294401</v>
      </c>
      <c r="G21" s="1">
        <v>-0.38249719840588597</v>
      </c>
      <c r="H21" s="1">
        <v>0.122868670426485</v>
      </c>
      <c r="I21" s="1">
        <v>0.38349466225926698</v>
      </c>
      <c r="J21" s="1">
        <v>-5.4859458120611597</v>
      </c>
      <c r="K21" s="1">
        <v>3.0557789221535199</v>
      </c>
      <c r="L21" s="1">
        <v>5.6793206435699197</v>
      </c>
      <c r="M21" s="1">
        <v>-5.1662723061600202</v>
      </c>
      <c r="N21" s="1">
        <v>-17.047583570958199</v>
      </c>
      <c r="O21" s="1">
        <v>8.7752380504887402</v>
      </c>
      <c r="P21" s="1">
        <v>-2.7931934356381598</v>
      </c>
      <c r="Q21" s="1">
        <v>0.67820340231987997</v>
      </c>
      <c r="R21" s="1">
        <v>7.7645811191130196</v>
      </c>
      <c r="S21" s="1">
        <v>13.472612331383701</v>
      </c>
      <c r="T21" s="1">
        <v>7.1469960659650997</v>
      </c>
      <c r="U21" s="1">
        <v>-2.2324446911053402</v>
      </c>
      <c r="V21" s="1">
        <v>0.60891523908905798</v>
      </c>
      <c r="W21" s="1">
        <v>1.6231021998596999</v>
      </c>
      <c r="X21" s="1">
        <v>-4.7509432292635001</v>
      </c>
      <c r="Y21" s="1">
        <v>-16.825354995541801</v>
      </c>
      <c r="Z21" s="1">
        <v>7.7225438843204302</v>
      </c>
      <c r="AA21" s="1">
        <v>6.360026804646</v>
      </c>
      <c r="AB21" s="1">
        <v>7.4556245189015199E-2</v>
      </c>
      <c r="AC21" s="1">
        <v>6.8991217158370004</v>
      </c>
      <c r="AD21" s="1">
        <v>0.93392913825824997</v>
      </c>
      <c r="AE21" s="1">
        <v>-1.2843553810081301</v>
      </c>
      <c r="AF21" s="1">
        <v>2.50420327438201</v>
      </c>
      <c r="AG21" s="1">
        <v>-6.5164446013597201</v>
      </c>
      <c r="AH21" s="1">
        <v>1.44943787573517</v>
      </c>
      <c r="AI21" s="1">
        <v>4.00456170421623</v>
      </c>
      <c r="AJ21" s="1">
        <v>2.6057558543661399</v>
      </c>
      <c r="AK21" s="1">
        <v>3.4190930985409098</v>
      </c>
      <c r="AL21" s="1">
        <v>2.75396562350956</v>
      </c>
      <c r="AM21" s="1">
        <v>10.4222625215939</v>
      </c>
      <c r="AN21" s="1">
        <v>-0.56875833186579405</v>
      </c>
      <c r="AO21" s="1">
        <v>-1.40950935004449</v>
      </c>
      <c r="AP21" s="1">
        <v>7.1043406120674897</v>
      </c>
      <c r="AQ21" s="1">
        <v>2.99912203563383</v>
      </c>
      <c r="AR21" s="1">
        <v>5.2999999983132096</v>
      </c>
      <c r="AS21" s="1">
        <v>0.10000000083576301</v>
      </c>
      <c r="AT21" s="1">
        <v>4.4999999993622204</v>
      </c>
      <c r="AU21" s="1">
        <v>5.8000000015313704</v>
      </c>
      <c r="AV21" s="1">
        <v>3.1465703955973101</v>
      </c>
      <c r="AW21" s="1">
        <v>9.5876732094864998</v>
      </c>
      <c r="AX21" s="1">
        <v>-0.71267117377095701</v>
      </c>
      <c r="AY21" s="1">
        <v>8.3692397984907796</v>
      </c>
      <c r="AZ21" s="1">
        <v>2.27828473880811</v>
      </c>
      <c r="BA21" s="1">
        <v>11.849819181667399</v>
      </c>
      <c r="BB21" s="1">
        <v>5.2684148973020397</v>
      </c>
      <c r="BC21" s="1">
        <v>7.5290430684910499</v>
      </c>
      <c r="BD21" s="1">
        <v>4.33759111585388</v>
      </c>
      <c r="BE21" s="1">
        <v>4.92571448640469</v>
      </c>
      <c r="BF21" s="1">
        <v>4.8945165911239004</v>
      </c>
    </row>
    <row r="22" spans="1:58" x14ac:dyDescent="0.25">
      <c r="A22" s="28" t="s">
        <v>34</v>
      </c>
      <c r="B22" s="1">
        <v>-4.2975260477929096</v>
      </c>
      <c r="C22" s="1">
        <v>11.3337983693871</v>
      </c>
      <c r="D22" s="1">
        <v>-9.8204444136560802</v>
      </c>
      <c r="E22" s="1">
        <v>-12.4649926830224</v>
      </c>
      <c r="F22" s="1">
        <v>7.0095292548944901</v>
      </c>
      <c r="G22" s="1">
        <v>7.0089108232056097</v>
      </c>
      <c r="H22" s="1">
        <v>6.91601750989651</v>
      </c>
      <c r="I22" s="1">
        <v>7.0137809277849898</v>
      </c>
      <c r="J22" s="1">
        <v>11.0073701496007</v>
      </c>
      <c r="K22" s="1">
        <v>6.0014252449969696</v>
      </c>
      <c r="L22" s="1">
        <v>1.20664070224264</v>
      </c>
      <c r="M22" s="1">
        <v>0.26306827157360102</v>
      </c>
      <c r="N22" s="1">
        <v>3.4380881358617299</v>
      </c>
      <c r="O22" s="1">
        <v>1.40982357085026</v>
      </c>
      <c r="P22" s="1">
        <v>-2.1138254230278202</v>
      </c>
      <c r="Q22" s="1">
        <v>19.504577171159301</v>
      </c>
      <c r="R22" s="1">
        <v>1.9941094802713999</v>
      </c>
      <c r="S22" s="1">
        <v>9.1508408175140907</v>
      </c>
      <c r="T22" s="1">
        <v>11.869908038505001</v>
      </c>
      <c r="U22" s="1">
        <v>8.9516123307594508</v>
      </c>
      <c r="V22" s="1">
        <v>5.4361994803542997</v>
      </c>
      <c r="W22" s="1">
        <v>1.81084644591472</v>
      </c>
      <c r="X22" s="1">
        <v>5.98034993649929</v>
      </c>
      <c r="Y22" s="1">
        <v>-4.2407732807182903</v>
      </c>
      <c r="Z22" s="1">
        <v>4.40274833640078</v>
      </c>
      <c r="AA22" s="1">
        <v>5.4721374858561402</v>
      </c>
      <c r="AB22" s="1">
        <v>-2.4036107500464299E-2</v>
      </c>
      <c r="AC22" s="1">
        <v>4.4988249932748099</v>
      </c>
      <c r="AD22" s="1">
        <v>-3.6534273655092903E-2</v>
      </c>
      <c r="AE22" s="1">
        <v>-2.3992910969102299</v>
      </c>
      <c r="AF22" s="1">
        <v>-2.5143796535735401</v>
      </c>
      <c r="AG22" s="1">
        <v>5.87272523445922</v>
      </c>
      <c r="AH22" s="1">
        <v>-8.1086918735224707</v>
      </c>
      <c r="AI22" s="1">
        <v>-50.248067104998597</v>
      </c>
      <c r="AJ22" s="1">
        <v>35.224078307843698</v>
      </c>
      <c r="AK22" s="1">
        <v>12.745695757101201</v>
      </c>
      <c r="AL22" s="1">
        <v>13.8497524860346</v>
      </c>
      <c r="AM22" s="1">
        <v>8.8586694956528298</v>
      </c>
      <c r="AN22" s="1">
        <v>4.3223781577431204</v>
      </c>
      <c r="AO22" s="1">
        <v>8.3709081733702195</v>
      </c>
      <c r="AP22" s="1">
        <v>8.4845817272909407</v>
      </c>
      <c r="AQ22" s="1">
        <v>13.192067570011</v>
      </c>
      <c r="AR22" s="1">
        <v>2.2023723717093699</v>
      </c>
      <c r="AS22" s="1">
        <v>7.4476763788479303</v>
      </c>
      <c r="AT22" s="1">
        <v>9.3779159267004797</v>
      </c>
      <c r="AU22" s="1">
        <v>9.2270758442820107</v>
      </c>
      <c r="AV22" s="1">
        <v>7.6332870391909902</v>
      </c>
      <c r="AW22" s="1">
        <v>11.1612446148125</v>
      </c>
      <c r="AX22" s="1">
        <v>6.2482625635957003</v>
      </c>
      <c r="AY22" s="1">
        <v>7.3346387734400498</v>
      </c>
      <c r="AZ22" s="1">
        <v>8.0171069145887692</v>
      </c>
      <c r="BA22" s="1">
        <v>8.6457290195359295</v>
      </c>
      <c r="BB22" s="1">
        <v>4.6588729265100604</v>
      </c>
      <c r="BC22" s="1">
        <v>7.6245757495927204</v>
      </c>
      <c r="BD22" s="1">
        <v>8.86797737443902</v>
      </c>
      <c r="BE22" s="1">
        <v>5.98131491296596</v>
      </c>
      <c r="BF22" s="1">
        <v>6.1005940483540799</v>
      </c>
    </row>
    <row r="23" spans="1:58" x14ac:dyDescent="0.25">
      <c r="A23" s="28" t="s">
        <v>35</v>
      </c>
      <c r="AQ23" s="1">
        <v>2.3768774742280798</v>
      </c>
      <c r="AR23" s="1">
        <v>6.5734726993345403</v>
      </c>
      <c r="AS23" s="1">
        <v>3.8322270846451301</v>
      </c>
      <c r="AT23" s="1">
        <v>7.0937704467562499</v>
      </c>
      <c r="AU23" s="1">
        <v>9.1156465459020701</v>
      </c>
      <c r="AV23" s="1">
        <v>3.2536049123670798</v>
      </c>
      <c r="AW23" s="1">
        <v>8.1861718189639596</v>
      </c>
      <c r="AX23" s="1">
        <v>2.42628134399851</v>
      </c>
      <c r="AY23" s="1">
        <v>6.6719853199217498</v>
      </c>
      <c r="AZ23" s="1">
        <v>4.3982016882656998</v>
      </c>
      <c r="BA23" s="1">
        <v>3.1419758486854898</v>
      </c>
      <c r="BB23" s="1">
        <v>4.8147943869875096</v>
      </c>
      <c r="BC23" s="1">
        <v>6.5499331020344398</v>
      </c>
      <c r="BD23" s="1">
        <v>3.81998853521304</v>
      </c>
      <c r="BE23" s="1">
        <v>4.1792092680181998</v>
      </c>
      <c r="BF23" s="1">
        <v>3.8749602212071501</v>
      </c>
    </row>
    <row r="24" spans="1:58" x14ac:dyDescent="0.25">
      <c r="A24" s="28" t="s">
        <v>2</v>
      </c>
      <c r="C24" s="1">
        <v>3.81801955804475</v>
      </c>
      <c r="D24" s="1">
        <v>2.51674859426929</v>
      </c>
      <c r="E24" s="1">
        <v>3.9064338374071901</v>
      </c>
      <c r="F24" s="1">
        <v>2.5369535350572798</v>
      </c>
      <c r="G24" s="1">
        <v>5.0237894388104998</v>
      </c>
      <c r="H24" s="1">
        <v>6.4390244198930597</v>
      </c>
      <c r="I24" s="1">
        <v>5.8010941668134999</v>
      </c>
      <c r="J24" s="1">
        <v>7.7168196616551699</v>
      </c>
      <c r="K24" s="1">
        <v>3.8466298552930702</v>
      </c>
      <c r="L24" s="1">
        <v>1.30690540231168</v>
      </c>
      <c r="M24" s="1">
        <v>-0.41047991882295798</v>
      </c>
      <c r="N24" s="1">
        <v>7.0573989345745796</v>
      </c>
      <c r="O24" s="1">
        <v>3.8458308373174401</v>
      </c>
      <c r="P24" s="1">
        <v>6.1262331650004702</v>
      </c>
      <c r="Q24" s="1">
        <v>3.3351066902162398</v>
      </c>
      <c r="R24" s="1">
        <v>5.1005902676449999</v>
      </c>
      <c r="S24" s="1">
        <v>5.65383685205222</v>
      </c>
      <c r="T24" s="1">
        <v>6.4035569252160398</v>
      </c>
      <c r="U24" s="1">
        <v>5.8460265156251996</v>
      </c>
      <c r="V24" s="1">
        <v>5.69952476907687</v>
      </c>
      <c r="W24" s="1">
        <v>4.1414956999411698</v>
      </c>
      <c r="X24" s="1">
        <v>4.8139909711313296</v>
      </c>
      <c r="Y24" s="1">
        <v>5.0991465605861199</v>
      </c>
      <c r="Z24" s="1">
        <v>4.9994063691549302</v>
      </c>
      <c r="AA24" s="1">
        <v>4.3555469169942</v>
      </c>
      <c r="AB24" s="1">
        <v>1.7256106910010101</v>
      </c>
      <c r="AC24" s="1">
        <v>2.4726850377301002</v>
      </c>
      <c r="AD24" s="1">
        <v>2.29930141383986</v>
      </c>
      <c r="AE24" s="1">
        <v>6.3999953069393003</v>
      </c>
      <c r="AF24" s="1">
        <v>4.5999872445227803</v>
      </c>
      <c r="AG24" s="1">
        <v>4.3999912518561501</v>
      </c>
      <c r="AH24" s="1">
        <v>6.9000632519723304</v>
      </c>
      <c r="AI24" s="1">
        <v>5.5999187272134598</v>
      </c>
      <c r="AJ24" s="1">
        <v>5.5000852320522702</v>
      </c>
      <c r="AK24" s="1">
        <v>3.79996720523084</v>
      </c>
      <c r="AL24" s="1">
        <v>6.4053996977280896</v>
      </c>
      <c r="AM24" s="1">
        <v>4.6984230462325796</v>
      </c>
      <c r="AN24" s="1">
        <v>4.3005404979237598</v>
      </c>
      <c r="AO24" s="1">
        <v>6.0000331601439898</v>
      </c>
      <c r="AP24" s="1">
        <v>-1.54540813414314</v>
      </c>
      <c r="AQ24" s="1">
        <v>3.9646756856609202</v>
      </c>
      <c r="AR24" s="1">
        <v>5.9402690776047802</v>
      </c>
      <c r="AS24" s="1">
        <v>5.4450612778996801</v>
      </c>
      <c r="AT24" s="1">
        <v>6.2417480446522502</v>
      </c>
      <c r="AU24" s="1">
        <v>7.6682919001127097</v>
      </c>
      <c r="AV24" s="1">
        <v>6.7968261189581103</v>
      </c>
      <c r="AW24" s="1">
        <v>5.9500881450785004</v>
      </c>
      <c r="AX24" s="1">
        <v>3.5389120529913201</v>
      </c>
      <c r="AY24" s="1">
        <v>8.0159594065227502</v>
      </c>
      <c r="AZ24" s="1">
        <v>8.4047381311287008</v>
      </c>
      <c r="BA24" s="1">
        <v>9.1445793876353303</v>
      </c>
      <c r="BB24" s="1">
        <v>3.3957227742917402</v>
      </c>
      <c r="BC24" s="1">
        <v>4.9607065405657496</v>
      </c>
      <c r="BD24" s="1">
        <v>5.0076833047278102</v>
      </c>
      <c r="BE24" s="1">
        <v>4.4688296883747798</v>
      </c>
      <c r="BF24" s="1">
        <v>3.1125580949443301</v>
      </c>
    </row>
    <row r="25" spans="1:58" x14ac:dyDescent="0.25">
      <c r="A25" s="28" t="s">
        <v>36</v>
      </c>
      <c r="AA25" s="1">
        <v>3.4999998730957702</v>
      </c>
      <c r="AB25" s="1">
        <v>-1.20000004458646</v>
      </c>
      <c r="AC25" s="1">
        <v>13.900001094354</v>
      </c>
      <c r="AD25" s="1">
        <v>-6.5000006636470298</v>
      </c>
      <c r="AE25" s="1">
        <v>-0.59999963133663003</v>
      </c>
      <c r="AF25" s="1">
        <v>-7.0999990962252504</v>
      </c>
      <c r="AG25" s="1">
        <v>-29.0000010554471</v>
      </c>
      <c r="AH25" s="1">
        <v>-16.399999844882199</v>
      </c>
      <c r="AI25" s="1">
        <v>-21.2999980130949</v>
      </c>
      <c r="AJ25" s="1">
        <v>-12.400000373295599</v>
      </c>
      <c r="AK25" s="1">
        <v>-16.6999987664469</v>
      </c>
      <c r="AL25" s="1">
        <v>1.69999579975382</v>
      </c>
      <c r="AM25" s="1">
        <v>5.3000007677630503</v>
      </c>
      <c r="AN25" s="1">
        <v>3.6999996731532399</v>
      </c>
      <c r="AO25" s="1">
        <v>8.3000010122285204</v>
      </c>
      <c r="AP25" s="1">
        <v>10.200001052183501</v>
      </c>
      <c r="AQ25" s="1">
        <v>10.7999999187409</v>
      </c>
      <c r="AR25" s="1">
        <v>10.999997112295</v>
      </c>
      <c r="AS25" s="1">
        <v>10.300001709580901</v>
      </c>
      <c r="AT25" s="1">
        <v>6.69999705736541</v>
      </c>
      <c r="AU25" s="1">
        <v>7.0000018947117004</v>
      </c>
      <c r="AV25" s="1">
        <v>7.8000013444648602</v>
      </c>
      <c r="AW25" s="1">
        <v>7.8999978311158099</v>
      </c>
      <c r="AX25" s="1">
        <v>3.8000009923572802</v>
      </c>
      <c r="AY25" s="1">
        <v>6.5000003530785797</v>
      </c>
      <c r="AZ25" s="1">
        <v>7.3999993828456603</v>
      </c>
      <c r="BA25" s="1">
        <v>7.4999991689212404</v>
      </c>
      <c r="BB25" s="1">
        <v>7.4000005698825904</v>
      </c>
      <c r="BC25" s="1">
        <v>6.6992506598828401</v>
      </c>
      <c r="BD25" s="1">
        <v>6</v>
      </c>
      <c r="BE25" s="1">
        <v>6.9000014547358903</v>
      </c>
      <c r="BF25" s="1">
        <v>7.1000007076357701</v>
      </c>
    </row>
    <row r="26" spans="1:58" x14ac:dyDescent="0.25">
      <c r="A26" s="28" t="s">
        <v>37</v>
      </c>
      <c r="AD26" s="1">
        <v>3.7644434069955302</v>
      </c>
      <c r="AE26" s="1">
        <v>7.04507164384201</v>
      </c>
      <c r="AF26" s="1">
        <v>2.0719882113419201</v>
      </c>
      <c r="AG26" s="1">
        <v>0.58432213380650899</v>
      </c>
      <c r="AH26" s="1">
        <v>1.2058008087037999</v>
      </c>
      <c r="AI26" s="1">
        <v>1.56766176561416</v>
      </c>
      <c r="AJ26" s="1">
        <v>3.5699118682941098</v>
      </c>
      <c r="AK26" s="1">
        <v>4.5443668018247196</v>
      </c>
      <c r="AL26" s="1">
        <v>3.52527819146272</v>
      </c>
      <c r="AM26" s="1">
        <v>3.7085115959470998</v>
      </c>
      <c r="AN26" s="1">
        <v>4.8403823252684504</v>
      </c>
      <c r="AO26" s="1">
        <v>4.9338466271145798</v>
      </c>
      <c r="AP26" s="1">
        <v>5.9978288575808696</v>
      </c>
      <c r="AQ26" s="1">
        <v>7.1635535364827501</v>
      </c>
      <c r="AR26" s="1">
        <v>6.8862265322819702</v>
      </c>
      <c r="AS26" s="1">
        <v>7.8282983809593798</v>
      </c>
      <c r="AT26" s="1">
        <v>8.1733358341381308</v>
      </c>
      <c r="AU26" s="1">
        <v>4.6605709954801604</v>
      </c>
      <c r="AV26" s="1">
        <v>8.4643812415567101</v>
      </c>
      <c r="AW26" s="1">
        <v>5.5665956483045296</v>
      </c>
      <c r="AX26" s="1">
        <v>5.38234616843563</v>
      </c>
      <c r="AY26" s="1">
        <v>6.3588860812991799</v>
      </c>
      <c r="AZ26" s="1">
        <v>7.9045075723474101</v>
      </c>
      <c r="BA26" s="1">
        <v>5.14101362067316</v>
      </c>
      <c r="BB26" s="1">
        <v>7.2630609971293003</v>
      </c>
      <c r="BC26" s="1">
        <v>6.9651349357290497</v>
      </c>
      <c r="BD26" s="1">
        <v>6.9593142468231397</v>
      </c>
      <c r="BE26" s="1">
        <v>6.9681294933237004</v>
      </c>
      <c r="BF26" s="1">
        <v>7.1041612647215304</v>
      </c>
    </row>
    <row r="27" spans="1:58" x14ac:dyDescent="0.25">
      <c r="A27" s="28" t="s">
        <v>38</v>
      </c>
      <c r="X27" s="1">
        <v>5.7445577086957904</v>
      </c>
      <c r="Y27" s="1">
        <v>-0.34467668060891299</v>
      </c>
      <c r="Z27" s="1">
        <v>-3.3063800034302302</v>
      </c>
      <c r="AA27" s="1">
        <v>0.390086945692531</v>
      </c>
      <c r="AB27" s="1">
        <v>3.9619027865246599</v>
      </c>
      <c r="AC27" s="1">
        <v>8.2670735443124403</v>
      </c>
      <c r="AD27" s="1">
        <v>6.36194124692142</v>
      </c>
      <c r="AE27" s="1">
        <v>6.4741401508592098</v>
      </c>
      <c r="AF27" s="1">
        <v>5.5540954959264202</v>
      </c>
      <c r="AG27" s="1">
        <v>3.4183568915253599</v>
      </c>
      <c r="AH27" s="1">
        <v>8.3262925204952403</v>
      </c>
      <c r="AI27" s="1">
        <v>6.4036357432406303</v>
      </c>
      <c r="AJ27" s="1">
        <v>11.523243808244199</v>
      </c>
      <c r="AK27" s="1">
        <v>9.0721145819309204</v>
      </c>
      <c r="AL27" s="1">
        <v>5.1000018636117499</v>
      </c>
      <c r="AM27" s="1">
        <v>4.9052654839079297</v>
      </c>
      <c r="AN27" s="1">
        <v>8.0539483765949509</v>
      </c>
      <c r="AO27" s="1">
        <v>3.1419073382037199</v>
      </c>
      <c r="AP27" s="1">
        <v>5.1836611262893699</v>
      </c>
      <c r="AQ27" s="1">
        <v>8.7326857640152902</v>
      </c>
      <c r="AR27" s="1">
        <v>6.4732586714868701</v>
      </c>
      <c r="AS27" s="1">
        <v>6.8072333442704398</v>
      </c>
      <c r="AT27" s="1">
        <v>6.3325651163091603</v>
      </c>
      <c r="AU27" s="1">
        <v>10.7847443860372</v>
      </c>
      <c r="AV27" s="1">
        <v>8.4124259655052498</v>
      </c>
      <c r="AW27" s="1">
        <v>8.7087519014194008</v>
      </c>
      <c r="AX27" s="1">
        <v>6.80151734801436</v>
      </c>
      <c r="AY27" s="1">
        <v>5.6375998025085501</v>
      </c>
      <c r="AZ27" s="1">
        <v>9.3916677490511091</v>
      </c>
      <c r="BA27" s="1">
        <v>3.8374556059748799</v>
      </c>
      <c r="BB27" s="1">
        <v>3.5869058261957201</v>
      </c>
      <c r="BC27" s="1">
        <v>5.1063073242880703</v>
      </c>
      <c r="BD27" s="1">
        <v>5.1878598626103001</v>
      </c>
      <c r="BE27" s="1">
        <v>4.6565755980861496</v>
      </c>
      <c r="BF27" s="1">
        <v>3.9647798883388798</v>
      </c>
    </row>
    <row r="28" spans="1:58" x14ac:dyDescent="0.25">
      <c r="A28" s="28" t="s">
        <v>39</v>
      </c>
      <c r="B28" s="1">
        <v>1.3613819914748899</v>
      </c>
      <c r="C28" s="1">
        <v>-2.4908394745487099</v>
      </c>
      <c r="D28" s="1">
        <v>3.2723928927252399</v>
      </c>
      <c r="E28" s="1">
        <v>12.2140480179322</v>
      </c>
      <c r="F28" s="1">
        <v>16.6474559632126</v>
      </c>
      <c r="G28" s="1">
        <v>-5.5703098086046801</v>
      </c>
      <c r="H28" s="1">
        <v>7.9196965119987501</v>
      </c>
      <c r="I28" s="1">
        <v>1.2483299822279701</v>
      </c>
      <c r="J28" s="1">
        <v>-0.436915823088185</v>
      </c>
      <c r="K28" s="1">
        <v>4.7971129031889603</v>
      </c>
      <c r="L28" s="1">
        <v>-8.6039550867440098E-2</v>
      </c>
      <c r="M28" s="1">
        <v>9.2088651423127903</v>
      </c>
      <c r="N28" s="1">
        <v>-0.96204875642632703</v>
      </c>
      <c r="O28" s="1">
        <v>6.4281585489209601</v>
      </c>
      <c r="P28" s="1">
        <v>-2.2693289241895198</v>
      </c>
      <c r="Q28" s="1">
        <v>6.2209752670717497</v>
      </c>
      <c r="R28" s="1">
        <v>-4.5642361743653801</v>
      </c>
      <c r="S28" s="1">
        <v>0.55376384424839398</v>
      </c>
      <c r="T28" s="1">
        <v>-3.0239310312180101</v>
      </c>
      <c r="U28" s="1">
        <v>3.0356223506610398</v>
      </c>
      <c r="V28" s="1">
        <v>6.1679574065058898</v>
      </c>
      <c r="W28" s="1">
        <v>-2.8127826286889102</v>
      </c>
      <c r="X28" s="1">
        <v>-1.9666892976213399</v>
      </c>
      <c r="Y28" s="1">
        <v>-0.336834899256019</v>
      </c>
      <c r="Z28" s="1">
        <v>1.61531036759311</v>
      </c>
      <c r="AA28" s="1">
        <v>0.72389395592391304</v>
      </c>
      <c r="AB28" s="1">
        <v>2.6756617134113299</v>
      </c>
      <c r="AC28" s="1">
        <v>6.28074900897695</v>
      </c>
      <c r="AD28" s="1">
        <v>-1.0235017886986999</v>
      </c>
      <c r="AE28" s="1">
        <v>-0.48107202778166402</v>
      </c>
      <c r="AF28" s="1">
        <v>-3.6133383882315698E-2</v>
      </c>
      <c r="AG28" s="1">
        <v>-1.7309221735256599</v>
      </c>
      <c r="AH28" s="1">
        <v>6.7972740490711798</v>
      </c>
      <c r="AI28" s="1">
        <v>-8.6254419523127996</v>
      </c>
      <c r="AJ28" s="1">
        <v>2.8976688934169799</v>
      </c>
      <c r="AK28" s="1">
        <v>6.2185464889429296</v>
      </c>
      <c r="AL28" s="1">
        <v>3.81400749718355</v>
      </c>
      <c r="AM28" s="1">
        <v>-0.38574614579034999</v>
      </c>
      <c r="AN28" s="1">
        <v>4.6501897463741004</v>
      </c>
      <c r="AO28" s="1">
        <v>3.8973229434189598</v>
      </c>
      <c r="AP28" s="1">
        <v>5.3168682741841904</v>
      </c>
      <c r="AQ28" s="1">
        <v>4.5060142803260099</v>
      </c>
      <c r="AR28" s="1">
        <v>6.94497398221226</v>
      </c>
      <c r="AS28" s="1">
        <v>7.0323951151521698</v>
      </c>
      <c r="AT28" s="1">
        <v>7.2355990065554296</v>
      </c>
      <c r="AU28" s="1">
        <v>7.9036944448008102</v>
      </c>
      <c r="AV28" s="1">
        <v>8.3524362444740792</v>
      </c>
      <c r="AW28" s="1">
        <v>7.7738958154236002</v>
      </c>
      <c r="AX28" s="1">
        <v>9.2203484058663001</v>
      </c>
      <c r="AY28" s="1">
        <v>10.2982058517493</v>
      </c>
      <c r="AZ28" s="1">
        <v>5.5646247167387299</v>
      </c>
      <c r="BA28" s="1">
        <v>7.5976169688654496</v>
      </c>
      <c r="BB28" s="1">
        <v>5.0593763782265704</v>
      </c>
      <c r="BC28" s="1">
        <v>4.6958263726904796</v>
      </c>
      <c r="BD28" s="1">
        <v>2.9198811101871298</v>
      </c>
      <c r="BE28" s="1">
        <v>3.7571778047637401</v>
      </c>
      <c r="BF28" s="1">
        <v>4.0767154973014401</v>
      </c>
    </row>
    <row r="29" spans="1:58" x14ac:dyDescent="0.25">
      <c r="A29" s="28" t="s">
        <v>40</v>
      </c>
      <c r="B29" s="1">
        <v>6.3161572693811499</v>
      </c>
      <c r="C29" s="1">
        <v>1.43447088725841</v>
      </c>
      <c r="D29" s="1">
        <v>6.2443445066623902</v>
      </c>
      <c r="E29" s="1">
        <v>-1.1061718588286999</v>
      </c>
      <c r="F29" s="1">
        <v>4.9105705867018399</v>
      </c>
      <c r="G29" s="1">
        <v>1.5231300264023799</v>
      </c>
      <c r="H29" s="1">
        <v>8.3670089302274402</v>
      </c>
      <c r="I29" s="1">
        <v>1.9701349696183601</v>
      </c>
      <c r="J29" s="1">
        <v>12.4282358345824</v>
      </c>
      <c r="K29" s="1">
        <v>22.565150839186501</v>
      </c>
      <c r="L29" s="1">
        <v>8.9175866420938892</v>
      </c>
      <c r="M29" s="1">
        <v>8.3297747275245193</v>
      </c>
      <c r="N29" s="1">
        <v>2.6047146972872501</v>
      </c>
      <c r="O29" s="1">
        <v>6.6251536176685999</v>
      </c>
      <c r="P29" s="1">
        <v>-1.9312232388006401</v>
      </c>
      <c r="Q29" s="1">
        <v>0.464838905538841</v>
      </c>
      <c r="R29" s="1">
        <v>-6.8607031934178604</v>
      </c>
      <c r="S29" s="1">
        <v>-2.70692248477576</v>
      </c>
      <c r="T29" s="1">
        <v>3.2970353993860901</v>
      </c>
      <c r="U29" s="1">
        <v>14.420683903897</v>
      </c>
      <c r="V29" s="1">
        <v>12.5254248597006</v>
      </c>
      <c r="W29" s="1">
        <v>2.6342971440809899</v>
      </c>
      <c r="X29" s="1">
        <v>1.5853054593915901</v>
      </c>
      <c r="Y29" s="1">
        <v>-1.90736010746745</v>
      </c>
      <c r="Z29" s="1">
        <v>6.9443877657105197</v>
      </c>
      <c r="AA29" s="1">
        <v>2.0990291289549399</v>
      </c>
      <c r="AB29" s="1">
        <v>1.1507372045407001</v>
      </c>
      <c r="AC29" s="1">
        <v>7.5523745080478601</v>
      </c>
      <c r="AD29" s="1">
        <v>5.1997664436911704</v>
      </c>
      <c r="AE29" s="1">
        <v>6.9885529331854599</v>
      </c>
      <c r="AF29" s="1">
        <v>5.5317820723121303</v>
      </c>
      <c r="AG29" s="1">
        <v>-9.0155698205530008</v>
      </c>
      <c r="AH29" s="1">
        <v>1.05145850909602</v>
      </c>
      <c r="AI29" s="1">
        <v>9.2351987418700894</v>
      </c>
      <c r="AJ29" s="1">
        <v>0.15802575242264499</v>
      </c>
      <c r="AK29" s="1">
        <v>10.360696743294801</v>
      </c>
      <c r="AL29" s="1">
        <v>2.6805941737693102</v>
      </c>
      <c r="AM29" s="1">
        <v>2.88521191729652</v>
      </c>
      <c r="AN29" s="1">
        <v>-0.817820898748295</v>
      </c>
      <c r="AO29" s="1">
        <v>-3.0591896255346902</v>
      </c>
      <c r="AP29" s="1">
        <v>1.4396150744607299</v>
      </c>
      <c r="AQ29" s="1">
        <v>-8.8940234172610406</v>
      </c>
      <c r="AR29" s="1">
        <v>-16.995074527550099</v>
      </c>
      <c r="AS29" s="1">
        <v>-5.8075383034693999</v>
      </c>
      <c r="AT29" s="1">
        <v>-5.7110838330467999</v>
      </c>
      <c r="AU29" s="1">
        <v>-3.4614950504017798</v>
      </c>
      <c r="AV29" s="1">
        <v>-3.6533270433956302</v>
      </c>
      <c r="AW29" s="1">
        <v>-17.668946597618699</v>
      </c>
      <c r="AX29" s="1">
        <v>12.0195605024805</v>
      </c>
      <c r="AY29" s="1">
        <v>12.5810269716888</v>
      </c>
      <c r="AZ29" s="1">
        <v>15.4457329845232</v>
      </c>
      <c r="BA29" s="1">
        <v>14.779595141064499</v>
      </c>
      <c r="BB29" s="1">
        <v>5.5297872075575896</v>
      </c>
      <c r="BC29" s="1">
        <v>2.1270839080275201</v>
      </c>
      <c r="BD29" s="1">
        <v>1.6895945920784201</v>
      </c>
      <c r="BE29" s="1">
        <v>0.615713754356918</v>
      </c>
      <c r="BF29" s="1">
        <v>3.4470951447746399</v>
      </c>
    </row>
    <row r="32" spans="1:58" x14ac:dyDescent="0.25">
      <c r="C32" s="25">
        <v>1961</v>
      </c>
      <c r="D32" s="1">
        <f>VLOOKUP(Indicateur2!$K$6,prevision2!$A$1:$BF$29,MATCH(C32,$A$1:$BF$1,0),FALSE)</f>
        <v>-7.77463490412923</v>
      </c>
      <c r="H32" s="25">
        <v>1961</v>
      </c>
      <c r="I32" s="1">
        <f>VLOOKUP('comite 1'!$C$4,prevision2!$A$1:$BG$28,MATCH(H32,$A$1:$BG$1,0),FALSE)</f>
        <v>-7.77463490412923</v>
      </c>
    </row>
    <row r="33" spans="3:9" x14ac:dyDescent="0.25">
      <c r="C33" s="25">
        <v>1962</v>
      </c>
      <c r="D33" s="1">
        <f>VLOOKUP(Indicateur2!$K$6,prevision2!$A$1:$BF$29,MATCH(C33,$A$1:$BF$1,0),FALSE)</f>
        <v>9.4573587417501308</v>
      </c>
      <c r="H33" s="25">
        <v>1962</v>
      </c>
      <c r="I33" s="1">
        <f>VLOOKUP('comite 1'!$C$4,prevision2!$A$1:$BG$28,MATCH(H33,$A$1:$BG$1,0),FALSE)</f>
        <v>9.4573587417501308</v>
      </c>
    </row>
    <row r="34" spans="3:9" x14ac:dyDescent="0.25">
      <c r="C34" s="25">
        <v>1963</v>
      </c>
      <c r="D34" s="1">
        <f>VLOOKUP(Indicateur2!$K$6,prevision2!$A$1:$BF$29,MATCH(C34,$A$1:$BF$1,0),FALSE)</f>
        <v>8.7783402162304895</v>
      </c>
      <c r="H34" s="25">
        <v>1963</v>
      </c>
      <c r="I34" s="1">
        <f>VLOOKUP('comite 1'!$C$4,prevision2!$A$1:$BG$28,MATCH(H34,$A$1:$BG$1,0),FALSE)</f>
        <v>8.7783402162304895</v>
      </c>
    </row>
    <row r="35" spans="3:9" x14ac:dyDescent="0.25">
      <c r="C35" s="25">
        <v>1964</v>
      </c>
      <c r="D35" s="1">
        <f>VLOOKUP(Indicateur2!$K$6,prevision2!$A$1:$BF$29,MATCH(C35,$A$1:$BF$1,0),FALSE)</f>
        <v>4.96446728796285</v>
      </c>
      <c r="H35" s="25">
        <v>1964</v>
      </c>
      <c r="I35" s="1">
        <f>VLOOKUP('comite 1'!$C$4,prevision2!$A$1:$BG$28,MATCH(H35,$A$1:$BG$1,0),FALSE)</f>
        <v>4.96446728796285</v>
      </c>
    </row>
    <row r="36" spans="3:9" x14ac:dyDescent="0.25">
      <c r="C36" s="25">
        <v>1965</v>
      </c>
      <c r="D36" s="1">
        <f>VLOOKUP(Indicateur2!$K$6,prevision2!$A$1:$BF$29,MATCH(C36,$A$1:$BF$1,0),FALSE)</f>
        <v>2.0090941708295098</v>
      </c>
      <c r="H36" s="25">
        <v>1965</v>
      </c>
      <c r="I36" s="1">
        <f>VLOOKUP('comite 1'!$C$4,prevision2!$A$1:$BG$28,MATCH(H36,$A$1:$BG$1,0),FALSE)</f>
        <v>2.0090941708295098</v>
      </c>
    </row>
    <row r="37" spans="3:9" x14ac:dyDescent="0.25">
      <c r="C37" s="25">
        <v>1966</v>
      </c>
      <c r="D37" s="1">
        <f>VLOOKUP(Indicateur2!$K$6,prevision2!$A$1:$BF$29,MATCH(C37,$A$1:$BF$1,0),FALSE)</f>
        <v>14.728566401776</v>
      </c>
      <c r="H37" s="25">
        <v>1966</v>
      </c>
      <c r="I37" s="1">
        <f>VLOOKUP('comite 1'!$C$4,prevision2!$A$1:$BG$28,MATCH(H37,$A$1:$BG$1,0),FALSE)</f>
        <v>14.728566401776</v>
      </c>
    </row>
    <row r="38" spans="3:9" x14ac:dyDescent="0.25">
      <c r="C38" s="25">
        <v>1967</v>
      </c>
      <c r="D38" s="1">
        <f>VLOOKUP(Indicateur2!$K$6,prevision2!$A$1:$BF$29,MATCH(C38,$A$1:$BF$1,0),FALSE)</f>
        <v>3.3612320322510501</v>
      </c>
      <c r="H38" s="25">
        <v>1967</v>
      </c>
      <c r="I38" s="1">
        <f>VLOOKUP('comite 1'!$C$4,prevision2!$A$1:$BG$28,MATCH(H38,$A$1:$BG$1,0),FALSE)</f>
        <v>3.3612320322510501</v>
      </c>
    </row>
    <row r="39" spans="3:9" x14ac:dyDescent="0.25">
      <c r="C39" s="25">
        <v>1968</v>
      </c>
      <c r="D39" s="1">
        <f>VLOOKUP(Indicateur2!$K$6,prevision2!$A$1:$BF$29,MATCH(C39,$A$1:$BF$1,0),FALSE)</f>
        <v>7.9826899695325704</v>
      </c>
      <c r="H39" s="25">
        <v>1968</v>
      </c>
      <c r="I39" s="1">
        <f>VLOOKUP('comite 1'!$C$4,prevision2!$A$1:$BG$28,MATCH(H39,$A$1:$BG$1,0),FALSE)</f>
        <v>7.9826899695325704</v>
      </c>
    </row>
    <row r="40" spans="3:9" x14ac:dyDescent="0.25">
      <c r="C40" s="25">
        <v>1969</v>
      </c>
      <c r="D40" s="1">
        <f>VLOOKUP(Indicateur2!$K$6,prevision2!$A$1:$BF$29,MATCH(C40,$A$1:$BF$1,0),FALSE)</f>
        <v>7.9592244560822802</v>
      </c>
      <c r="H40" s="25">
        <v>1969</v>
      </c>
      <c r="I40" s="1">
        <f>VLOOKUP('comite 1'!$C$4,prevision2!$A$1:$BG$28,MATCH(H40,$A$1:$BG$1,0),FALSE)</f>
        <v>7.9592244560822802</v>
      </c>
    </row>
    <row r="41" spans="3:9" x14ac:dyDescent="0.25">
      <c r="C41" s="25">
        <v>1970</v>
      </c>
      <c r="D41" s="1">
        <f>VLOOKUP(Indicateur2!$K$6,prevision2!$A$1:$BF$29,MATCH(C41,$A$1:$BF$1,0),FALSE)</f>
        <v>-4.6554469135628302</v>
      </c>
      <c r="H41" s="25">
        <v>1970</v>
      </c>
      <c r="I41" s="1">
        <f>VLOOKUP('comite 1'!$C$4,prevision2!$A$1:$BG$28,MATCH(H41,$A$1:$BG$1,0),FALSE)</f>
        <v>-4.6554469135628302</v>
      </c>
    </row>
    <row r="42" spans="3:9" x14ac:dyDescent="0.25">
      <c r="C42" s="25">
        <v>1971</v>
      </c>
      <c r="D42" s="1">
        <f>VLOOKUP(Indicateur2!$K$6,prevision2!$A$1:$BF$29,MATCH(C42,$A$1:$BF$1,0),FALSE)</f>
        <v>22.173891928008501</v>
      </c>
      <c r="H42" s="25">
        <v>1971</v>
      </c>
      <c r="I42" s="1">
        <f>VLOOKUP('comite 1'!$C$4,prevision2!$A$1:$BG$28,MATCH(H42,$A$1:$BG$1,0),FALSE)</f>
        <v>22.173891928008501</v>
      </c>
    </row>
    <row r="43" spans="3:9" x14ac:dyDescent="0.25">
      <c r="C43" s="25">
        <v>1972</v>
      </c>
      <c r="D43" s="1">
        <f>VLOOKUP(Indicateur2!$K$6,prevision2!$A$1:$BF$29,MATCH(C43,$A$1:$BF$1,0),FALSE)</f>
        <v>17.082429345007299</v>
      </c>
      <c r="H43" s="25">
        <v>1972</v>
      </c>
      <c r="I43" s="1">
        <f>VLOOKUP('comite 1'!$C$4,prevision2!$A$1:$BG$28,MATCH(H43,$A$1:$BG$1,0),FALSE)</f>
        <v>17.082429345007299</v>
      </c>
    </row>
    <row r="44" spans="3:9" x14ac:dyDescent="0.25">
      <c r="C44" s="25">
        <v>1973</v>
      </c>
      <c r="D44" s="1">
        <f>VLOOKUP(Indicateur2!$K$6,prevision2!$A$1:$BF$29,MATCH(C44,$A$1:$BF$1,0),FALSE)</f>
        <v>5.8965802146441497</v>
      </c>
      <c r="H44" s="25">
        <v>1973</v>
      </c>
      <c r="I44" s="1">
        <f>VLOOKUP('comite 1'!$C$4,prevision2!$A$1:$BG$28,MATCH(H44,$A$1:$BG$1,0),FALSE)</f>
        <v>5.8965802146441497</v>
      </c>
    </row>
    <row r="45" spans="3:9" x14ac:dyDescent="0.25">
      <c r="C45" s="25">
        <v>1974</v>
      </c>
      <c r="D45" s="1">
        <f>VLOOKUP(Indicateur2!$K$6,prevision2!$A$1:$BF$29,MATCH(C45,$A$1:$BF$1,0),FALSE)</f>
        <v>4.0656173472308597</v>
      </c>
      <c r="H45" s="25">
        <v>1974</v>
      </c>
      <c r="I45" s="1">
        <f>VLOOKUP('comite 1'!$C$4,prevision2!$A$1:$BG$28,MATCH(H45,$A$1:$BG$1,0),FALSE)</f>
        <v>4.0656173472308597</v>
      </c>
    </row>
    <row r="46" spans="3:9" x14ac:dyDescent="0.25">
      <c r="C46" s="25">
        <v>1975</v>
      </c>
      <c r="D46" s="1">
        <f>VLOOKUP(Indicateur2!$K$6,prevision2!$A$1:$BF$29,MATCH(C46,$A$1:$BF$1,0),FALSE)</f>
        <v>0.88220317844796603</v>
      </c>
      <c r="H46" s="25">
        <v>1975</v>
      </c>
      <c r="I46" s="1">
        <f>VLOOKUP('comite 1'!$C$4,prevision2!$A$1:$BG$28,MATCH(H46,$A$1:$BG$1,0),FALSE)</f>
        <v>0.88220317844796603</v>
      </c>
    </row>
    <row r="47" spans="3:9" x14ac:dyDescent="0.25">
      <c r="C47" s="25">
        <v>1976</v>
      </c>
      <c r="D47" s="1">
        <f>VLOOKUP(Indicateur2!$K$6,prevision2!$A$1:$BF$29,MATCH(C47,$A$1:$BF$1,0),FALSE)</f>
        <v>2.1539644974098602</v>
      </c>
      <c r="H47" s="25">
        <v>1976</v>
      </c>
      <c r="I47" s="1">
        <f>VLOOKUP('comite 1'!$C$4,prevision2!$A$1:$BG$28,MATCH(H47,$A$1:$BG$1,0),FALSE)</f>
        <v>2.1539644974098602</v>
      </c>
    </row>
    <row r="48" spans="3:9" x14ac:dyDescent="0.25">
      <c r="C48" s="25">
        <v>1977</v>
      </c>
      <c r="D48" s="1">
        <f>VLOOKUP(Indicateur2!$K$6,prevision2!$A$1:$BF$29,MATCH(C48,$A$1:$BF$1,0),FALSE)</f>
        <v>9.4537978493697903</v>
      </c>
      <c r="H48" s="25">
        <v>1977</v>
      </c>
      <c r="I48" s="1">
        <f>VLOOKUP('comite 1'!$C$4,prevision2!$A$1:$BG$28,MATCH(H48,$A$1:$BG$1,0),FALSE)</f>
        <v>9.4537978493697903</v>
      </c>
    </row>
    <row r="49" spans="3:9" x14ac:dyDescent="0.25">
      <c r="C49" s="25">
        <v>1978</v>
      </c>
      <c r="D49" s="1">
        <f>VLOOKUP(Indicateur2!$K$6,prevision2!$A$1:$BF$29,MATCH(C49,$A$1:$BF$1,0),FALSE)</f>
        <v>6.9124935466745496</v>
      </c>
      <c r="H49" s="25">
        <v>1978</v>
      </c>
      <c r="I49" s="1">
        <f>VLOOKUP('comite 1'!$C$4,prevision2!$A$1:$BG$28,MATCH(H49,$A$1:$BG$1,0),FALSE)</f>
        <v>6.9124935466745496</v>
      </c>
    </row>
    <row r="50" spans="3:9" x14ac:dyDescent="0.25">
      <c r="C50" s="25">
        <v>1979</v>
      </c>
      <c r="D50" s="1">
        <f>VLOOKUP(Indicateur2!$K$6,prevision2!$A$1:$BF$29,MATCH(C50,$A$1:$BF$1,0),FALSE)</f>
        <v>7.6152260415942399</v>
      </c>
      <c r="H50" s="25">
        <v>1979</v>
      </c>
      <c r="I50" s="1">
        <f>VLOOKUP('comite 1'!$C$4,prevision2!$A$1:$BG$28,MATCH(H50,$A$1:$BG$1,0),FALSE)</f>
        <v>7.6152260415942399</v>
      </c>
    </row>
    <row r="51" spans="3:9" x14ac:dyDescent="0.25">
      <c r="C51" s="25">
        <v>1980</v>
      </c>
      <c r="D51" s="1">
        <f>VLOOKUP(Indicateur2!$K$6,prevision2!$A$1:$BF$29,MATCH(C51,$A$1:$BF$1,0),FALSE)</f>
        <v>5.5919762065950396</v>
      </c>
      <c r="H51" s="25">
        <v>1980</v>
      </c>
      <c r="I51" s="1">
        <f>VLOOKUP('comite 1'!$C$4,prevision2!$A$1:$BG$28,MATCH(H51,$A$1:$BG$1,0),FALSE)</f>
        <v>5.5919762065950396</v>
      </c>
    </row>
    <row r="52" spans="3:9" x14ac:dyDescent="0.25">
      <c r="C52" s="25">
        <v>1981</v>
      </c>
      <c r="D52" s="1">
        <f>VLOOKUP(Indicateur2!$K$6,prevision2!$A$1:$BF$29,MATCH(C52,$A$1:$BF$1,0),FALSE)</f>
        <v>3.7735441966441998</v>
      </c>
      <c r="H52" s="25">
        <v>1981</v>
      </c>
      <c r="I52" s="1">
        <f>VLOOKUP('comite 1'!$C$4,prevision2!$A$1:$BG$28,MATCH(H52,$A$1:$BG$1,0),FALSE)</f>
        <v>3.7735441966441998</v>
      </c>
    </row>
    <row r="53" spans="3:9" x14ac:dyDescent="0.25">
      <c r="C53" s="25">
        <v>1982</v>
      </c>
      <c r="D53" s="1">
        <f>VLOOKUP(Indicateur2!$K$6,prevision2!$A$1:$BF$29,MATCH(C53,$A$1:$BF$1,0),FALSE)</f>
        <v>1.50647825447521</v>
      </c>
      <c r="H53" s="25">
        <v>1982</v>
      </c>
      <c r="I53" s="1">
        <f>VLOOKUP('comite 1'!$C$4,prevision2!$A$1:$BG$28,MATCH(H53,$A$1:$BG$1,0),FALSE)</f>
        <v>1.50647825447521</v>
      </c>
    </row>
    <row r="54" spans="3:9" x14ac:dyDescent="0.25">
      <c r="C54" s="25">
        <v>1983</v>
      </c>
      <c r="D54" s="1">
        <f>VLOOKUP(Indicateur2!$K$6,prevision2!$A$1:$BF$29,MATCH(C54,$A$1:$BF$1,0),FALSE)</f>
        <v>1.30905024171788</v>
      </c>
      <c r="H54" s="25">
        <v>1983</v>
      </c>
      <c r="I54" s="1">
        <f>VLOOKUP('comite 1'!$C$4,prevision2!$A$1:$BG$28,MATCH(H54,$A$1:$BG$1,0),FALSE)</f>
        <v>1.30905024171788</v>
      </c>
    </row>
    <row r="55" spans="3:9" x14ac:dyDescent="0.25">
      <c r="C55" s="25">
        <v>1984</v>
      </c>
      <c r="D55" s="1">
        <f>VLOOKUP(Indicateur2!$K$6,prevision2!$A$1:$BF$29,MATCH(C55,$A$1:$BF$1,0),FALSE)</f>
        <v>1.7552169769687</v>
      </c>
      <c r="H55" s="25">
        <v>1984</v>
      </c>
      <c r="I55" s="1">
        <f>VLOOKUP('comite 1'!$C$4,prevision2!$A$1:$BG$28,MATCH(H55,$A$1:$BG$1,0),FALSE)</f>
        <v>1.7552169769687</v>
      </c>
    </row>
    <row r="56" spans="3:9" x14ac:dyDescent="0.25">
      <c r="C56" s="25">
        <v>1985</v>
      </c>
      <c r="D56" s="1">
        <f>VLOOKUP(Indicateur2!$K$6,prevision2!$A$1:$BF$29,MATCH(C56,$A$1:$BF$1,0),FALSE)</f>
        <v>4.3005618195017101</v>
      </c>
      <c r="H56" s="25">
        <v>1985</v>
      </c>
      <c r="I56" s="1">
        <f>VLOOKUP('comite 1'!$C$4,prevision2!$A$1:$BG$28,MATCH(H56,$A$1:$BG$1,0),FALSE)</f>
        <v>4.3005618195017101</v>
      </c>
    </row>
    <row r="57" spans="3:9" x14ac:dyDescent="0.25">
      <c r="C57" s="25">
        <v>1986</v>
      </c>
      <c r="D57" s="1">
        <f>VLOOKUP(Indicateur2!$K$6,prevision2!$A$1:$BF$29,MATCH(C57,$A$1:$BF$1,0),FALSE)</f>
        <v>7.17755539087368</v>
      </c>
      <c r="H57" s="25">
        <v>1986</v>
      </c>
      <c r="I57" s="1">
        <f>VLOOKUP('comite 1'!$C$4,prevision2!$A$1:$BG$28,MATCH(H57,$A$1:$BG$1,0),FALSE)</f>
        <v>7.17755539087368</v>
      </c>
    </row>
    <row r="58" spans="3:9" x14ac:dyDescent="0.25">
      <c r="C58" s="25">
        <v>1987</v>
      </c>
      <c r="D58" s="1">
        <f>VLOOKUP(Indicateur2!$K$6,prevision2!$A$1:$BF$29,MATCH(C58,$A$1:$BF$1,0),FALSE)</f>
        <v>5.9371074461072801</v>
      </c>
      <c r="H58" s="25">
        <v>1987</v>
      </c>
      <c r="I58" s="1">
        <f>VLOOKUP('comite 1'!$C$4,prevision2!$A$1:$BG$28,MATCH(H58,$A$1:$BG$1,0),FALSE)</f>
        <v>5.9371074461072801</v>
      </c>
    </row>
    <row r="59" spans="3:9" x14ac:dyDescent="0.25">
      <c r="C59" s="25">
        <v>1988</v>
      </c>
      <c r="D59" s="1">
        <f>VLOOKUP(Indicateur2!$K$6,prevision2!$A$1:$BF$29,MATCH(C59,$A$1:$BF$1,0),FALSE)</f>
        <v>6.2031838198845897</v>
      </c>
      <c r="H59" s="25">
        <v>1988</v>
      </c>
      <c r="I59" s="1">
        <f>VLOOKUP('comite 1'!$C$4,prevision2!$A$1:$BG$28,MATCH(H59,$A$1:$BG$1,0),FALSE)</f>
        <v>6.2031838198845897</v>
      </c>
    </row>
    <row r="60" spans="3:9" x14ac:dyDescent="0.25">
      <c r="C60" s="25">
        <v>1989</v>
      </c>
      <c r="D60" s="1">
        <f>VLOOKUP(Indicateur2!$K$6,prevision2!$A$1:$BF$29,MATCH(C60,$A$1:$BF$1,0),FALSE)</f>
        <v>4.6903487681229699</v>
      </c>
      <c r="H60" s="25">
        <v>1989</v>
      </c>
      <c r="I60" s="1">
        <f>VLOOKUP('comite 1'!$C$4,prevision2!$A$1:$BG$28,MATCH(H60,$A$1:$BG$1,0),FALSE)</f>
        <v>4.6903487681229699</v>
      </c>
    </row>
    <row r="61" spans="3:9" x14ac:dyDescent="0.25">
      <c r="C61" s="25">
        <v>1990</v>
      </c>
      <c r="D61" s="1">
        <f>VLOOKUP(Indicateur2!$K$6,prevision2!$A$1:$BF$29,MATCH(C61,$A$1:$BF$1,0),FALSE)</f>
        <v>4.1920509742158503</v>
      </c>
      <c r="H61" s="25">
        <v>1990</v>
      </c>
      <c r="I61" s="1">
        <f>VLOOKUP('comite 1'!$C$4,prevision2!$A$1:$BG$28,MATCH(H61,$A$1:$BG$1,0),FALSE)</f>
        <v>4.1920509742158503</v>
      </c>
    </row>
    <row r="62" spans="3:9" x14ac:dyDescent="0.25">
      <c r="C62" s="25">
        <v>1991</v>
      </c>
      <c r="D62" s="1">
        <f>VLOOKUP(Indicateur2!$K$6,prevision2!$A$1:$BF$29,MATCH(C62,$A$1:$BF$1,0),FALSE)</f>
        <v>1.43834679108514</v>
      </c>
      <c r="H62" s="25">
        <v>1991</v>
      </c>
      <c r="I62" s="1">
        <f>VLOOKUP('comite 1'!$C$4,prevision2!$A$1:$BG$28,MATCH(H62,$A$1:$BG$1,0),FALSE)</f>
        <v>1.43834679108514</v>
      </c>
    </row>
    <row r="63" spans="3:9" x14ac:dyDescent="0.25">
      <c r="C63" s="25">
        <v>1992</v>
      </c>
      <c r="D63" s="1">
        <f>VLOOKUP(Indicateur2!$K$6,prevision2!$A$1:$BF$29,MATCH(C63,$A$1:$BF$1,0),FALSE)</f>
        <v>-0.79949395992763095</v>
      </c>
      <c r="H63" s="25">
        <v>1992</v>
      </c>
      <c r="I63" s="1">
        <f>VLOOKUP('comite 1'!$C$4,prevision2!$A$1:$BG$28,MATCH(H63,$A$1:$BG$1,0),FALSE)</f>
        <v>-0.79949395992763095</v>
      </c>
    </row>
    <row r="64" spans="3:9" x14ac:dyDescent="0.25">
      <c r="C64" s="25">
        <v>1993</v>
      </c>
      <c r="D64" s="1">
        <f>VLOOKUP(Indicateur2!$K$6,prevision2!$A$1:$BF$29,MATCH(C64,$A$1:$BF$1,0),FALSE)</f>
        <v>0.353197256372624</v>
      </c>
      <c r="H64" s="25">
        <v>1993</v>
      </c>
      <c r="I64" s="1">
        <f>VLOOKUP('comite 1'!$C$4,prevision2!$A$1:$BG$28,MATCH(H64,$A$1:$BG$1,0),FALSE)</f>
        <v>0.353197256372624</v>
      </c>
    </row>
    <row r="65" spans="3:9" x14ac:dyDescent="0.25">
      <c r="C65" s="25">
        <v>1994</v>
      </c>
      <c r="D65" s="1">
        <f>VLOOKUP(Indicateur2!$K$6,prevision2!$A$1:$BF$29,MATCH(C65,$A$1:$BF$1,0),FALSE)</f>
        <v>2.6327845185903298</v>
      </c>
      <c r="H65" s="25">
        <v>1994</v>
      </c>
      <c r="I65" s="1">
        <f>VLOOKUP('comite 1'!$C$4,prevision2!$A$1:$BG$28,MATCH(H65,$A$1:$BG$1,0),FALSE)</f>
        <v>2.6327845185903298</v>
      </c>
    </row>
    <row r="66" spans="3:9" x14ac:dyDescent="0.25">
      <c r="C66" s="25">
        <v>1995</v>
      </c>
      <c r="D66" s="1">
        <f>VLOOKUP(Indicateur2!$K$6,prevision2!$A$1:$BF$29,MATCH(C66,$A$1:$BF$1,0),FALSE)</f>
        <v>4.4062165258050801</v>
      </c>
      <c r="H66" s="25">
        <v>1995</v>
      </c>
      <c r="I66" s="1">
        <f>VLOOKUP('comite 1'!$C$4,prevision2!$A$1:$BG$28,MATCH(H66,$A$1:$BG$1,0),FALSE)</f>
        <v>4.4062165258050801</v>
      </c>
    </row>
    <row r="67" spans="3:9" x14ac:dyDescent="0.25">
      <c r="C67" s="25">
        <v>1996</v>
      </c>
      <c r="D67" s="1">
        <f>VLOOKUP(Indicateur2!$K$6,prevision2!$A$1:$BF$29,MATCH(C67,$A$1:$BF$1,0),FALSE)</f>
        <v>4.1468392671670999</v>
      </c>
      <c r="H67" s="25">
        <v>1996</v>
      </c>
      <c r="I67" s="1">
        <f>VLOOKUP('comite 1'!$C$4,prevision2!$A$1:$BG$28,MATCH(H67,$A$1:$BG$1,0),FALSE)</f>
        <v>4.1468392671670999</v>
      </c>
    </row>
    <row r="68" spans="3:9" x14ac:dyDescent="0.25">
      <c r="C68" s="25">
        <v>1997</v>
      </c>
      <c r="D68" s="1">
        <f>VLOOKUP(Indicateur2!$K$6,prevision2!$A$1:$BF$29,MATCH(C68,$A$1:$BF$1,0),FALSE)</f>
        <v>0.47490192048410101</v>
      </c>
      <c r="H68" s="25">
        <v>1997</v>
      </c>
      <c r="I68" s="1">
        <f>VLOOKUP('comite 1'!$C$4,prevision2!$A$1:$BG$28,MATCH(H68,$A$1:$BG$1,0),FALSE)</f>
        <v>0.47490192048410101</v>
      </c>
    </row>
    <row r="69" spans="3:9" x14ac:dyDescent="0.25">
      <c r="C69" s="25">
        <v>1998</v>
      </c>
      <c r="D69" s="1">
        <f>VLOOKUP(Indicateur2!$K$6,prevision2!$A$1:$BF$29,MATCH(C69,$A$1:$BF$1,0),FALSE)</f>
        <v>3.2902137230934598</v>
      </c>
      <c r="H69" s="25">
        <v>1998</v>
      </c>
      <c r="I69" s="1">
        <f>VLOOKUP('comite 1'!$C$4,prevision2!$A$1:$BG$28,MATCH(H69,$A$1:$BG$1,0),FALSE)</f>
        <v>3.2902137230934598</v>
      </c>
    </row>
    <row r="70" spans="3:9" x14ac:dyDescent="0.25">
      <c r="C70" s="25">
        <v>1999</v>
      </c>
      <c r="D70" s="1">
        <f>VLOOKUP(Indicateur2!$K$6,prevision2!$A$1:$BF$29,MATCH(C70,$A$1:$BF$1,0),FALSE)</f>
        <v>2.3053885959187301</v>
      </c>
      <c r="H70" s="25">
        <v>1999</v>
      </c>
      <c r="I70" s="1">
        <f>VLOOKUP('comite 1'!$C$4,prevision2!$A$1:$BG$28,MATCH(H70,$A$1:$BG$1,0),FALSE)</f>
        <v>2.3053885959187301</v>
      </c>
    </row>
    <row r="71" spans="3:9" x14ac:dyDescent="0.25">
      <c r="C71" s="25">
        <v>2000</v>
      </c>
      <c r="D71" s="1">
        <f>VLOOKUP(Indicateur2!$K$6,prevision2!$A$1:$BF$29,MATCH(C71,$A$1:$BF$1,0),FALSE)</f>
        <v>0.59969539161363605</v>
      </c>
      <c r="H71" s="25">
        <v>2000</v>
      </c>
      <c r="I71" s="1">
        <f>VLOOKUP('comite 1'!$C$4,prevision2!$A$1:$BG$28,MATCH(H71,$A$1:$BG$1,0),FALSE)</f>
        <v>0.59969539161363605</v>
      </c>
    </row>
    <row r="72" spans="3:9" x14ac:dyDescent="0.25">
      <c r="C72" s="25">
        <v>2001</v>
      </c>
      <c r="D72" s="1">
        <f>VLOOKUP(Indicateur2!$K$6,prevision2!$A$1:$BF$29,MATCH(C72,$A$1:$BF$1,0),FALSE)</f>
        <v>3.7799064962898701</v>
      </c>
      <c r="H72" s="25">
        <v>2001</v>
      </c>
      <c r="I72" s="1">
        <f>VLOOKUP('comite 1'!$C$4,prevision2!$A$1:$BG$28,MATCH(H72,$A$1:$BG$1,0),FALSE)</f>
        <v>3.7799064962898701</v>
      </c>
    </row>
    <row r="73" spans="3:9" x14ac:dyDescent="0.25">
      <c r="C73" s="25">
        <v>2002</v>
      </c>
      <c r="D73" s="1">
        <f>VLOOKUP(Indicateur2!$K$6,prevision2!$A$1:$BF$29,MATCH(C73,$A$1:$BF$1,0),FALSE)</f>
        <v>0.54685952999452103</v>
      </c>
      <c r="H73" s="25">
        <v>2002</v>
      </c>
      <c r="I73" s="1">
        <f>VLOOKUP('comite 1'!$C$4,prevision2!$A$1:$BG$28,MATCH(H73,$A$1:$BG$1,0),FALSE)</f>
        <v>0.54685952999452103</v>
      </c>
    </row>
    <row r="74" spans="3:9" x14ac:dyDescent="0.25">
      <c r="C74" s="25">
        <v>2003</v>
      </c>
      <c r="D74" s="1">
        <f>VLOOKUP(Indicateur2!$K$6,prevision2!$A$1:$BF$29,MATCH(C74,$A$1:$BF$1,0),FALSE)</f>
        <v>2.9324755461927299</v>
      </c>
      <c r="H74" s="25">
        <v>2003</v>
      </c>
      <c r="I74" s="1">
        <f>VLOOKUP('comite 1'!$C$4,prevision2!$A$1:$BG$28,MATCH(H74,$A$1:$BG$1,0),FALSE)</f>
        <v>2.9324755461927299</v>
      </c>
    </row>
    <row r="75" spans="3:9" x14ac:dyDescent="0.25">
      <c r="C75" s="25">
        <v>2004</v>
      </c>
      <c r="D75" s="1">
        <f>VLOOKUP(Indicateur2!$K$6,prevision2!$A$1:$BF$29,MATCH(C75,$A$1:$BF$1,0),FALSE)</f>
        <v>5.1042997756893396</v>
      </c>
      <c r="H75" s="25">
        <v>2004</v>
      </c>
      <c r="I75" s="1">
        <f>VLOOKUP('comite 1'!$C$4,prevision2!$A$1:$BG$28,MATCH(H75,$A$1:$BG$1,0),FALSE)</f>
        <v>5.1042997756893396</v>
      </c>
    </row>
    <row r="76" spans="3:9" x14ac:dyDescent="0.25">
      <c r="C76" s="25">
        <v>2005</v>
      </c>
      <c r="D76" s="1">
        <f>VLOOKUP(Indicateur2!$K$6,prevision2!$A$1:$BF$29,MATCH(C76,$A$1:$BF$1,0),FALSE)</f>
        <v>5.9066660816801297</v>
      </c>
      <c r="H76" s="25">
        <v>2005</v>
      </c>
      <c r="I76" s="1">
        <f>VLOOKUP('comite 1'!$C$4,prevision2!$A$1:$BG$28,MATCH(H76,$A$1:$BG$1,0),FALSE)</f>
        <v>5.9066660816801297</v>
      </c>
    </row>
    <row r="77" spans="3:9" x14ac:dyDescent="0.25">
      <c r="C77" s="25">
        <v>2006</v>
      </c>
      <c r="D77" s="1">
        <f>VLOOKUP(Indicateur2!$K$6,prevision2!$A$1:$BF$29,MATCH(C77,$A$1:$BF$1,0),FALSE)</f>
        <v>6.4724942986248202</v>
      </c>
      <c r="H77" s="25">
        <v>2006</v>
      </c>
      <c r="I77" s="1">
        <f>VLOOKUP('comite 1'!$C$4,prevision2!$A$1:$BG$28,MATCH(H77,$A$1:$BG$1,0),FALSE)</f>
        <v>6.4724942986248202</v>
      </c>
    </row>
    <row r="78" spans="3:9" x14ac:dyDescent="0.25">
      <c r="C78" s="25">
        <v>2007</v>
      </c>
      <c r="D78" s="1">
        <f>VLOOKUP(Indicateur2!$K$6,prevision2!$A$1:$BF$29,MATCH(C78,$A$1:$BF$1,0),FALSE)</f>
        <v>6.8507297706313803</v>
      </c>
      <c r="H78" s="25">
        <v>2007</v>
      </c>
      <c r="I78" s="1">
        <f>VLOOKUP('comite 1'!$C$4,prevision2!$A$1:$BG$28,MATCH(H78,$A$1:$BG$1,0),FALSE)</f>
        <v>6.8507297706313803</v>
      </c>
    </row>
    <row r="79" spans="3:9" x14ac:dyDescent="0.25">
      <c r="C79" s="25">
        <v>2008</v>
      </c>
      <c r="D79" s="1">
        <f>VLOOKUP(Indicateur2!$K$6,prevision2!$A$1:$BF$29,MATCH(C79,$A$1:$BF$1,0),FALSE)</f>
        <v>0.23228274566594101</v>
      </c>
      <c r="H79" s="25">
        <v>2008</v>
      </c>
      <c r="I79" s="1">
        <f>VLOOKUP('comite 1'!$C$4,prevision2!$A$1:$BG$28,MATCH(H79,$A$1:$BG$1,0),FALSE)</f>
        <v>0.23228274566594101</v>
      </c>
    </row>
    <row r="80" spans="3:9" x14ac:dyDescent="0.25">
      <c r="C80" s="25">
        <v>2009</v>
      </c>
      <c r="D80" s="1">
        <f>VLOOKUP(Indicateur2!$K$6,prevision2!$A$1:$BF$29,MATCH(C80,$A$1:$BF$1,0),FALSE)</f>
        <v>3.30693981534758</v>
      </c>
      <c r="H80" s="25">
        <v>2009</v>
      </c>
      <c r="I80" s="1">
        <f>VLOOKUP('comite 1'!$C$4,prevision2!$A$1:$BG$28,MATCH(H80,$A$1:$BG$1,0),FALSE)</f>
        <v>3.30693981534758</v>
      </c>
    </row>
    <row r="81" spans="3:10" x14ac:dyDescent="0.25">
      <c r="C81" s="25">
        <v>2010</v>
      </c>
      <c r="D81" s="1">
        <f>VLOOKUP(Indicateur2!$K$6,prevision2!$A$1:$BF$29,MATCH(C81,$A$1:$BF$1,0),FALSE)</f>
        <v>8.4056992242171908</v>
      </c>
      <c r="H81" s="25">
        <v>2010</v>
      </c>
      <c r="I81" s="1">
        <f>VLOOKUP('comite 1'!$C$4,prevision2!$A$1:$BG$28,MATCH(H81,$A$1:$BG$1,0),FALSE)</f>
        <v>8.4056992242171908</v>
      </c>
    </row>
    <row r="82" spans="3:10" x14ac:dyDescent="0.25">
      <c r="C82" s="25">
        <v>2011</v>
      </c>
      <c r="D82" s="1">
        <f>VLOOKUP(Indicateur2!$K$6,prevision2!$A$1:$BF$29,MATCH(C82,$A$1:$BF$1,0),FALSE)</f>
        <v>6.1082637197964997</v>
      </c>
      <c r="H82" s="25">
        <v>2011</v>
      </c>
      <c r="I82" s="1">
        <f>VLOOKUP('comite 1'!$C$4,prevision2!$A$1:$BG$28,MATCH(H82,$A$1:$BG$1,0),FALSE)</f>
        <v>6.1082637197964997</v>
      </c>
    </row>
    <row r="83" spans="3:10" x14ac:dyDescent="0.25">
      <c r="C83" s="25">
        <v>2012</v>
      </c>
      <c r="D83" s="1">
        <f>VLOOKUP(Indicateur2!$K$6,prevision2!$A$1:$BF$29,MATCH(C83,$A$1:$BF$1,0),FALSE)</f>
        <v>4.5632091307111997</v>
      </c>
      <c r="H83" s="25">
        <v>2012</v>
      </c>
      <c r="I83" s="1">
        <f>VLOOKUP('comite 1'!$C$4,prevision2!$A$1:$BG$28,MATCH(H83,$A$1:$BG$1,0),FALSE)</f>
        <v>4.5632091307111997</v>
      </c>
    </row>
    <row r="84" spans="3:10" x14ac:dyDescent="0.25">
      <c r="C84" s="25">
        <v>2013</v>
      </c>
      <c r="D84" s="1">
        <f>VLOOKUP(Indicateur2!$K$6,prevision2!$A$1:$BF$29,MATCH(C84,$A$1:$BF$1,0),FALSE)</f>
        <v>5.8786894770261702</v>
      </c>
      <c r="H84" s="25">
        <v>2013</v>
      </c>
      <c r="I84" s="1">
        <f>VLOOKUP('comite 1'!$C$4,prevision2!$A$1:$BG$28,MATCH(H84,$A$1:$BG$1,0),FALSE)</f>
        <v>5.8786894770261702</v>
      </c>
    </row>
    <row r="85" spans="3:10" x14ac:dyDescent="0.25">
      <c r="C85" s="25">
        <v>2014</v>
      </c>
      <c r="D85" s="1">
        <f>VLOOKUP(Indicateur2!$K$6,prevision2!$A$1:$BF$29,MATCH(C85,$A$1:$BF$1,0),FALSE)</f>
        <v>5.3571167781201199</v>
      </c>
      <c r="H85" s="25">
        <v>2014</v>
      </c>
      <c r="I85" s="1">
        <f>VLOOKUP('comite 1'!$C$4,prevision2!$A$1:$BG$28,MATCH(H85,$A$1:$BG$1,0),FALSE)</f>
        <v>5.3571167781201199</v>
      </c>
    </row>
    <row r="86" spans="3:10" x14ac:dyDescent="0.25">
      <c r="C86" s="25">
        <v>2015</v>
      </c>
      <c r="D86" s="1">
        <f>VLOOKUP(Indicateur2!$K$6,prevision2!$A$1:$BF$29,MATCH(C86,$A$1:$BF$1,0),FALSE)</f>
        <v>5.7185071313351399</v>
      </c>
      <c r="H86" s="25">
        <v>2015</v>
      </c>
      <c r="I86" s="1">
        <f>VLOOKUP('comite 1'!$C$4,prevision2!$A$1:$BG$28,MATCH(H86,$A$1:$BG$1,0),FALSE)</f>
        <v>5.7185071313351399</v>
      </c>
    </row>
    <row r="87" spans="3:10" x14ac:dyDescent="0.25">
      <c r="C87" s="25">
        <v>2016</v>
      </c>
      <c r="D87" s="1">
        <f>VLOOKUP(Indicateur2!$K$6,prevision2!$A$1:$BF$29,MATCH(C87,$A$1:$BF$1,0),FALSE)</f>
        <v>5.8691928491103198</v>
      </c>
      <c r="H87" s="25">
        <v>2016</v>
      </c>
      <c r="I87" s="1">
        <f>VLOOKUP('comite 1'!$C$4,prevision2!$A$1:$BG$28,MATCH(H87,$A$1:$BG$1,0),FALSE)</f>
        <v>5.8691928491103198</v>
      </c>
    </row>
    <row r="88" spans="3:10" x14ac:dyDescent="0.25">
      <c r="C88" s="25">
        <v>2017</v>
      </c>
      <c r="D88" s="1">
        <f>VLOOKUP(Indicateur2!$K$6,prevision2!$A$1:$BF$29,MATCH(C88,$A$1:$BF$1,0),FALSE)</f>
        <v>4.8854444803254999</v>
      </c>
      <c r="E88" s="1">
        <f>D88</f>
        <v>4.8854444803254999</v>
      </c>
      <c r="H88" s="25">
        <v>2017</v>
      </c>
      <c r="I88" s="1">
        <f>VLOOKUP('comite 1'!$C$4,prevision2!$A$1:$BG$28,MATCH(H88,$A$1:$BG$1,0),FALSE)</f>
        <v>4.8854444803254999</v>
      </c>
      <c r="J88" s="1">
        <f>I88</f>
        <v>4.8854444803254999</v>
      </c>
    </row>
    <row r="89" spans="3:10" x14ac:dyDescent="0.25">
      <c r="C89" s="25">
        <v>2018</v>
      </c>
      <c r="E89" s="1">
        <f>TREND($D$32:$D$88,$C$32:$C$88,C89)</f>
        <v>3.6819021702692112</v>
      </c>
      <c r="H89" s="25">
        <v>2018</v>
      </c>
      <c r="J89" s="1">
        <f>TREND($I$32:$I$88,$H$32:$H$88,H89)</f>
        <v>3.6819021702692112</v>
      </c>
    </row>
    <row r="90" spans="3:10" x14ac:dyDescent="0.25">
      <c r="C90" s="25">
        <v>2019</v>
      </c>
      <c r="E90" s="1">
        <f t="shared" ref="E90:E101" si="0">TREND($D$32:$D$88,$C$32:$C$88,C90)</f>
        <v>3.6453730639910304</v>
      </c>
      <c r="H90" s="25">
        <v>2019</v>
      </c>
      <c r="J90" s="1">
        <f t="shared" ref="J90:J101" si="1">TREND($I$32:$I$88,$H$32:$H$88,H90)</f>
        <v>3.6453730639910304</v>
      </c>
    </row>
    <row r="91" spans="3:10" x14ac:dyDescent="0.25">
      <c r="C91" s="25">
        <v>2020</v>
      </c>
      <c r="E91" s="1">
        <f t="shared" si="0"/>
        <v>3.6088439577128497</v>
      </c>
      <c r="H91" s="25">
        <v>2020</v>
      </c>
      <c r="J91" s="1">
        <f t="shared" si="1"/>
        <v>3.6088439577128497</v>
      </c>
    </row>
    <row r="92" spans="3:10" x14ac:dyDescent="0.25">
      <c r="C92" s="25">
        <v>2021</v>
      </c>
      <c r="E92" s="1">
        <f t="shared" si="0"/>
        <v>3.572314851434669</v>
      </c>
      <c r="H92" s="25">
        <v>2021</v>
      </c>
      <c r="J92" s="1">
        <f t="shared" si="1"/>
        <v>3.572314851434669</v>
      </c>
    </row>
    <row r="93" spans="3:10" x14ac:dyDescent="0.25">
      <c r="C93" s="25">
        <v>2022</v>
      </c>
      <c r="E93" s="1">
        <f t="shared" si="0"/>
        <v>3.5357857451564882</v>
      </c>
      <c r="H93" s="25">
        <v>2022</v>
      </c>
      <c r="J93" s="1">
        <f t="shared" si="1"/>
        <v>3.5357857451564882</v>
      </c>
    </row>
    <row r="94" spans="3:10" x14ac:dyDescent="0.25">
      <c r="C94" s="25">
        <v>2023</v>
      </c>
      <c r="E94" s="1">
        <f t="shared" si="0"/>
        <v>3.4992566388783075</v>
      </c>
      <c r="H94" s="25">
        <v>2023</v>
      </c>
      <c r="J94" s="1">
        <f t="shared" si="1"/>
        <v>3.4992566388783075</v>
      </c>
    </row>
    <row r="95" spans="3:10" x14ac:dyDescent="0.25">
      <c r="C95" s="25">
        <v>2024</v>
      </c>
      <c r="E95" s="1">
        <f t="shared" si="0"/>
        <v>3.4627275326001268</v>
      </c>
      <c r="H95" s="25">
        <v>2024</v>
      </c>
      <c r="J95" s="1">
        <f t="shared" si="1"/>
        <v>3.4627275326001268</v>
      </c>
    </row>
    <row r="96" spans="3:10" x14ac:dyDescent="0.25">
      <c r="C96" s="25">
        <v>2025</v>
      </c>
      <c r="E96" s="1">
        <f t="shared" si="0"/>
        <v>3.426198426321946</v>
      </c>
      <c r="H96" s="25">
        <v>2025</v>
      </c>
      <c r="J96" s="1">
        <f t="shared" si="1"/>
        <v>3.426198426321946</v>
      </c>
    </row>
    <row r="97" spans="3:10" x14ac:dyDescent="0.25">
      <c r="C97" s="25">
        <v>2026</v>
      </c>
      <c r="E97" s="1">
        <f t="shared" si="0"/>
        <v>3.3896693200437653</v>
      </c>
      <c r="H97" s="25">
        <v>2026</v>
      </c>
      <c r="J97" s="1">
        <f t="shared" si="1"/>
        <v>3.3896693200437653</v>
      </c>
    </row>
    <row r="98" spans="3:10" x14ac:dyDescent="0.25">
      <c r="C98" s="25">
        <v>2027</v>
      </c>
      <c r="E98" s="1">
        <f t="shared" si="0"/>
        <v>3.3531402137655846</v>
      </c>
      <c r="H98" s="25">
        <v>2027</v>
      </c>
      <c r="J98" s="1">
        <f t="shared" si="1"/>
        <v>3.3531402137655846</v>
      </c>
    </row>
    <row r="99" spans="3:10" x14ac:dyDescent="0.25">
      <c r="C99" s="25">
        <v>2028</v>
      </c>
      <c r="E99" s="1">
        <f t="shared" si="0"/>
        <v>3.3166111074874038</v>
      </c>
      <c r="H99" s="25">
        <v>2028</v>
      </c>
      <c r="J99" s="1">
        <f t="shared" si="1"/>
        <v>3.3166111074874038</v>
      </c>
    </row>
    <row r="100" spans="3:10" x14ac:dyDescent="0.25">
      <c r="C100" s="25">
        <v>2029</v>
      </c>
      <c r="E100" s="1">
        <f t="shared" si="0"/>
        <v>3.2800820012092231</v>
      </c>
      <c r="H100" s="25">
        <v>2029</v>
      </c>
      <c r="J100" s="1">
        <f t="shared" si="1"/>
        <v>3.2800820012092231</v>
      </c>
    </row>
    <row r="101" spans="3:10" x14ac:dyDescent="0.25">
      <c r="C101" s="25">
        <v>2030</v>
      </c>
      <c r="E101" s="1">
        <f t="shared" si="0"/>
        <v>3.2435528949310424</v>
      </c>
      <c r="H101" s="25">
        <v>2030</v>
      </c>
      <c r="J101" s="1">
        <f t="shared" si="1"/>
        <v>3.2435528949310424</v>
      </c>
    </row>
  </sheetData>
  <phoneticPr fontId="1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/>
  <dimension ref="A1:AV94"/>
  <sheetViews>
    <sheetView topLeftCell="A56" workbookViewId="0">
      <selection activeCell="C34" sqref="C34:C80"/>
    </sheetView>
  </sheetViews>
  <sheetFormatPr defaultColWidth="12.69921875" defaultRowHeight="13.8" x14ac:dyDescent="0.25"/>
  <cols>
    <col min="1" max="16384" width="12.69921875" style="1"/>
  </cols>
  <sheetData>
    <row r="1" spans="1:48" x14ac:dyDescent="0.25">
      <c r="A1" s="29" t="s">
        <v>7</v>
      </c>
      <c r="B1" s="25">
        <v>1970</v>
      </c>
      <c r="C1" s="25">
        <v>1971</v>
      </c>
      <c r="D1" s="25">
        <v>1972</v>
      </c>
      <c r="E1" s="25">
        <v>1973</v>
      </c>
      <c r="F1" s="25">
        <v>1974</v>
      </c>
      <c r="G1" s="25">
        <v>1975</v>
      </c>
      <c r="H1" s="25">
        <v>1976</v>
      </c>
      <c r="I1" s="25">
        <v>1977</v>
      </c>
      <c r="J1" s="25">
        <v>1978</v>
      </c>
      <c r="K1" s="25">
        <v>1979</v>
      </c>
      <c r="L1" s="25">
        <v>1980</v>
      </c>
      <c r="M1" s="25">
        <v>1981</v>
      </c>
      <c r="N1" s="25">
        <v>1982</v>
      </c>
      <c r="O1" s="25">
        <v>1983</v>
      </c>
      <c r="P1" s="25">
        <v>1984</v>
      </c>
      <c r="Q1" s="25">
        <v>1985</v>
      </c>
      <c r="R1" s="25">
        <v>1986</v>
      </c>
      <c r="S1" s="25">
        <v>1987</v>
      </c>
      <c r="T1" s="25">
        <v>1988</v>
      </c>
      <c r="U1" s="25">
        <v>1989</v>
      </c>
      <c r="V1" s="25">
        <v>1990</v>
      </c>
      <c r="W1" s="25">
        <v>1991</v>
      </c>
      <c r="X1" s="25">
        <v>1992</v>
      </c>
      <c r="Y1" s="25">
        <v>1993</v>
      </c>
      <c r="Z1" s="25">
        <v>1994</v>
      </c>
      <c r="AA1" s="25">
        <v>1995</v>
      </c>
      <c r="AB1" s="25">
        <v>1996</v>
      </c>
      <c r="AC1" s="25">
        <v>1997</v>
      </c>
      <c r="AD1" s="25">
        <v>1998</v>
      </c>
      <c r="AE1" s="25">
        <v>1999</v>
      </c>
      <c r="AF1" s="25">
        <v>2000</v>
      </c>
      <c r="AG1" s="25">
        <v>2001</v>
      </c>
      <c r="AH1" s="25">
        <v>2002</v>
      </c>
      <c r="AI1" s="25">
        <v>2003</v>
      </c>
      <c r="AJ1" s="25">
        <v>2004</v>
      </c>
      <c r="AK1" s="25">
        <v>2005</v>
      </c>
      <c r="AL1" s="25">
        <v>2006</v>
      </c>
      <c r="AM1" s="25">
        <v>2007</v>
      </c>
      <c r="AN1" s="25">
        <v>2008</v>
      </c>
      <c r="AO1" s="25">
        <v>2009</v>
      </c>
      <c r="AP1" s="25">
        <v>2010</v>
      </c>
      <c r="AQ1" s="25">
        <v>2011</v>
      </c>
      <c r="AR1" s="25">
        <v>2012</v>
      </c>
      <c r="AS1" s="25">
        <v>2013</v>
      </c>
      <c r="AT1" s="25">
        <v>2014</v>
      </c>
      <c r="AU1" s="25">
        <v>2015</v>
      </c>
      <c r="AV1" s="25">
        <v>2016</v>
      </c>
    </row>
    <row r="2" spans="1:48" x14ac:dyDescent="0.25">
      <c r="A2" s="30" t="s">
        <v>10</v>
      </c>
      <c r="B2" s="1">
        <v>3674000</v>
      </c>
      <c r="C2" s="1">
        <v>3875000</v>
      </c>
      <c r="D2" s="1">
        <v>4197000</v>
      </c>
      <c r="E2" s="1">
        <v>4299000</v>
      </c>
      <c r="F2" s="1">
        <v>4521000</v>
      </c>
      <c r="G2" s="1">
        <v>4420000</v>
      </c>
      <c r="H2" s="1">
        <v>5009000</v>
      </c>
      <c r="I2" s="1">
        <v>7137000</v>
      </c>
      <c r="J2" s="1">
        <v>14056000</v>
      </c>
      <c r="K2" s="1">
        <v>25397000</v>
      </c>
      <c r="L2" s="1">
        <v>37007000</v>
      </c>
      <c r="M2" s="1">
        <v>47353000</v>
      </c>
      <c r="N2" s="1">
        <v>65457000</v>
      </c>
      <c r="O2" s="1">
        <v>92308000</v>
      </c>
      <c r="P2" s="1">
        <v>116798000</v>
      </c>
      <c r="Q2" s="1">
        <v>139704000</v>
      </c>
      <c r="R2" s="1">
        <v>191033000</v>
      </c>
      <c r="S2" s="1">
        <v>251839000</v>
      </c>
      <c r="T2" s="1">
        <v>287485000</v>
      </c>
      <c r="U2" s="1">
        <v>328002000</v>
      </c>
      <c r="V2" s="1">
        <v>397964000</v>
      </c>
      <c r="W2" s="1">
        <v>439692000</v>
      </c>
      <c r="X2" s="1">
        <v>472858000</v>
      </c>
      <c r="Y2" s="1">
        <v>508720000</v>
      </c>
      <c r="Z2" s="1">
        <v>555596000</v>
      </c>
      <c r="AA2" s="1">
        <v>591412000</v>
      </c>
      <c r="AB2" s="1">
        <v>587717000</v>
      </c>
      <c r="AC2" s="1">
        <v>566498000</v>
      </c>
      <c r="AD2" s="1">
        <v>603432000</v>
      </c>
      <c r="AE2" s="1">
        <v>599105000</v>
      </c>
      <c r="AF2" s="1">
        <v>600469000</v>
      </c>
      <c r="AG2" s="1">
        <v>582342000</v>
      </c>
      <c r="AH2" s="1">
        <v>647713000</v>
      </c>
      <c r="AI2" s="1">
        <v>731741000</v>
      </c>
      <c r="AJ2" s="1">
        <v>792785000</v>
      </c>
      <c r="AK2" s="1">
        <v>750805000</v>
      </c>
      <c r="AL2" s="1">
        <v>796977000</v>
      </c>
      <c r="AM2" s="1">
        <v>830118000</v>
      </c>
      <c r="AN2" s="1">
        <v>818524000</v>
      </c>
      <c r="AO2" s="1">
        <v>147247000</v>
      </c>
      <c r="AP2" s="1">
        <v>162687000</v>
      </c>
      <c r="AQ2" s="1">
        <v>170187000</v>
      </c>
      <c r="AR2" s="1">
        <v>174892000</v>
      </c>
      <c r="AS2" s="1">
        <v>173444000</v>
      </c>
      <c r="AT2" s="1">
        <v>160731000</v>
      </c>
      <c r="AU2" s="1">
        <v>150608000</v>
      </c>
      <c r="AV2" s="1">
        <v>143008000</v>
      </c>
    </row>
    <row r="3" spans="1:48" x14ac:dyDescent="0.25">
      <c r="A3" s="30" t="s">
        <v>13</v>
      </c>
      <c r="B3" s="1">
        <v>12313000</v>
      </c>
      <c r="C3" s="1">
        <v>18705000</v>
      </c>
      <c r="D3" s="1">
        <v>32185000</v>
      </c>
      <c r="E3" s="1">
        <v>53236000</v>
      </c>
      <c r="F3" s="1">
        <v>62803000</v>
      </c>
      <c r="G3" s="1">
        <v>99636000</v>
      </c>
      <c r="H3" s="1">
        <v>125264000</v>
      </c>
      <c r="I3" s="1">
        <v>160032000</v>
      </c>
      <c r="J3" s="1">
        <v>209997000</v>
      </c>
      <c r="K3" s="1">
        <v>256713000</v>
      </c>
      <c r="L3" s="1">
        <v>297945000</v>
      </c>
      <c r="M3" s="1">
        <v>339965000</v>
      </c>
      <c r="N3" s="1">
        <v>386229000</v>
      </c>
      <c r="O3" s="1">
        <v>433644000</v>
      </c>
      <c r="P3" s="1">
        <v>430168000</v>
      </c>
      <c r="Q3" s="1">
        <v>513670000</v>
      </c>
      <c r="R3" s="1">
        <v>632558000</v>
      </c>
      <c r="S3" s="1">
        <v>783713000</v>
      </c>
      <c r="T3" s="1">
        <v>748384000</v>
      </c>
      <c r="U3" s="1">
        <v>811035000</v>
      </c>
      <c r="V3" s="1">
        <v>889397000</v>
      </c>
      <c r="W3" s="1">
        <v>958032000</v>
      </c>
      <c r="X3" s="1">
        <v>954997000</v>
      </c>
      <c r="Y3" s="1">
        <v>933520000</v>
      </c>
      <c r="Z3" s="1">
        <v>1100375000</v>
      </c>
      <c r="AA3" s="1">
        <v>1081821000</v>
      </c>
      <c r="AB3" s="1">
        <v>1032742000</v>
      </c>
      <c r="AC3" s="1">
        <v>1019435000</v>
      </c>
      <c r="AD3" s="1">
        <v>1050424000</v>
      </c>
      <c r="AE3" s="1">
        <v>1025461000</v>
      </c>
      <c r="AF3" s="1">
        <v>986712000</v>
      </c>
      <c r="AG3" s="1">
        <v>936223000</v>
      </c>
      <c r="AH3" s="1">
        <v>988517000</v>
      </c>
      <c r="AI3" s="1">
        <v>1089550000</v>
      </c>
      <c r="AJ3" s="1">
        <v>1199980000</v>
      </c>
      <c r="AK3" s="1">
        <v>1115359000</v>
      </c>
      <c r="AL3" s="1">
        <v>216276000</v>
      </c>
      <c r="AM3" s="1">
        <v>238537000</v>
      </c>
      <c r="AN3" s="1">
        <v>259892000</v>
      </c>
      <c r="AO3" s="1">
        <v>302832000</v>
      </c>
      <c r="AP3" s="1">
        <v>374021000</v>
      </c>
      <c r="AQ3" s="1">
        <v>431007000</v>
      </c>
      <c r="AR3" s="1">
        <v>511790000</v>
      </c>
      <c r="AS3" s="1">
        <v>667209000</v>
      </c>
      <c r="AT3" s="1">
        <v>742910000</v>
      </c>
      <c r="AU3" s="1">
        <v>798099000</v>
      </c>
      <c r="AV3" s="1">
        <v>896504000</v>
      </c>
    </row>
    <row r="4" spans="1:48" x14ac:dyDescent="0.25">
      <c r="A4" s="30" t="s">
        <v>16</v>
      </c>
      <c r="B4" s="1">
        <v>321000</v>
      </c>
      <c r="C4" s="1">
        <v>1851000</v>
      </c>
      <c r="D4" s="1">
        <v>2645000</v>
      </c>
      <c r="E4" s="1">
        <v>4492000</v>
      </c>
      <c r="F4" s="1">
        <v>6939000</v>
      </c>
      <c r="G4" s="1">
        <v>11397000</v>
      </c>
      <c r="H4" s="1">
        <v>16035000</v>
      </c>
      <c r="I4" s="1">
        <v>23792000</v>
      </c>
      <c r="J4" s="1">
        <v>30791000</v>
      </c>
      <c r="K4" s="1">
        <v>35771000</v>
      </c>
      <c r="L4" s="1">
        <v>36133000</v>
      </c>
      <c r="M4" s="1">
        <v>36133000</v>
      </c>
      <c r="N4" s="1">
        <v>36101000</v>
      </c>
      <c r="O4" s="1">
        <v>36449000</v>
      </c>
      <c r="P4" s="1">
        <v>39888000</v>
      </c>
      <c r="Q4" s="1">
        <v>39914000</v>
      </c>
      <c r="R4" s="1">
        <v>47984000</v>
      </c>
      <c r="S4" s="1">
        <v>61319000</v>
      </c>
      <c r="T4" s="1">
        <v>97617000</v>
      </c>
      <c r="U4" s="1">
        <v>129930000</v>
      </c>
      <c r="V4" s="1">
        <v>186390000</v>
      </c>
      <c r="W4" s="1">
        <v>234939000</v>
      </c>
      <c r="X4" s="1">
        <v>259151000</v>
      </c>
      <c r="Y4" s="1">
        <v>283980000</v>
      </c>
      <c r="Z4" s="1">
        <v>331951000</v>
      </c>
      <c r="AA4" s="1">
        <v>378832000</v>
      </c>
      <c r="AB4" s="1">
        <v>432861000</v>
      </c>
      <c r="AC4" s="1">
        <v>457193000</v>
      </c>
      <c r="AD4" s="1">
        <v>487708000</v>
      </c>
      <c r="AE4" s="1">
        <v>526610000</v>
      </c>
      <c r="AF4" s="1">
        <v>515389000</v>
      </c>
      <c r="AG4" s="1">
        <v>524689000</v>
      </c>
      <c r="AH4" s="1">
        <v>632295000</v>
      </c>
      <c r="AI4" s="1">
        <v>803480000</v>
      </c>
      <c r="AJ4" s="1">
        <v>910435000</v>
      </c>
      <c r="AK4" s="1">
        <v>898960000</v>
      </c>
      <c r="AL4" s="1">
        <v>955598000</v>
      </c>
      <c r="AM4" s="1">
        <v>993807000</v>
      </c>
      <c r="AN4" s="1">
        <v>904807000</v>
      </c>
      <c r="AO4" s="1">
        <v>896286000</v>
      </c>
      <c r="AP4" s="1">
        <v>864708000</v>
      </c>
      <c r="AQ4" s="1">
        <v>845304000</v>
      </c>
      <c r="AR4" s="1">
        <v>829511000</v>
      </c>
      <c r="AS4" s="1">
        <v>810156000</v>
      </c>
      <c r="AT4" s="1">
        <v>747070000</v>
      </c>
      <c r="AU4" s="1">
        <v>187166000</v>
      </c>
      <c r="AV4" s="1">
        <v>179970000</v>
      </c>
    </row>
    <row r="5" spans="1:48" x14ac:dyDescent="0.25">
      <c r="A5" s="30" t="s">
        <v>15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2463000</v>
      </c>
      <c r="L5" s="1">
        <v>4220000</v>
      </c>
      <c r="M5" s="1">
        <v>5619000</v>
      </c>
      <c r="N5" s="1">
        <v>7473000</v>
      </c>
      <c r="O5" s="1">
        <v>9437000</v>
      </c>
      <c r="P5" s="1">
        <v>12886000</v>
      </c>
      <c r="Q5" s="1">
        <v>19486000</v>
      </c>
      <c r="R5" s="1">
        <v>25633000</v>
      </c>
      <c r="S5" s="1">
        <v>33115000</v>
      </c>
      <c r="T5" s="1">
        <v>33879000</v>
      </c>
      <c r="U5" s="1">
        <v>34757000</v>
      </c>
      <c r="V5" s="1">
        <v>37511000</v>
      </c>
      <c r="W5" s="1">
        <v>38977000</v>
      </c>
      <c r="X5" s="1">
        <v>40077000</v>
      </c>
      <c r="Y5" s="1">
        <v>44788000</v>
      </c>
      <c r="Z5" s="1">
        <v>53857000</v>
      </c>
      <c r="AA5" s="1">
        <v>64053000</v>
      </c>
      <c r="AB5" s="1">
        <v>68151000</v>
      </c>
      <c r="AC5" s="1">
        <v>69551000</v>
      </c>
      <c r="AD5" s="1">
        <v>74763000</v>
      </c>
      <c r="AE5" s="1">
        <v>72718000</v>
      </c>
      <c r="AF5" s="1">
        <v>70841000</v>
      </c>
      <c r="AG5" s="1">
        <v>79008000</v>
      </c>
      <c r="AH5" s="1">
        <v>96078000</v>
      </c>
      <c r="AI5" s="1">
        <v>112373000</v>
      </c>
      <c r="AJ5" s="1">
        <v>118720000</v>
      </c>
      <c r="AK5" s="1">
        <v>111076000</v>
      </c>
      <c r="AL5" s="1">
        <v>117087000</v>
      </c>
      <c r="AM5" s="1">
        <v>124350000</v>
      </c>
      <c r="AN5" s="1">
        <v>122332000</v>
      </c>
      <c r="AO5" s="1">
        <v>120371000</v>
      </c>
      <c r="AP5" s="1">
        <v>115505000</v>
      </c>
      <c r="AQ5" s="1">
        <v>111995000</v>
      </c>
      <c r="AR5" s="1">
        <v>90293000</v>
      </c>
      <c r="AS5" s="1">
        <v>15534000</v>
      </c>
      <c r="AT5" s="1">
        <v>14448000</v>
      </c>
      <c r="AU5" s="1">
        <v>13535000</v>
      </c>
      <c r="AV5" s="1">
        <v>12856000</v>
      </c>
    </row>
    <row r="6" spans="1:48" x14ac:dyDescent="0.25">
      <c r="A6" s="30" t="s">
        <v>17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523000</v>
      </c>
      <c r="P6" s="1">
        <v>1247000</v>
      </c>
      <c r="Q6" s="1">
        <v>6830000</v>
      </c>
      <c r="R6" s="1">
        <v>11426000</v>
      </c>
      <c r="S6" s="1">
        <v>20748000</v>
      </c>
      <c r="T6" s="1">
        <v>25018000</v>
      </c>
      <c r="U6" s="1">
        <v>26347000</v>
      </c>
      <c r="V6" s="1">
        <v>31116000</v>
      </c>
      <c r="W6" s="1">
        <v>34291000</v>
      </c>
      <c r="X6" s="1">
        <v>36047000</v>
      </c>
      <c r="Y6" s="1">
        <v>39609000</v>
      </c>
      <c r="Z6" s="1">
        <v>42766000</v>
      </c>
      <c r="AA6" s="1">
        <v>46242000</v>
      </c>
      <c r="AB6" s="1">
        <v>45686000</v>
      </c>
      <c r="AC6" s="1">
        <v>46059000</v>
      </c>
      <c r="AD6" s="1">
        <v>49465000</v>
      </c>
      <c r="AE6" s="1">
        <v>49017000</v>
      </c>
      <c r="AF6" s="1">
        <v>49901000</v>
      </c>
      <c r="AG6" s="1">
        <v>56123000</v>
      </c>
      <c r="AH6" s="1">
        <v>78479000</v>
      </c>
      <c r="AI6" s="1">
        <v>112140000</v>
      </c>
      <c r="AJ6" s="1">
        <v>126386000</v>
      </c>
      <c r="AK6" s="1">
        <v>120303000</v>
      </c>
      <c r="AL6" s="1">
        <v>133347000</v>
      </c>
      <c r="AM6" s="1">
        <v>147161000</v>
      </c>
      <c r="AN6" s="1">
        <v>151600000</v>
      </c>
      <c r="AO6" s="1">
        <v>158376000</v>
      </c>
      <c r="AP6" s="1">
        <v>154716000</v>
      </c>
      <c r="AQ6" s="1">
        <v>152616000</v>
      </c>
      <c r="AR6" s="1">
        <v>150774000</v>
      </c>
      <c r="AS6" s="1">
        <v>147638000</v>
      </c>
      <c r="AT6" s="1">
        <v>136579000</v>
      </c>
      <c r="AU6" s="1">
        <v>129902000</v>
      </c>
      <c r="AV6" s="1">
        <v>127926000</v>
      </c>
    </row>
    <row r="7" spans="1:48" x14ac:dyDescent="0.25">
      <c r="A7" s="30" t="s">
        <v>18</v>
      </c>
      <c r="B7" s="1">
        <v>70084000</v>
      </c>
      <c r="C7" s="1">
        <v>83485000</v>
      </c>
      <c r="D7" s="1">
        <v>97374000</v>
      </c>
      <c r="E7" s="1">
        <v>112902000</v>
      </c>
      <c r="F7" s="1">
        <v>121225000</v>
      </c>
      <c r="G7" s="1">
        <v>142743000</v>
      </c>
      <c r="H7" s="1">
        <v>177637000</v>
      </c>
      <c r="I7" s="1">
        <v>207737000</v>
      </c>
      <c r="J7" s="1">
        <v>236675000</v>
      </c>
      <c r="K7" s="1">
        <v>280153000</v>
      </c>
      <c r="L7" s="1">
        <v>304325000</v>
      </c>
      <c r="M7" s="1">
        <v>327391000</v>
      </c>
      <c r="N7" s="1">
        <v>350104000</v>
      </c>
      <c r="O7" s="1">
        <v>385975000</v>
      </c>
      <c r="P7" s="1">
        <v>422367000</v>
      </c>
      <c r="Q7" s="1">
        <v>485457000</v>
      </c>
      <c r="R7" s="1">
        <v>540083000</v>
      </c>
      <c r="S7" s="1">
        <v>657817000</v>
      </c>
      <c r="T7" s="1">
        <v>699891000</v>
      </c>
      <c r="U7" s="1">
        <v>749155000</v>
      </c>
      <c r="V7" s="1">
        <v>850931000</v>
      </c>
      <c r="W7" s="1">
        <v>902524000</v>
      </c>
      <c r="X7" s="1">
        <v>976039000</v>
      </c>
      <c r="Y7" s="1">
        <v>1193708000</v>
      </c>
      <c r="Z7" s="1">
        <v>1376270000</v>
      </c>
      <c r="AA7" s="1">
        <v>1469574000</v>
      </c>
      <c r="AB7" s="1">
        <v>1554660000</v>
      </c>
      <c r="AC7" s="1">
        <v>1531768000</v>
      </c>
      <c r="AD7" s="1">
        <v>1631967000</v>
      </c>
      <c r="AE7" s="1">
        <v>1739398000</v>
      </c>
      <c r="AF7" s="1">
        <v>1779264000</v>
      </c>
      <c r="AG7" s="1">
        <v>2150493000</v>
      </c>
      <c r="AH7" s="1">
        <v>2755978000</v>
      </c>
      <c r="AI7" s="1">
        <v>3179154000</v>
      </c>
      <c r="AJ7" s="1">
        <v>3488363000</v>
      </c>
      <c r="AK7" s="1">
        <v>3358909000</v>
      </c>
      <c r="AL7" s="1">
        <v>552614000</v>
      </c>
      <c r="AM7" s="1">
        <v>710571000</v>
      </c>
      <c r="AN7" s="1">
        <v>859135000</v>
      </c>
      <c r="AO7" s="1">
        <v>1421652000</v>
      </c>
      <c r="AP7" s="1">
        <v>1803676000</v>
      </c>
      <c r="AQ7" s="1">
        <v>2207661000</v>
      </c>
      <c r="AR7" s="1">
        <v>2801037000</v>
      </c>
      <c r="AS7" s="1">
        <v>3658035000</v>
      </c>
      <c r="AT7" s="1">
        <v>4258610000</v>
      </c>
      <c r="AU7" s="1">
        <v>4753164000</v>
      </c>
      <c r="AV7" s="1">
        <v>5746393000</v>
      </c>
    </row>
    <row r="8" spans="1:48" x14ac:dyDescent="0.25">
      <c r="A8" s="30" t="s">
        <v>19</v>
      </c>
      <c r="B8" s="1">
        <v>20405000</v>
      </c>
      <c r="C8" s="1">
        <v>44564000</v>
      </c>
      <c r="D8" s="1">
        <v>66665000</v>
      </c>
      <c r="E8" s="1">
        <v>72545000</v>
      </c>
      <c r="F8" s="1">
        <v>70550000</v>
      </c>
      <c r="G8" s="1">
        <v>68415000</v>
      </c>
      <c r="H8" s="1">
        <v>67305000</v>
      </c>
      <c r="I8" s="1">
        <v>71165000</v>
      </c>
      <c r="J8" s="1">
        <v>75982000</v>
      </c>
      <c r="K8" s="1">
        <v>80458000</v>
      </c>
      <c r="L8" s="1">
        <v>87299000</v>
      </c>
      <c r="M8" s="1">
        <v>97572000</v>
      </c>
      <c r="N8" s="1">
        <v>105391000</v>
      </c>
      <c r="O8" s="1">
        <v>117134000</v>
      </c>
      <c r="P8" s="1">
        <v>138297000</v>
      </c>
      <c r="Q8" s="1">
        <v>171728000</v>
      </c>
      <c r="R8" s="1">
        <v>220680000</v>
      </c>
      <c r="S8" s="1">
        <v>281978000</v>
      </c>
      <c r="T8" s="1">
        <v>304404000</v>
      </c>
      <c r="U8" s="1">
        <v>354032000</v>
      </c>
      <c r="V8" s="1">
        <v>419432000</v>
      </c>
      <c r="W8" s="1">
        <v>493737000</v>
      </c>
      <c r="X8" s="1">
        <v>547771000</v>
      </c>
      <c r="Y8" s="1">
        <v>680808000</v>
      </c>
      <c r="Z8" s="1">
        <v>773128000</v>
      </c>
      <c r="AA8" s="1">
        <v>847047000</v>
      </c>
      <c r="AB8" s="1">
        <v>862608000</v>
      </c>
      <c r="AC8" s="1">
        <v>921622000</v>
      </c>
      <c r="AD8" s="1">
        <v>1015979000</v>
      </c>
      <c r="AE8" s="1">
        <v>1013674000</v>
      </c>
      <c r="AF8" s="1">
        <v>981869000</v>
      </c>
      <c r="AG8" s="1">
        <v>1003117000</v>
      </c>
      <c r="AH8" s="1">
        <v>1096012000</v>
      </c>
      <c r="AI8" s="1">
        <v>1212237000</v>
      </c>
      <c r="AJ8" s="1">
        <v>1287046000</v>
      </c>
      <c r="AK8" s="1">
        <v>1204761000</v>
      </c>
      <c r="AL8" s="1">
        <v>1259015000</v>
      </c>
      <c r="AM8" s="1">
        <v>1305197000</v>
      </c>
      <c r="AN8" s="1">
        <v>1288171000</v>
      </c>
      <c r="AO8" s="1">
        <v>1269404000</v>
      </c>
      <c r="AP8" s="1">
        <v>1247633000</v>
      </c>
      <c r="AQ8" s="1">
        <v>1165841000</v>
      </c>
      <c r="AR8" s="1">
        <v>158959000</v>
      </c>
      <c r="AS8" s="1">
        <v>168047000</v>
      </c>
      <c r="AT8" s="1">
        <v>196542000</v>
      </c>
      <c r="AU8" s="1">
        <v>186017000</v>
      </c>
      <c r="AV8" s="1">
        <v>221594000</v>
      </c>
    </row>
    <row r="9" spans="1:48" x14ac:dyDescent="0.25">
      <c r="A9" s="30" t="s">
        <v>20</v>
      </c>
      <c r="B9" s="1">
        <v>350000</v>
      </c>
      <c r="C9" s="1">
        <v>350000</v>
      </c>
      <c r="D9" s="1">
        <v>378000</v>
      </c>
      <c r="E9" s="1">
        <v>416000</v>
      </c>
      <c r="F9" s="1">
        <v>412000</v>
      </c>
      <c r="G9" s="1">
        <v>6256000</v>
      </c>
      <c r="H9" s="1">
        <v>19421000</v>
      </c>
      <c r="I9" s="1">
        <v>37340000</v>
      </c>
      <c r="J9" s="1">
        <v>45255000</v>
      </c>
      <c r="K9" s="1">
        <v>53198000</v>
      </c>
      <c r="L9" s="1">
        <v>66265000</v>
      </c>
      <c r="M9" s="1">
        <v>82405000</v>
      </c>
      <c r="N9" s="1">
        <v>96208000</v>
      </c>
      <c r="O9" s="1">
        <v>122201000</v>
      </c>
      <c r="P9" s="1">
        <v>150359000</v>
      </c>
      <c r="Q9" s="1">
        <v>173896000</v>
      </c>
      <c r="R9" s="1">
        <v>209307000</v>
      </c>
      <c r="S9" s="1">
        <v>280047000</v>
      </c>
      <c r="T9" s="1">
        <v>285253000</v>
      </c>
      <c r="U9" s="1">
        <v>293803000</v>
      </c>
      <c r="V9" s="1">
        <v>323581000</v>
      </c>
      <c r="W9" s="1">
        <v>329812000</v>
      </c>
      <c r="X9" s="1">
        <v>343517000</v>
      </c>
      <c r="Y9" s="1">
        <v>337325000</v>
      </c>
      <c r="Z9" s="1">
        <v>346153000</v>
      </c>
      <c r="AA9" s="1">
        <v>389384000</v>
      </c>
      <c r="AB9" s="1">
        <v>441526000</v>
      </c>
      <c r="AC9" s="1">
        <v>458056000</v>
      </c>
      <c r="AD9" s="1">
        <v>492919000</v>
      </c>
      <c r="AE9" s="1">
        <v>503634000</v>
      </c>
      <c r="AF9" s="1">
        <v>480060000</v>
      </c>
      <c r="AG9" s="1">
        <v>466777000</v>
      </c>
      <c r="AH9" s="1">
        <v>501182000</v>
      </c>
      <c r="AI9" s="1">
        <v>517647000</v>
      </c>
      <c r="AJ9" s="1">
        <v>504382000</v>
      </c>
      <c r="AK9" s="1">
        <v>505484000</v>
      </c>
      <c r="AL9" s="1">
        <v>511457000</v>
      </c>
      <c r="AM9" s="1">
        <v>518369000</v>
      </c>
      <c r="AN9" s="1">
        <v>507237000</v>
      </c>
      <c r="AO9" s="1">
        <v>38500000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</row>
    <row r="10" spans="1:48" x14ac:dyDescent="0.25">
      <c r="A10" s="30" t="s">
        <v>21</v>
      </c>
      <c r="B10" s="1">
        <v>37239000</v>
      </c>
      <c r="C10" s="1">
        <v>46779000</v>
      </c>
      <c r="D10" s="1">
        <v>76419000</v>
      </c>
      <c r="E10" s="1">
        <v>113195000</v>
      </c>
      <c r="F10" s="1">
        <v>136797000</v>
      </c>
      <c r="G10" s="1">
        <v>187125000</v>
      </c>
      <c r="H10" s="1">
        <v>264084000</v>
      </c>
      <c r="I10" s="1">
        <v>313743000</v>
      </c>
      <c r="J10" s="1">
        <v>368253000</v>
      </c>
      <c r="K10" s="1">
        <v>422638000</v>
      </c>
      <c r="L10" s="1">
        <v>528280000</v>
      </c>
      <c r="M10" s="1">
        <v>585511000</v>
      </c>
      <c r="N10" s="1">
        <v>742262000</v>
      </c>
      <c r="O10" s="1">
        <v>840297000</v>
      </c>
      <c r="P10" s="1">
        <v>946065000</v>
      </c>
      <c r="Q10" s="1">
        <v>1159344000</v>
      </c>
      <c r="R10" s="1">
        <v>1382122000</v>
      </c>
      <c r="S10" s="1">
        <v>1681417000</v>
      </c>
      <c r="T10" s="1">
        <v>1645746000</v>
      </c>
      <c r="U10" s="1">
        <v>1782109000</v>
      </c>
      <c r="V10" s="1">
        <v>2056036000</v>
      </c>
      <c r="W10" s="1">
        <v>2153454000</v>
      </c>
      <c r="X10" s="1">
        <v>2066801000</v>
      </c>
      <c r="Y10" s="1">
        <v>2197331000</v>
      </c>
      <c r="Z10" s="1">
        <v>2290075000</v>
      </c>
      <c r="AA10" s="1">
        <v>2411887000</v>
      </c>
      <c r="AB10" s="1">
        <v>2374843000</v>
      </c>
      <c r="AC10" s="1">
        <v>2245323000</v>
      </c>
      <c r="AD10" s="1">
        <v>2364431000</v>
      </c>
      <c r="AE10" s="1">
        <v>2310621000</v>
      </c>
      <c r="AF10" s="1">
        <v>2309409000</v>
      </c>
      <c r="AG10" s="1">
        <v>2286842000</v>
      </c>
      <c r="AH10" s="1">
        <v>2459856000</v>
      </c>
      <c r="AI10" s="1">
        <v>2741964000</v>
      </c>
      <c r="AJ10" s="1">
        <v>2882726000</v>
      </c>
      <c r="AK10" s="1">
        <v>2663224000</v>
      </c>
      <c r="AL10" s="1">
        <v>2764089000</v>
      </c>
      <c r="AM10" s="1">
        <v>2968119000</v>
      </c>
      <c r="AN10" s="1">
        <v>3050475000</v>
      </c>
      <c r="AO10" s="1">
        <v>3156096000</v>
      </c>
      <c r="AP10" s="1">
        <v>3237614000</v>
      </c>
      <c r="AQ10" s="1">
        <v>3388428000</v>
      </c>
      <c r="AR10" s="1">
        <v>3585785000</v>
      </c>
      <c r="AS10" s="1">
        <v>3982522000</v>
      </c>
      <c r="AT10" s="1">
        <v>4199127000</v>
      </c>
      <c r="AU10" s="1">
        <v>4381759000</v>
      </c>
      <c r="AV10" s="1">
        <v>4567712000</v>
      </c>
    </row>
    <row r="11" spans="1:48" x14ac:dyDescent="0.25">
      <c r="A11" s="30" t="s">
        <v>22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358529000</v>
      </c>
      <c r="AP11" s="1">
        <v>318968000</v>
      </c>
      <c r="AQ11" s="1">
        <v>299378000</v>
      </c>
      <c r="AR11" s="1">
        <v>294523000</v>
      </c>
      <c r="AS11" s="1">
        <v>297421000</v>
      </c>
      <c r="AT11" s="1">
        <v>259082000</v>
      </c>
      <c r="AU11" s="1">
        <v>228491000</v>
      </c>
      <c r="AV11" s="1">
        <v>217114000</v>
      </c>
    </row>
    <row r="12" spans="1:48" x14ac:dyDescent="0.25">
      <c r="A12" s="30" t="s">
        <v>23</v>
      </c>
      <c r="B12" s="1">
        <v>7361000</v>
      </c>
      <c r="C12" s="1">
        <v>9167000</v>
      </c>
      <c r="D12" s="1">
        <v>12474000</v>
      </c>
      <c r="E12" s="1">
        <v>18664000</v>
      </c>
      <c r="F12" s="1">
        <v>23220000</v>
      </c>
      <c r="G12" s="1">
        <v>26917000</v>
      </c>
      <c r="H12" s="1">
        <v>35216000</v>
      </c>
      <c r="I12" s="1">
        <v>44895000</v>
      </c>
      <c r="J12" s="1">
        <v>56904000</v>
      </c>
      <c r="K12" s="1">
        <v>71690000</v>
      </c>
      <c r="L12" s="1">
        <v>92215000</v>
      </c>
      <c r="M12" s="1">
        <v>113300000</v>
      </c>
      <c r="N12" s="1">
        <v>126852000</v>
      </c>
      <c r="O12" s="1">
        <v>141576000</v>
      </c>
      <c r="P12" s="1">
        <v>143702000</v>
      </c>
      <c r="Q12" s="1">
        <v>176356000</v>
      </c>
      <c r="R12" s="1">
        <v>208669000</v>
      </c>
      <c r="S12" s="1">
        <v>251791000</v>
      </c>
      <c r="T12" s="1">
        <v>236252000</v>
      </c>
      <c r="U12" s="1">
        <v>231420000</v>
      </c>
      <c r="V12" s="1">
        <v>248174000</v>
      </c>
      <c r="W12" s="1">
        <v>249774000</v>
      </c>
      <c r="X12" s="1">
        <v>241711000</v>
      </c>
      <c r="Y12" s="1">
        <v>244592000</v>
      </c>
      <c r="Z12" s="1">
        <v>257666000</v>
      </c>
      <c r="AA12" s="1">
        <v>269012000</v>
      </c>
      <c r="AB12" s="1">
        <v>252319000</v>
      </c>
      <c r="AC12" s="1">
        <v>238046000</v>
      </c>
      <c r="AD12" s="1">
        <v>247786000</v>
      </c>
      <c r="AE12" s="1">
        <v>228452000</v>
      </c>
      <c r="AF12" s="1">
        <v>229929000</v>
      </c>
      <c r="AG12" s="1">
        <v>221068000</v>
      </c>
      <c r="AH12" s="1">
        <v>239647000</v>
      </c>
      <c r="AI12" s="1">
        <v>260197000</v>
      </c>
      <c r="AJ12" s="1">
        <v>272462000</v>
      </c>
      <c r="AK12" s="1">
        <v>251496000</v>
      </c>
      <c r="AL12" s="1">
        <v>255535000</v>
      </c>
      <c r="AM12" s="1">
        <v>76618000</v>
      </c>
      <c r="AN12" s="1">
        <v>72013000</v>
      </c>
      <c r="AO12" s="1">
        <v>68993000</v>
      </c>
      <c r="AP12" s="1">
        <v>0</v>
      </c>
      <c r="AQ12" s="1">
        <v>13723000</v>
      </c>
      <c r="AR12" s="1">
        <v>36970000</v>
      </c>
      <c r="AS12" s="1">
        <v>58947000</v>
      </c>
      <c r="AT12" s="1">
        <v>102315000</v>
      </c>
      <c r="AU12" s="1">
        <v>164323000</v>
      </c>
      <c r="AV12" s="1">
        <v>231253000</v>
      </c>
    </row>
    <row r="13" spans="1:48" x14ac:dyDescent="0.25">
      <c r="A13" s="30" t="s">
        <v>24</v>
      </c>
      <c r="B13" s="1">
        <v>11445000</v>
      </c>
      <c r="C13" s="1">
        <v>17029000</v>
      </c>
      <c r="D13" s="1">
        <v>22467000</v>
      </c>
      <c r="E13" s="1">
        <v>38477000</v>
      </c>
      <c r="F13" s="1">
        <v>50728000</v>
      </c>
      <c r="G13" s="1">
        <v>77847000</v>
      </c>
      <c r="H13" s="1">
        <v>93579000</v>
      </c>
      <c r="I13" s="1">
        <v>102219000</v>
      </c>
      <c r="J13" s="1">
        <v>111308000</v>
      </c>
      <c r="K13" s="1">
        <v>126050000</v>
      </c>
      <c r="L13" s="1">
        <v>151693000</v>
      </c>
      <c r="M13" s="1">
        <v>185272000</v>
      </c>
      <c r="N13" s="1">
        <v>217974000</v>
      </c>
      <c r="O13" s="1">
        <v>252773000</v>
      </c>
      <c r="P13" s="1">
        <v>276463000</v>
      </c>
      <c r="Q13" s="1">
        <v>343384000</v>
      </c>
      <c r="R13" s="1">
        <v>453461000</v>
      </c>
      <c r="S13" s="1">
        <v>585528000</v>
      </c>
      <c r="T13" s="1">
        <v>636995000</v>
      </c>
      <c r="U13" s="1">
        <v>697209000</v>
      </c>
      <c r="V13" s="1">
        <v>796602000</v>
      </c>
      <c r="W13" s="1">
        <v>903864000</v>
      </c>
      <c r="X13" s="1">
        <v>906573000</v>
      </c>
      <c r="Y13" s="1">
        <v>948343000</v>
      </c>
      <c r="Z13" s="1">
        <v>1035458000</v>
      </c>
      <c r="AA13" s="1">
        <v>1121416000</v>
      </c>
      <c r="AB13" s="1">
        <v>1153381000</v>
      </c>
      <c r="AC13" s="1">
        <v>1214278000</v>
      </c>
      <c r="AD13" s="1">
        <v>1318291000</v>
      </c>
      <c r="AE13" s="1">
        <v>1360592000</v>
      </c>
      <c r="AF13" s="1">
        <v>1377614000</v>
      </c>
      <c r="AG13" s="1">
        <v>1408525000</v>
      </c>
      <c r="AH13" s="1">
        <v>1652156000</v>
      </c>
      <c r="AI13" s="1">
        <v>1975078000</v>
      </c>
      <c r="AJ13" s="1">
        <v>2268870000</v>
      </c>
      <c r="AK13" s="1">
        <v>2297933000</v>
      </c>
      <c r="AL13" s="1">
        <v>636053000</v>
      </c>
      <c r="AM13" s="1">
        <v>864936000</v>
      </c>
      <c r="AN13" s="1">
        <v>1066132000</v>
      </c>
      <c r="AO13" s="1">
        <v>1104906000</v>
      </c>
      <c r="AP13" s="1">
        <v>1161066000</v>
      </c>
      <c r="AQ13" s="1">
        <v>1198094000</v>
      </c>
      <c r="AR13" s="1">
        <v>1246421000</v>
      </c>
      <c r="AS13" s="1">
        <v>1330339000</v>
      </c>
      <c r="AT13" s="1">
        <v>1365919000</v>
      </c>
      <c r="AU13" s="1">
        <v>1412191000</v>
      </c>
      <c r="AV13" s="1">
        <v>1433353000</v>
      </c>
    </row>
    <row r="14" spans="1:48" x14ac:dyDescent="0.25">
      <c r="A14" s="30" t="s">
        <v>25</v>
      </c>
      <c r="B14" s="1">
        <v>16891000</v>
      </c>
      <c r="C14" s="1">
        <v>24192000</v>
      </c>
      <c r="D14" s="1">
        <v>34233000</v>
      </c>
      <c r="E14" s="1">
        <v>42789000</v>
      </c>
      <c r="F14" s="1">
        <v>50249000</v>
      </c>
      <c r="G14" s="1">
        <v>61693000</v>
      </c>
      <c r="H14" s="1">
        <v>73691000</v>
      </c>
      <c r="I14" s="1">
        <v>86878000</v>
      </c>
      <c r="J14" s="1">
        <v>107404000</v>
      </c>
      <c r="K14" s="1">
        <v>134120000</v>
      </c>
      <c r="L14" s="1">
        <v>156036000</v>
      </c>
      <c r="M14" s="1">
        <v>202873000</v>
      </c>
      <c r="N14" s="1">
        <v>249001000</v>
      </c>
      <c r="O14" s="1">
        <v>277240000</v>
      </c>
      <c r="P14" s="1">
        <v>335812000</v>
      </c>
      <c r="Q14" s="1">
        <v>391323000</v>
      </c>
      <c r="R14" s="1">
        <v>506269000</v>
      </c>
      <c r="S14" s="1">
        <v>613584000</v>
      </c>
      <c r="T14" s="1">
        <v>654209000</v>
      </c>
      <c r="U14" s="1">
        <v>716626000</v>
      </c>
      <c r="V14" s="1">
        <v>854263000</v>
      </c>
      <c r="W14" s="1">
        <v>951642000</v>
      </c>
      <c r="X14" s="1">
        <v>993291000</v>
      </c>
      <c r="Y14" s="1">
        <v>1129436000</v>
      </c>
      <c r="Z14" s="1">
        <v>1224827000</v>
      </c>
      <c r="AA14" s="1">
        <v>1306303000</v>
      </c>
      <c r="AB14" s="1">
        <v>1387986000</v>
      </c>
      <c r="AC14" s="1">
        <v>1409085000</v>
      </c>
      <c r="AD14" s="1">
        <v>1567666000</v>
      </c>
      <c r="AE14" s="1">
        <v>1602986000</v>
      </c>
      <c r="AF14" s="1">
        <v>1600709000</v>
      </c>
      <c r="AG14" s="1">
        <v>1627342000</v>
      </c>
      <c r="AH14" s="1">
        <v>1772622000</v>
      </c>
      <c r="AI14" s="1">
        <v>1958851000</v>
      </c>
      <c r="AJ14" s="1">
        <v>2075557000</v>
      </c>
      <c r="AK14" s="1">
        <v>1940401000</v>
      </c>
      <c r="AL14" s="1">
        <v>156890000</v>
      </c>
      <c r="AM14" s="1">
        <v>177551000</v>
      </c>
      <c r="AN14" s="1">
        <v>187724000</v>
      </c>
      <c r="AO14" s="1">
        <v>212764000</v>
      </c>
      <c r="AP14" s="1">
        <v>242588000</v>
      </c>
      <c r="AQ14" s="1">
        <v>274145000</v>
      </c>
      <c r="AR14" s="1">
        <v>322954000</v>
      </c>
      <c r="AS14" s="1">
        <v>417525000</v>
      </c>
      <c r="AT14" s="1">
        <v>501386000</v>
      </c>
      <c r="AU14" s="1">
        <v>588186000</v>
      </c>
      <c r="AV14" s="1">
        <v>642213000</v>
      </c>
    </row>
    <row r="15" spans="1:48" x14ac:dyDescent="0.25">
      <c r="A15" s="30" t="s">
        <v>26</v>
      </c>
      <c r="B15" s="1">
        <v>5977000</v>
      </c>
      <c r="C15" s="1">
        <v>9547000</v>
      </c>
      <c r="D15" s="1">
        <v>15438000</v>
      </c>
      <c r="E15" s="1">
        <v>21695000</v>
      </c>
      <c r="F15" s="1">
        <v>28235000</v>
      </c>
      <c r="G15" s="1">
        <v>41000000</v>
      </c>
      <c r="H15" s="1">
        <v>54432000</v>
      </c>
      <c r="I15" s="1">
        <v>67082000</v>
      </c>
      <c r="J15" s="1">
        <v>81551000</v>
      </c>
      <c r="K15" s="1">
        <v>101997000</v>
      </c>
      <c r="L15" s="1">
        <v>120800000</v>
      </c>
      <c r="M15" s="1">
        <v>139830000</v>
      </c>
      <c r="N15" s="1">
        <v>153823000</v>
      </c>
      <c r="O15" s="1">
        <v>171881000</v>
      </c>
      <c r="P15" s="1">
        <v>190893000</v>
      </c>
      <c r="Q15" s="1">
        <v>224441000</v>
      </c>
      <c r="R15" s="1">
        <v>276751000</v>
      </c>
      <c r="S15" s="1">
        <v>339660000</v>
      </c>
      <c r="T15" s="1">
        <v>389969000</v>
      </c>
      <c r="U15" s="1">
        <v>432098000</v>
      </c>
      <c r="V15" s="1">
        <v>497613000</v>
      </c>
      <c r="W15" s="1">
        <v>569274000</v>
      </c>
      <c r="X15" s="1">
        <v>611063000</v>
      </c>
      <c r="Y15" s="1">
        <v>655665000</v>
      </c>
      <c r="Z15" s="1">
        <v>769591000</v>
      </c>
      <c r="AA15" s="1">
        <v>862998000</v>
      </c>
      <c r="AB15" s="1">
        <v>915199000</v>
      </c>
      <c r="AC15" s="1">
        <v>938801000</v>
      </c>
      <c r="AD15" s="1">
        <v>1008729000</v>
      </c>
      <c r="AE15" s="1">
        <v>1035086000</v>
      </c>
      <c r="AF15" s="1">
        <v>956887000</v>
      </c>
      <c r="AG15" s="1">
        <v>980748000</v>
      </c>
      <c r="AH15" s="1">
        <v>1133709000</v>
      </c>
      <c r="AI15" s="1">
        <v>1321761000</v>
      </c>
      <c r="AJ15" s="1">
        <v>1440710000</v>
      </c>
      <c r="AK15" s="1">
        <v>1423842000</v>
      </c>
      <c r="AL15" s="1">
        <v>297359000</v>
      </c>
      <c r="AM15" s="1">
        <v>451682000</v>
      </c>
      <c r="AN15" s="1">
        <v>533952000</v>
      </c>
      <c r="AO15" s="1">
        <v>698443000</v>
      </c>
      <c r="AP15" s="1">
        <v>839879000</v>
      </c>
      <c r="AQ15" s="1">
        <v>981342000</v>
      </c>
      <c r="AR15" s="1">
        <v>1051099000</v>
      </c>
      <c r="AS15" s="1">
        <v>1202881000</v>
      </c>
      <c r="AT15" s="1">
        <v>1231870000</v>
      </c>
      <c r="AU15" s="1">
        <v>1349331000</v>
      </c>
      <c r="AV15" s="1">
        <v>1364256000</v>
      </c>
    </row>
    <row r="16" spans="1:48" x14ac:dyDescent="0.25">
      <c r="A16" s="30" t="s">
        <v>27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28112000</v>
      </c>
      <c r="Z16" s="1">
        <v>98796000</v>
      </c>
      <c r="AA16" s="1">
        <v>152402000</v>
      </c>
      <c r="AB16" s="1">
        <v>141642000</v>
      </c>
      <c r="AC16" s="1">
        <v>169889000</v>
      </c>
      <c r="AD16" s="1">
        <v>206891000</v>
      </c>
      <c r="AE16" s="1">
        <v>275769000</v>
      </c>
      <c r="AF16" s="1">
        <v>294477000</v>
      </c>
      <c r="AG16" s="1">
        <v>293801000</v>
      </c>
      <c r="AH16" s="1">
        <v>330864000</v>
      </c>
      <c r="AI16" s="1">
        <v>364747000</v>
      </c>
      <c r="AJ16" s="1">
        <v>385763000</v>
      </c>
      <c r="AK16" s="1">
        <v>370582000</v>
      </c>
      <c r="AL16" s="1">
        <v>393389000</v>
      </c>
      <c r="AM16" s="1">
        <v>432385000</v>
      </c>
      <c r="AN16" s="1">
        <v>440050000</v>
      </c>
      <c r="AO16" s="1">
        <v>442566000</v>
      </c>
      <c r="AP16" s="1">
        <v>479489000</v>
      </c>
      <c r="AQ16" s="1">
        <v>509592000</v>
      </c>
      <c r="AR16" s="1">
        <v>561430000</v>
      </c>
      <c r="AS16" s="1">
        <v>568750000</v>
      </c>
      <c r="AT16" s="1">
        <v>564323000</v>
      </c>
      <c r="AU16" s="1">
        <v>567716000</v>
      </c>
      <c r="AV16" s="1">
        <v>634407000</v>
      </c>
    </row>
    <row r="17" spans="1:48" x14ac:dyDescent="0.25">
      <c r="A17" s="30" t="s">
        <v>28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5086000</v>
      </c>
      <c r="R17" s="1">
        <v>30063000</v>
      </c>
      <c r="S17" s="1">
        <v>87193000</v>
      </c>
      <c r="T17" s="1">
        <v>126780000</v>
      </c>
      <c r="U17" s="1">
        <v>175901000</v>
      </c>
      <c r="V17" s="1">
        <v>267939000</v>
      </c>
      <c r="W17" s="1">
        <v>327998000</v>
      </c>
      <c r="X17" s="1">
        <v>417388000</v>
      </c>
      <c r="Y17" s="1">
        <v>511801000</v>
      </c>
      <c r="Z17" s="1">
        <v>714316000</v>
      </c>
      <c r="AA17" s="1">
        <v>889657000</v>
      </c>
      <c r="AB17" s="1">
        <v>1076433000</v>
      </c>
      <c r="AC17" s="1">
        <v>1159878000</v>
      </c>
      <c r="AD17" s="1">
        <v>1335248000</v>
      </c>
      <c r="AE17" s="1">
        <v>702144000</v>
      </c>
      <c r="AF17" s="1">
        <v>760297000</v>
      </c>
      <c r="AG17" s="1">
        <v>777287000</v>
      </c>
      <c r="AH17" s="1">
        <v>985329000</v>
      </c>
      <c r="AI17" s="1">
        <v>1231640000</v>
      </c>
      <c r="AJ17" s="1">
        <v>1475223000</v>
      </c>
      <c r="AK17" s="1">
        <v>1574781000</v>
      </c>
      <c r="AL17" s="1">
        <v>655468000</v>
      </c>
      <c r="AM17" s="1">
        <v>902072000</v>
      </c>
      <c r="AN17" s="1">
        <v>1149468000</v>
      </c>
      <c r="AO17" s="1">
        <v>1355819000</v>
      </c>
      <c r="AP17" s="1">
        <v>1490905000</v>
      </c>
      <c r="AQ17" s="1">
        <v>1577138000</v>
      </c>
      <c r="AR17" s="1">
        <v>1808341000</v>
      </c>
      <c r="AS17" s="1">
        <v>2185015000</v>
      </c>
      <c r="AT17" s="1">
        <v>2284912000</v>
      </c>
      <c r="AU17" s="1">
        <v>2460788000</v>
      </c>
      <c r="AV17" s="1">
        <v>2554627000</v>
      </c>
    </row>
    <row r="18" spans="1:48" x14ac:dyDescent="0.25">
      <c r="A18" s="30" t="s">
        <v>29</v>
      </c>
      <c r="B18" s="1">
        <v>0</v>
      </c>
      <c r="C18" s="1">
        <v>0</v>
      </c>
      <c r="D18" s="1">
        <v>0</v>
      </c>
      <c r="E18" s="1">
        <v>6895000</v>
      </c>
      <c r="F18" s="1">
        <v>8803000</v>
      </c>
      <c r="G18" s="1">
        <v>24164000</v>
      </c>
      <c r="H18" s="1">
        <v>41412000</v>
      </c>
      <c r="I18" s="1">
        <v>62667000</v>
      </c>
      <c r="J18" s="1">
        <v>85590000</v>
      </c>
      <c r="K18" s="1">
        <v>123567000</v>
      </c>
      <c r="L18" s="1">
        <v>146223000</v>
      </c>
      <c r="M18" s="1">
        <v>185120000</v>
      </c>
      <c r="N18" s="1">
        <v>233014000</v>
      </c>
      <c r="O18" s="1">
        <v>285339000</v>
      </c>
      <c r="P18" s="1">
        <v>359125000</v>
      </c>
      <c r="Q18" s="1">
        <v>411121000</v>
      </c>
      <c r="R18" s="1">
        <v>487532000</v>
      </c>
      <c r="S18" s="1">
        <v>553048000</v>
      </c>
      <c r="T18" s="1">
        <v>593661000</v>
      </c>
      <c r="U18" s="1">
        <v>652855000</v>
      </c>
      <c r="V18" s="1">
        <v>716161000</v>
      </c>
      <c r="W18" s="1">
        <v>748641000</v>
      </c>
      <c r="X18" s="1">
        <v>764996000</v>
      </c>
      <c r="Y18" s="1">
        <v>321475000</v>
      </c>
      <c r="Z18" s="1">
        <v>817495000</v>
      </c>
      <c r="AA18" s="1">
        <v>776631000</v>
      </c>
      <c r="AB18" s="1">
        <v>742138000</v>
      </c>
      <c r="AC18" s="1">
        <v>723819000</v>
      </c>
      <c r="AD18" s="1">
        <v>726764000</v>
      </c>
      <c r="AE18" s="1">
        <v>722537000</v>
      </c>
      <c r="AF18" s="1">
        <v>683846000</v>
      </c>
      <c r="AG18" s="1">
        <v>692842000</v>
      </c>
      <c r="AH18" s="1">
        <v>729019000</v>
      </c>
      <c r="AI18" s="1">
        <v>762472000</v>
      </c>
      <c r="AJ18" s="1">
        <v>774238000</v>
      </c>
      <c r="AK18" s="1">
        <v>752210000</v>
      </c>
      <c r="AL18" s="1">
        <v>775878000</v>
      </c>
      <c r="AM18" s="1">
        <v>792824000</v>
      </c>
      <c r="AN18" s="1">
        <v>770330000</v>
      </c>
      <c r="AO18" s="1">
        <v>777441000</v>
      </c>
      <c r="AP18" s="1">
        <v>798547000</v>
      </c>
      <c r="AQ18" s="1">
        <v>787120000</v>
      </c>
      <c r="AR18" s="1">
        <v>854565000</v>
      </c>
      <c r="AS18" s="1">
        <v>850612000</v>
      </c>
      <c r="AT18" s="1">
        <v>766514000</v>
      </c>
      <c r="AU18" s="1">
        <v>833210000</v>
      </c>
      <c r="AV18" s="1">
        <v>882283000</v>
      </c>
    </row>
    <row r="19" spans="1:48" x14ac:dyDescent="0.25">
      <c r="A19" s="30" t="s">
        <v>31</v>
      </c>
      <c r="B19" s="1">
        <v>93000</v>
      </c>
      <c r="C19" s="1">
        <v>286000</v>
      </c>
      <c r="D19" s="1">
        <v>398000</v>
      </c>
      <c r="E19" s="1">
        <v>2006000</v>
      </c>
      <c r="F19" s="1">
        <v>3169000</v>
      </c>
      <c r="G19" s="1">
        <v>5492000</v>
      </c>
      <c r="H19" s="1">
        <v>9252000</v>
      </c>
      <c r="I19" s="1">
        <v>21483000</v>
      </c>
      <c r="J19" s="1">
        <v>32511000</v>
      </c>
      <c r="K19" s="1">
        <v>51096000</v>
      </c>
      <c r="L19" s="1">
        <v>76120000</v>
      </c>
      <c r="M19" s="1">
        <v>108915000</v>
      </c>
      <c r="N19" s="1">
        <v>142234000</v>
      </c>
      <c r="O19" s="1">
        <v>172055000</v>
      </c>
      <c r="P19" s="1">
        <v>200021000</v>
      </c>
      <c r="Q19" s="1">
        <v>236030000</v>
      </c>
      <c r="R19" s="1">
        <v>295427000</v>
      </c>
      <c r="S19" s="1">
        <v>391848000</v>
      </c>
      <c r="T19" s="1">
        <v>466017000</v>
      </c>
      <c r="U19" s="1">
        <v>571566000</v>
      </c>
      <c r="V19" s="1">
        <v>667474000</v>
      </c>
      <c r="W19" s="1">
        <v>718555000</v>
      </c>
      <c r="X19" s="1">
        <v>764881000</v>
      </c>
      <c r="Y19" s="1">
        <v>832048000</v>
      </c>
      <c r="Z19" s="1">
        <v>931462000</v>
      </c>
      <c r="AA19" s="1">
        <v>1022680000</v>
      </c>
      <c r="AB19" s="1">
        <v>1048712000</v>
      </c>
      <c r="AC19" s="1">
        <v>1046906000</v>
      </c>
      <c r="AD19" s="1">
        <v>1131036000</v>
      </c>
      <c r="AE19" s="1">
        <v>1146849000</v>
      </c>
      <c r="AF19" s="1">
        <v>1132348000</v>
      </c>
      <c r="AG19" s="1">
        <v>1122067000</v>
      </c>
      <c r="AH19" s="1">
        <v>1209560000</v>
      </c>
      <c r="AI19" s="1">
        <v>1387939000</v>
      </c>
      <c r="AJ19" s="1">
        <v>1490945000</v>
      </c>
      <c r="AK19" s="1">
        <v>1395638000</v>
      </c>
      <c r="AL19" s="1">
        <v>1467969000</v>
      </c>
      <c r="AM19" s="1">
        <v>1524062000</v>
      </c>
      <c r="AN19" s="1">
        <v>1506561000</v>
      </c>
      <c r="AO19" s="1">
        <v>1482628000</v>
      </c>
      <c r="AP19" s="1">
        <v>1426265000</v>
      </c>
      <c r="AQ19" s="1">
        <v>1426053000</v>
      </c>
      <c r="AR19" s="1">
        <v>1458676000</v>
      </c>
      <c r="AS19" s="1">
        <v>1553423000</v>
      </c>
      <c r="AT19" s="1">
        <v>1517305000</v>
      </c>
      <c r="AU19" s="1">
        <v>1640015000</v>
      </c>
      <c r="AV19" s="1">
        <v>1708228000</v>
      </c>
    </row>
    <row r="20" spans="1:48" x14ac:dyDescent="0.25">
      <c r="A20" s="30" t="s">
        <v>32</v>
      </c>
      <c r="B20" s="1">
        <v>29567000</v>
      </c>
      <c r="C20" s="1">
        <v>33913000</v>
      </c>
      <c r="D20" s="1">
        <v>35677000</v>
      </c>
      <c r="E20" s="1">
        <v>39050000</v>
      </c>
      <c r="F20" s="1">
        <v>48322000</v>
      </c>
      <c r="G20" s="1">
        <v>65730000</v>
      </c>
      <c r="H20" s="1">
        <v>82958000</v>
      </c>
      <c r="I20" s="1">
        <v>97495000</v>
      </c>
      <c r="J20" s="1">
        <v>103316000</v>
      </c>
      <c r="K20" s="1">
        <v>107805000</v>
      </c>
      <c r="L20" s="1">
        <v>134989000</v>
      </c>
      <c r="M20" s="1">
        <v>170918000</v>
      </c>
      <c r="N20" s="1">
        <v>184698000</v>
      </c>
      <c r="O20" s="1">
        <v>202979000</v>
      </c>
      <c r="P20" s="1">
        <v>192796000</v>
      </c>
      <c r="Q20" s="1">
        <v>222284000</v>
      </c>
      <c r="R20" s="1">
        <v>260019000</v>
      </c>
      <c r="S20" s="1">
        <v>307924000</v>
      </c>
      <c r="T20" s="1">
        <v>287260000</v>
      </c>
      <c r="U20" s="1">
        <v>280919000</v>
      </c>
      <c r="V20" s="1">
        <v>299363000</v>
      </c>
      <c r="W20" s="1">
        <v>236927000</v>
      </c>
      <c r="X20" s="1">
        <v>285832000</v>
      </c>
      <c r="Y20" s="1">
        <v>282797000</v>
      </c>
      <c r="Z20" s="1">
        <v>329816000</v>
      </c>
      <c r="AA20" s="1">
        <v>341292000</v>
      </c>
      <c r="AB20" s="1">
        <v>379259000</v>
      </c>
      <c r="AC20" s="1">
        <v>391770000</v>
      </c>
      <c r="AD20" s="1">
        <v>502510000</v>
      </c>
      <c r="AE20" s="1">
        <v>607091000</v>
      </c>
      <c r="AF20" s="1">
        <v>659018000</v>
      </c>
      <c r="AG20" s="1">
        <v>690608000</v>
      </c>
      <c r="AH20" s="1">
        <v>811002000</v>
      </c>
      <c r="AI20" s="1">
        <v>997635000</v>
      </c>
      <c r="AJ20" s="1">
        <v>1166845000</v>
      </c>
      <c r="AK20" s="1">
        <v>1135673000</v>
      </c>
      <c r="AL20" s="1">
        <v>255656000</v>
      </c>
      <c r="AM20" s="1">
        <v>321434000</v>
      </c>
      <c r="AN20" s="1">
        <v>347456000</v>
      </c>
      <c r="AO20" s="1">
        <v>417996000</v>
      </c>
      <c r="AP20" s="1">
        <v>447212000</v>
      </c>
      <c r="AQ20" s="1">
        <v>473767000</v>
      </c>
      <c r="AR20" s="1">
        <v>498248000</v>
      </c>
      <c r="AS20" s="1">
        <v>533413000</v>
      </c>
      <c r="AT20" s="1">
        <v>523286000</v>
      </c>
      <c r="AU20" s="1">
        <v>532425000</v>
      </c>
      <c r="AV20" s="1">
        <v>531337000</v>
      </c>
    </row>
    <row r="21" spans="1:48" x14ac:dyDescent="0.25">
      <c r="A21" s="30" t="s">
        <v>33</v>
      </c>
      <c r="B21" s="1">
        <v>4248000</v>
      </c>
      <c r="C21" s="1">
        <v>5993000</v>
      </c>
      <c r="D21" s="1">
        <v>9619000</v>
      </c>
      <c r="E21" s="1">
        <v>14031000</v>
      </c>
      <c r="F21" s="1">
        <v>15857000</v>
      </c>
      <c r="G21" s="1">
        <v>18172000</v>
      </c>
      <c r="H21" s="1">
        <v>21816000</v>
      </c>
      <c r="I21" s="1">
        <v>28000000</v>
      </c>
      <c r="J21" s="1">
        <v>36458000</v>
      </c>
      <c r="K21" s="1">
        <v>48053000</v>
      </c>
      <c r="L21" s="1">
        <v>66113000</v>
      </c>
      <c r="M21" s="1">
        <v>78581000</v>
      </c>
      <c r="N21" s="1">
        <v>91583000</v>
      </c>
      <c r="O21" s="1">
        <v>105207000</v>
      </c>
      <c r="P21" s="1">
        <v>121224000</v>
      </c>
      <c r="Q21" s="1">
        <v>146690000</v>
      </c>
      <c r="R21" s="1">
        <v>190870000</v>
      </c>
      <c r="S21" s="1">
        <v>272823000</v>
      </c>
      <c r="T21" s="1">
        <v>348185000</v>
      </c>
      <c r="U21" s="1">
        <v>382941000</v>
      </c>
      <c r="V21" s="1">
        <v>460638000</v>
      </c>
      <c r="W21" s="1">
        <v>479206000</v>
      </c>
      <c r="X21" s="1">
        <v>483200000</v>
      </c>
      <c r="Y21" s="1">
        <v>503495000</v>
      </c>
      <c r="Z21" s="1">
        <v>565349000</v>
      </c>
      <c r="AA21" s="1">
        <v>597925000</v>
      </c>
      <c r="AB21" s="1">
        <v>609227000</v>
      </c>
      <c r="AC21" s="1">
        <v>624655000</v>
      </c>
      <c r="AD21" s="1">
        <v>687454000</v>
      </c>
      <c r="AE21" s="1">
        <v>693574000</v>
      </c>
      <c r="AF21" s="1">
        <v>723201000</v>
      </c>
      <c r="AG21" s="1">
        <v>753357000</v>
      </c>
      <c r="AH21" s="1">
        <v>867301000</v>
      </c>
      <c r="AI21" s="1">
        <v>1007409000</v>
      </c>
      <c r="AJ21" s="1">
        <v>1106072000</v>
      </c>
      <c r="AK21" s="1">
        <v>1080122000</v>
      </c>
      <c r="AL21" s="1">
        <v>188900000</v>
      </c>
      <c r="AM21" s="1">
        <v>234874000</v>
      </c>
      <c r="AN21" s="1">
        <v>248098000</v>
      </c>
      <c r="AO21" s="1">
        <v>265733000</v>
      </c>
      <c r="AP21" s="1">
        <v>275240000</v>
      </c>
      <c r="AQ21" s="1">
        <v>354586000</v>
      </c>
      <c r="AR21" s="1">
        <v>447194000</v>
      </c>
      <c r="AS21" s="1">
        <v>549653000</v>
      </c>
      <c r="AT21" s="1">
        <v>575979000</v>
      </c>
      <c r="AU21" s="1">
        <v>626206000</v>
      </c>
      <c r="AV21" s="1">
        <v>772581000</v>
      </c>
    </row>
    <row r="22" spans="1:48" x14ac:dyDescent="0.25">
      <c r="A22" s="30" t="s">
        <v>34</v>
      </c>
      <c r="B22" s="1">
        <v>63000</v>
      </c>
      <c r="C22" s="1">
        <v>220000</v>
      </c>
      <c r="D22" s="1">
        <v>1191000</v>
      </c>
      <c r="E22" s="1">
        <v>3709000</v>
      </c>
      <c r="F22" s="1">
        <v>8186000</v>
      </c>
      <c r="G22" s="1">
        <v>12766000</v>
      </c>
      <c r="H22" s="1">
        <v>21134000</v>
      </c>
      <c r="I22" s="1">
        <v>30475000</v>
      </c>
      <c r="J22" s="1">
        <v>36961000</v>
      </c>
      <c r="K22" s="1">
        <v>47887000</v>
      </c>
      <c r="L22" s="1">
        <v>58118000</v>
      </c>
      <c r="M22" s="1">
        <v>65124000</v>
      </c>
      <c r="N22" s="1">
        <v>76760000</v>
      </c>
      <c r="O22" s="1">
        <v>95000000</v>
      </c>
      <c r="P22" s="1">
        <v>118119000</v>
      </c>
      <c r="Q22" s="1">
        <v>151876000</v>
      </c>
      <c r="R22" s="1">
        <v>195103000</v>
      </c>
      <c r="S22" s="1">
        <v>251176000</v>
      </c>
      <c r="T22" s="1">
        <v>273930000</v>
      </c>
      <c r="U22" s="1">
        <v>302097000</v>
      </c>
      <c r="V22" s="1">
        <v>339899000</v>
      </c>
      <c r="W22" s="1">
        <v>390137000</v>
      </c>
      <c r="X22" s="1">
        <v>408155000</v>
      </c>
      <c r="Y22" s="1">
        <v>445631000</v>
      </c>
      <c r="Z22" s="1">
        <v>474188000</v>
      </c>
      <c r="AA22" s="1">
        <v>512045000</v>
      </c>
      <c r="AB22" s="1">
        <v>535656000</v>
      </c>
      <c r="AC22" s="1">
        <v>557896000</v>
      </c>
      <c r="AD22" s="1">
        <v>639090000</v>
      </c>
      <c r="AE22" s="1">
        <v>691455000</v>
      </c>
      <c r="AF22" s="1">
        <v>691917000</v>
      </c>
      <c r="AG22" s="1">
        <v>712719000</v>
      </c>
      <c r="AH22" s="1">
        <v>825638000</v>
      </c>
      <c r="AI22" s="1">
        <v>909241000</v>
      </c>
      <c r="AJ22" s="1">
        <v>1019855000</v>
      </c>
      <c r="AK22" s="1">
        <v>980303000</v>
      </c>
      <c r="AL22" s="1">
        <v>168510000</v>
      </c>
      <c r="AM22" s="1">
        <v>203838000</v>
      </c>
      <c r="AN22" s="1">
        <v>241748000</v>
      </c>
      <c r="AO22" s="1">
        <v>254227000</v>
      </c>
      <c r="AP22" s="1">
        <v>259400000</v>
      </c>
      <c r="AQ22" s="1">
        <v>391665000</v>
      </c>
      <c r="AR22" s="1">
        <v>429900000</v>
      </c>
      <c r="AS22" s="1">
        <v>472556000</v>
      </c>
      <c r="AT22" s="1">
        <v>605320000</v>
      </c>
      <c r="AU22" s="1">
        <v>861911000</v>
      </c>
      <c r="AV22" s="1">
        <v>1048538000</v>
      </c>
    </row>
    <row r="23" spans="1:48" x14ac:dyDescent="0.25">
      <c r="A23" s="30" t="s">
        <v>35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842000</v>
      </c>
      <c r="S23" s="1">
        <v>3147000</v>
      </c>
      <c r="T23" s="1">
        <v>10083000</v>
      </c>
      <c r="U23" s="1">
        <v>16818000</v>
      </c>
      <c r="V23" s="1">
        <v>23872000</v>
      </c>
      <c r="W23" s="1">
        <v>29409000</v>
      </c>
      <c r="X23" s="1">
        <v>33583000</v>
      </c>
      <c r="Y23" s="1">
        <v>38313000</v>
      </c>
      <c r="Z23" s="1">
        <v>46858000</v>
      </c>
      <c r="AA23" s="1">
        <v>53551000</v>
      </c>
      <c r="AB23" s="1">
        <v>59476000</v>
      </c>
      <c r="AC23" s="1">
        <v>57426000</v>
      </c>
      <c r="AD23" s="1">
        <v>61317000</v>
      </c>
      <c r="AE23" s="1">
        <v>60680000</v>
      </c>
      <c r="AF23" s="1">
        <v>58898000</v>
      </c>
      <c r="AG23" s="1">
        <v>60961000</v>
      </c>
      <c r="AH23" s="1">
        <v>65589000</v>
      </c>
      <c r="AI23" s="1">
        <v>71429000</v>
      </c>
      <c r="AJ23" s="1">
        <v>76884000</v>
      </c>
      <c r="AK23" s="1">
        <v>72355000</v>
      </c>
      <c r="AL23" s="1">
        <v>76421000</v>
      </c>
      <c r="AM23" s="1">
        <v>10721000</v>
      </c>
      <c r="AN23" s="1">
        <v>13264000</v>
      </c>
      <c r="AO23" s="1">
        <v>14405000</v>
      </c>
      <c r="AP23" s="1">
        <v>14218000</v>
      </c>
      <c r="AQ23" s="1">
        <v>14105000</v>
      </c>
      <c r="AR23" s="1">
        <v>14048000</v>
      </c>
      <c r="AS23" s="1">
        <v>14004000</v>
      </c>
      <c r="AT23" s="1">
        <v>13009000</v>
      </c>
      <c r="AU23" s="1">
        <v>12186000</v>
      </c>
      <c r="AV23" s="1">
        <v>11574000</v>
      </c>
    </row>
    <row r="24" spans="1:48" x14ac:dyDescent="0.25">
      <c r="A24" s="30" t="s">
        <v>2</v>
      </c>
      <c r="B24" s="1">
        <v>27194000</v>
      </c>
      <c r="C24" s="1">
        <v>32956000</v>
      </c>
      <c r="D24" s="1">
        <v>36757000</v>
      </c>
      <c r="E24" s="1">
        <v>45861000</v>
      </c>
      <c r="F24" s="1">
        <v>58849000</v>
      </c>
      <c r="G24" s="1">
        <v>74820000</v>
      </c>
      <c r="H24" s="1">
        <v>79648000</v>
      </c>
      <c r="I24" s="1">
        <v>89019000</v>
      </c>
      <c r="J24" s="1">
        <v>99144000</v>
      </c>
      <c r="K24" s="1">
        <v>110862000</v>
      </c>
      <c r="L24" s="1">
        <v>128635000</v>
      </c>
      <c r="M24" s="1">
        <v>154537000</v>
      </c>
      <c r="N24" s="1">
        <v>210664000</v>
      </c>
      <c r="O24" s="1">
        <v>280544000</v>
      </c>
      <c r="P24" s="1">
        <v>361794000</v>
      </c>
      <c r="Q24" s="1">
        <v>458392000</v>
      </c>
      <c r="R24" s="1">
        <v>570868000</v>
      </c>
      <c r="S24" s="1">
        <v>707403000</v>
      </c>
      <c r="T24" s="1">
        <v>741093000</v>
      </c>
      <c r="U24" s="1">
        <v>784627000</v>
      </c>
      <c r="V24" s="1">
        <v>946328000</v>
      </c>
      <c r="W24" s="1">
        <v>1133383000</v>
      </c>
      <c r="X24" s="1">
        <v>1160442000</v>
      </c>
      <c r="Y24" s="1">
        <v>1280011000</v>
      </c>
      <c r="Z24" s="1">
        <v>1392843000</v>
      </c>
      <c r="AA24" s="1">
        <v>1511878000</v>
      </c>
      <c r="AB24" s="1">
        <v>1555688000</v>
      </c>
      <c r="AC24" s="1">
        <v>1544260000</v>
      </c>
      <c r="AD24" s="1">
        <v>1674330000</v>
      </c>
      <c r="AE24" s="1">
        <v>1671183000</v>
      </c>
      <c r="AF24" s="1">
        <v>1623568000</v>
      </c>
      <c r="AG24" s="1">
        <v>1578159000</v>
      </c>
      <c r="AH24" s="1">
        <v>1738467000</v>
      </c>
      <c r="AI24" s="1">
        <v>2054258000</v>
      </c>
      <c r="AJ24" s="1">
        <v>2168301000</v>
      </c>
      <c r="AK24" s="1">
        <v>2094999000</v>
      </c>
      <c r="AL24" s="1">
        <v>2244549000</v>
      </c>
      <c r="AM24" s="1">
        <v>2356761000</v>
      </c>
      <c r="AN24" s="1">
        <v>2380921000</v>
      </c>
      <c r="AO24" s="1">
        <v>2486760000</v>
      </c>
      <c r="AP24" s="1">
        <v>2530524000</v>
      </c>
      <c r="AQ24" s="1">
        <v>2652150000</v>
      </c>
      <c r="AR24" s="1">
        <v>2752293000</v>
      </c>
      <c r="AS24" s="1">
        <v>2884178000</v>
      </c>
      <c r="AT24" s="1">
        <v>2842976000</v>
      </c>
      <c r="AU24" s="1">
        <v>2784426000</v>
      </c>
      <c r="AV24" s="1">
        <v>2970032000</v>
      </c>
    </row>
    <row r="25" spans="1:48" x14ac:dyDescent="0.25">
      <c r="A25" s="30" t="s">
        <v>36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30212000</v>
      </c>
      <c r="AC25" s="1">
        <v>50102000</v>
      </c>
      <c r="AD25" s="1">
        <v>91824000</v>
      </c>
      <c r="AE25" s="1">
        <v>126049000</v>
      </c>
      <c r="AF25" s="1">
        <v>142620000</v>
      </c>
      <c r="AG25" s="1">
        <v>171646000</v>
      </c>
      <c r="AH25" s="1">
        <v>194982000</v>
      </c>
      <c r="AI25" s="1">
        <v>227543000</v>
      </c>
      <c r="AJ25" s="1">
        <v>295673000</v>
      </c>
      <c r="AK25" s="1">
        <v>307705000</v>
      </c>
      <c r="AL25" s="1">
        <v>339036000</v>
      </c>
      <c r="AM25" s="1">
        <v>360495000</v>
      </c>
      <c r="AN25" s="1">
        <v>365247000</v>
      </c>
      <c r="AO25" s="1">
        <v>372831000</v>
      </c>
      <c r="AP25" s="1">
        <v>377048000</v>
      </c>
      <c r="AQ25" s="1">
        <v>374205000</v>
      </c>
      <c r="AR25" s="1">
        <v>371701000</v>
      </c>
      <c r="AS25" s="1">
        <v>365584000</v>
      </c>
      <c r="AT25" s="1">
        <v>337163000</v>
      </c>
      <c r="AU25" s="1">
        <v>315822000</v>
      </c>
      <c r="AV25" s="1">
        <v>305131000</v>
      </c>
    </row>
    <row r="26" spans="1:48" x14ac:dyDescent="0.25">
      <c r="A26" s="30" t="s">
        <v>37</v>
      </c>
      <c r="B26" s="1">
        <v>38337000</v>
      </c>
      <c r="C26" s="1">
        <v>53570000</v>
      </c>
      <c r="D26" s="1">
        <v>73172000</v>
      </c>
      <c r="E26" s="1">
        <v>90501000</v>
      </c>
      <c r="F26" s="1">
        <v>104227000</v>
      </c>
      <c r="G26" s="1">
        <v>161191000</v>
      </c>
      <c r="H26" s="1">
        <v>199050000</v>
      </c>
      <c r="I26" s="1">
        <v>258387000</v>
      </c>
      <c r="J26" s="1">
        <v>307836000</v>
      </c>
      <c r="K26" s="1">
        <v>375983000</v>
      </c>
      <c r="L26" s="1">
        <v>439843000</v>
      </c>
      <c r="M26" s="1">
        <v>528956000</v>
      </c>
      <c r="N26" s="1">
        <v>625498000</v>
      </c>
      <c r="O26" s="1">
        <v>698495000</v>
      </c>
      <c r="P26" s="1">
        <v>724087000</v>
      </c>
      <c r="Q26" s="1">
        <v>833955000</v>
      </c>
      <c r="R26" s="1">
        <v>961317000</v>
      </c>
      <c r="S26" s="1">
        <v>1125620000</v>
      </c>
      <c r="T26" s="1">
        <v>1193393000</v>
      </c>
      <c r="U26" s="1">
        <v>1267133000</v>
      </c>
      <c r="V26" s="1">
        <v>1492842000</v>
      </c>
      <c r="W26" s="1">
        <v>1641319000</v>
      </c>
      <c r="X26" s="1">
        <v>1789138000</v>
      </c>
      <c r="Y26" s="1">
        <v>1898460000</v>
      </c>
      <c r="Z26" s="1">
        <v>2112303000</v>
      </c>
      <c r="AA26" s="1">
        <v>2269016000</v>
      </c>
      <c r="AB26" s="1">
        <v>2297881000</v>
      </c>
      <c r="AC26" s="1">
        <v>2339474000</v>
      </c>
      <c r="AD26" s="1">
        <v>2484902000</v>
      </c>
      <c r="AE26" s="1">
        <v>2609849000</v>
      </c>
      <c r="AF26" s="1">
        <v>2603996000</v>
      </c>
      <c r="AG26" s="1">
        <v>2595852000</v>
      </c>
      <c r="AH26" s="1">
        <v>2874035000</v>
      </c>
      <c r="AI26" s="1">
        <v>3476682000</v>
      </c>
      <c r="AJ26" s="1">
        <v>3915514000</v>
      </c>
      <c r="AK26" s="1">
        <v>3860941000</v>
      </c>
      <c r="AL26" s="1">
        <v>1055760000</v>
      </c>
      <c r="AM26" s="1">
        <v>1585295000</v>
      </c>
      <c r="AN26" s="1">
        <v>1971488000</v>
      </c>
      <c r="AO26" s="1">
        <v>2598493000</v>
      </c>
      <c r="AP26" s="1">
        <v>3248166000</v>
      </c>
      <c r="AQ26" s="1">
        <v>3490279000</v>
      </c>
      <c r="AR26" s="1">
        <v>4030440000</v>
      </c>
      <c r="AS26" s="1">
        <v>4746441000</v>
      </c>
      <c r="AT26" s="1">
        <v>5044574000</v>
      </c>
      <c r="AU26" s="1">
        <v>5399245000</v>
      </c>
      <c r="AV26" s="1">
        <v>5620831000</v>
      </c>
    </row>
    <row r="27" spans="1:48" x14ac:dyDescent="0.25">
      <c r="A27" s="30" t="s">
        <v>38</v>
      </c>
      <c r="B27" s="1">
        <v>18969000</v>
      </c>
      <c r="C27" s="1">
        <v>26601000</v>
      </c>
      <c r="D27" s="1">
        <v>34597000</v>
      </c>
      <c r="E27" s="1">
        <v>40237000</v>
      </c>
      <c r="F27" s="1">
        <v>40892000</v>
      </c>
      <c r="G27" s="1">
        <v>43112000</v>
      </c>
      <c r="H27" s="1">
        <v>45201000</v>
      </c>
      <c r="I27" s="1">
        <v>45441000</v>
      </c>
      <c r="J27" s="1">
        <v>46615000</v>
      </c>
      <c r="K27" s="1">
        <v>46990000</v>
      </c>
      <c r="L27" s="1">
        <v>47033000</v>
      </c>
      <c r="M27" s="1">
        <v>61200000</v>
      </c>
      <c r="N27" s="1">
        <v>91842000</v>
      </c>
      <c r="O27" s="1">
        <v>123341000</v>
      </c>
      <c r="P27" s="1">
        <v>212592000</v>
      </c>
      <c r="Q27" s="1">
        <v>322267000</v>
      </c>
      <c r="R27" s="1">
        <v>412954000</v>
      </c>
      <c r="S27" s="1">
        <v>584125000</v>
      </c>
      <c r="T27" s="1">
        <v>628555000</v>
      </c>
      <c r="U27" s="1">
        <v>709562000</v>
      </c>
      <c r="V27" s="1">
        <v>969247000</v>
      </c>
      <c r="W27" s="1">
        <v>1109167000</v>
      </c>
      <c r="X27" s="1">
        <v>1209186000</v>
      </c>
      <c r="Y27" s="1">
        <v>1342224000</v>
      </c>
      <c r="Z27" s="1">
        <v>1614854000</v>
      </c>
      <c r="AA27" s="1">
        <v>1792284000</v>
      </c>
      <c r="AB27" s="1">
        <v>1848546000</v>
      </c>
      <c r="AC27" s="1">
        <v>1954204000</v>
      </c>
      <c r="AD27" s="1">
        <v>1947211000</v>
      </c>
      <c r="AE27" s="1">
        <v>2042723000</v>
      </c>
      <c r="AF27" s="1">
        <v>2114716000</v>
      </c>
      <c r="AG27" s="1">
        <v>2309621000</v>
      </c>
      <c r="AH27" s="1">
        <v>2575760000</v>
      </c>
      <c r="AI27" s="1">
        <v>3060832000</v>
      </c>
      <c r="AJ27" s="1">
        <v>3302693000</v>
      </c>
      <c r="AK27" s="1">
        <v>3141494000</v>
      </c>
      <c r="AL27" s="1">
        <v>436242000</v>
      </c>
      <c r="AM27" s="1">
        <v>840099000</v>
      </c>
      <c r="AN27" s="1">
        <v>1004189000</v>
      </c>
      <c r="AO27" s="1">
        <v>1378799000</v>
      </c>
      <c r="AP27" s="1">
        <v>1682408000</v>
      </c>
      <c r="AQ27" s="1">
        <v>1843794000</v>
      </c>
      <c r="AR27" s="1">
        <v>2033340000</v>
      </c>
      <c r="AS27" s="1">
        <v>2394237000</v>
      </c>
      <c r="AT27" s="1">
        <v>2406629000</v>
      </c>
      <c r="AU27" s="1">
        <v>2509876000</v>
      </c>
      <c r="AV27" s="1">
        <v>2575504000</v>
      </c>
    </row>
    <row r="28" spans="1:48" x14ac:dyDescent="0.25">
      <c r="A28" s="30" t="s">
        <v>39</v>
      </c>
      <c r="B28" s="1">
        <v>61433000</v>
      </c>
      <c r="C28" s="1">
        <v>64692000</v>
      </c>
      <c r="D28" s="1">
        <v>73925000</v>
      </c>
      <c r="E28" s="1">
        <v>94149000</v>
      </c>
      <c r="F28" s="1">
        <v>138305000</v>
      </c>
      <c r="G28" s="1">
        <v>183811000</v>
      </c>
      <c r="H28" s="1">
        <v>253486000</v>
      </c>
      <c r="I28" s="1">
        <v>293369000</v>
      </c>
      <c r="J28" s="1">
        <v>320382000</v>
      </c>
      <c r="K28" s="1">
        <v>336119000</v>
      </c>
      <c r="L28" s="1">
        <v>347797000</v>
      </c>
      <c r="M28" s="1">
        <v>350814000</v>
      </c>
      <c r="N28" s="1">
        <v>359486000</v>
      </c>
      <c r="O28" s="1">
        <v>366312000</v>
      </c>
      <c r="P28" s="1">
        <v>323266000</v>
      </c>
      <c r="Q28" s="1">
        <v>474788000</v>
      </c>
      <c r="R28" s="1">
        <v>649959000</v>
      </c>
      <c r="S28" s="1">
        <v>814492000</v>
      </c>
      <c r="T28" s="1">
        <v>761429000</v>
      </c>
      <c r="U28" s="1">
        <v>753802000</v>
      </c>
      <c r="V28" s="1">
        <v>812715000</v>
      </c>
      <c r="W28" s="1">
        <v>866228000</v>
      </c>
      <c r="X28" s="1">
        <v>932078000</v>
      </c>
      <c r="Y28" s="1">
        <v>1057474000</v>
      </c>
      <c r="Z28" s="1">
        <v>1243586000</v>
      </c>
      <c r="AA28" s="1">
        <v>1433537000</v>
      </c>
      <c r="AB28" s="1">
        <v>1509905000</v>
      </c>
      <c r="AC28" s="1">
        <v>1555005000</v>
      </c>
      <c r="AD28" s="1">
        <v>1628288000</v>
      </c>
      <c r="AE28" s="1">
        <v>1736361000</v>
      </c>
      <c r="AF28" s="1">
        <v>1848122000</v>
      </c>
      <c r="AG28" s="1">
        <v>1885659000</v>
      </c>
      <c r="AH28" s="1">
        <v>2154946000</v>
      </c>
      <c r="AI28" s="1">
        <v>2408573000</v>
      </c>
      <c r="AJ28" s="1">
        <v>2637410000</v>
      </c>
      <c r="AK28" s="1">
        <v>2488266000</v>
      </c>
      <c r="AL28" s="1">
        <v>259933000</v>
      </c>
      <c r="AM28" s="1">
        <v>323237000</v>
      </c>
      <c r="AN28" s="1">
        <v>371177000</v>
      </c>
      <c r="AO28" s="1">
        <v>406921000</v>
      </c>
      <c r="AP28" s="1">
        <v>430103000</v>
      </c>
      <c r="AQ28" s="1">
        <v>492048000</v>
      </c>
      <c r="AR28" s="1">
        <v>565101000</v>
      </c>
      <c r="AS28" s="1">
        <v>631928000</v>
      </c>
      <c r="AT28" s="1">
        <v>666815000</v>
      </c>
      <c r="AU28" s="1">
        <v>698021000</v>
      </c>
      <c r="AV28" s="1">
        <v>760362000</v>
      </c>
    </row>
    <row r="29" spans="1:48" x14ac:dyDescent="0.25">
      <c r="A29" s="30" t="s">
        <v>40</v>
      </c>
      <c r="B29" s="1">
        <v>40589000</v>
      </c>
      <c r="C29" s="1">
        <v>37046000</v>
      </c>
      <c r="D29" s="1">
        <v>32514000</v>
      </c>
      <c r="E29" s="1">
        <v>28264000</v>
      </c>
      <c r="F29" s="1">
        <v>23863000</v>
      </c>
      <c r="G29" s="1">
        <v>19305000</v>
      </c>
      <c r="H29" s="1">
        <v>15045000</v>
      </c>
      <c r="I29" s="1">
        <v>11779000</v>
      </c>
      <c r="J29" s="1">
        <v>9049000</v>
      </c>
      <c r="K29" s="1">
        <v>6180000</v>
      </c>
      <c r="L29" s="1">
        <v>3166000</v>
      </c>
      <c r="M29" s="1">
        <v>56012000</v>
      </c>
      <c r="N29" s="1">
        <v>68817000</v>
      </c>
      <c r="O29" s="1">
        <v>112993000</v>
      </c>
      <c r="P29" s="1">
        <v>150761000</v>
      </c>
      <c r="Q29" s="1">
        <v>234830000</v>
      </c>
      <c r="R29" s="1">
        <v>327186000</v>
      </c>
      <c r="S29" s="1">
        <v>430968000</v>
      </c>
      <c r="T29" s="1">
        <v>407367000</v>
      </c>
      <c r="U29" s="1">
        <v>414829000</v>
      </c>
      <c r="V29" s="1">
        <v>448694000</v>
      </c>
      <c r="W29" s="1">
        <v>477389000</v>
      </c>
      <c r="X29" s="1">
        <v>579075000</v>
      </c>
      <c r="Y29" s="1">
        <v>727831000</v>
      </c>
      <c r="Z29" s="1">
        <v>869427000</v>
      </c>
      <c r="AA29" s="1">
        <v>895506000</v>
      </c>
      <c r="AB29" s="1">
        <v>847833000</v>
      </c>
      <c r="AC29" s="1">
        <v>871843000</v>
      </c>
      <c r="AD29" s="1">
        <v>940720000</v>
      </c>
      <c r="AE29" s="1">
        <v>925341000</v>
      </c>
      <c r="AF29" s="1">
        <v>853164000</v>
      </c>
      <c r="AG29" s="1">
        <v>809835000</v>
      </c>
      <c r="AH29" s="1">
        <v>870802000</v>
      </c>
      <c r="AI29" s="1">
        <v>946450000</v>
      </c>
      <c r="AJ29" s="1">
        <v>982879000</v>
      </c>
      <c r="AK29" s="1">
        <v>915253000</v>
      </c>
      <c r="AL29" s="1">
        <v>946215000</v>
      </c>
      <c r="AM29" s="1">
        <v>976679000</v>
      </c>
      <c r="AN29" s="1">
        <v>982592000</v>
      </c>
      <c r="AO29" s="1">
        <v>985375000</v>
      </c>
      <c r="AP29" s="1">
        <v>976035000</v>
      </c>
      <c r="AQ29" s="1">
        <v>974588000</v>
      </c>
      <c r="AR29" s="1">
        <v>974802000</v>
      </c>
      <c r="AS29" s="1">
        <v>975446000</v>
      </c>
      <c r="AT29" s="1">
        <v>940638000</v>
      </c>
      <c r="AU29" s="1">
        <v>911501000</v>
      </c>
      <c r="AV29" s="1">
        <v>885055000</v>
      </c>
    </row>
    <row r="34" spans="2:9" x14ac:dyDescent="0.25">
      <c r="B34" s="25">
        <v>1970</v>
      </c>
      <c r="C34" s="1">
        <f>VLOOKUP(Indicateur3!$K$6,prevision3!$A$1:$AV$29,MATCH(prevision3!B34,prevision3!$A$1:$AV$1,0),FALSE)</f>
        <v>37239000</v>
      </c>
      <c r="H34" s="25">
        <v>1970</v>
      </c>
      <c r="I34" s="1">
        <f>VLOOKUP('comite 1'!$C$4,prevision3!$A$1:$BG$28,MATCH(H34,$A$1:$BG$1,0),FALSE)</f>
        <v>37239000</v>
      </c>
    </row>
    <row r="35" spans="2:9" x14ac:dyDescent="0.25">
      <c r="B35" s="25">
        <v>1971</v>
      </c>
      <c r="C35" s="1">
        <f>VLOOKUP(Indicateur3!$K$6,prevision3!$A$1:$AV$29,MATCH(prevision3!B35,prevision3!$A$1:$AV$1,0),FALSE)</f>
        <v>46779000</v>
      </c>
      <c r="H35" s="25">
        <v>1971</v>
      </c>
      <c r="I35" s="1">
        <f>VLOOKUP('comite 1'!$C$4,prevision3!$A$1:$BG$28,MATCH(H35,$A$1:$BG$1,0),FALSE)</f>
        <v>46779000</v>
      </c>
    </row>
    <row r="36" spans="2:9" x14ac:dyDescent="0.25">
      <c r="B36" s="25">
        <v>1972</v>
      </c>
      <c r="C36" s="1">
        <f>VLOOKUP(Indicateur3!$K$6,prevision3!$A$1:$AV$29,MATCH(prevision3!B36,prevision3!$A$1:$AV$1,0),FALSE)</f>
        <v>76419000</v>
      </c>
      <c r="H36" s="25">
        <v>1972</v>
      </c>
      <c r="I36" s="1">
        <f>VLOOKUP('comite 1'!$C$4,prevision3!$A$1:$BG$28,MATCH(H36,$A$1:$BG$1,0),FALSE)</f>
        <v>76419000</v>
      </c>
    </row>
    <row r="37" spans="2:9" x14ac:dyDescent="0.25">
      <c r="B37" s="25">
        <v>1973</v>
      </c>
      <c r="C37" s="1">
        <f>VLOOKUP(Indicateur3!$K$6,prevision3!$A$1:$AV$29,MATCH(prevision3!B37,prevision3!$A$1:$AV$1,0),FALSE)</f>
        <v>113195000</v>
      </c>
      <c r="H37" s="25">
        <v>1973</v>
      </c>
      <c r="I37" s="1">
        <f>VLOOKUP('comite 1'!$C$4,prevision3!$A$1:$BG$28,MATCH(H37,$A$1:$BG$1,0),FALSE)</f>
        <v>113195000</v>
      </c>
    </row>
    <row r="38" spans="2:9" x14ac:dyDescent="0.25">
      <c r="B38" s="25">
        <v>1974</v>
      </c>
      <c r="C38" s="1">
        <f>VLOOKUP(Indicateur3!$K$6,prevision3!$A$1:$AV$29,MATCH(prevision3!B38,prevision3!$A$1:$AV$1,0),FALSE)</f>
        <v>136797000</v>
      </c>
      <c r="H38" s="25">
        <v>1974</v>
      </c>
      <c r="I38" s="1">
        <f>VLOOKUP('comite 1'!$C$4,prevision3!$A$1:$BG$28,MATCH(H38,$A$1:$BG$1,0),FALSE)</f>
        <v>136797000</v>
      </c>
    </row>
    <row r="39" spans="2:9" x14ac:dyDescent="0.25">
      <c r="B39" s="25">
        <v>1975</v>
      </c>
      <c r="C39" s="1">
        <f>VLOOKUP(Indicateur3!$K$6,prevision3!$A$1:$AV$29,MATCH(prevision3!B39,prevision3!$A$1:$AV$1,0),FALSE)</f>
        <v>187125000</v>
      </c>
      <c r="H39" s="25">
        <v>1975</v>
      </c>
      <c r="I39" s="1">
        <f>VLOOKUP('comite 1'!$C$4,prevision3!$A$1:$BG$28,MATCH(H39,$A$1:$BG$1,0),FALSE)</f>
        <v>187125000</v>
      </c>
    </row>
    <row r="40" spans="2:9" x14ac:dyDescent="0.25">
      <c r="B40" s="25">
        <v>1976</v>
      </c>
      <c r="C40" s="1">
        <f>VLOOKUP(Indicateur3!$K$6,prevision3!$A$1:$AV$29,MATCH(prevision3!B40,prevision3!$A$1:$AV$1,0),FALSE)</f>
        <v>264084000</v>
      </c>
      <c r="H40" s="25">
        <v>1976</v>
      </c>
      <c r="I40" s="1">
        <f>VLOOKUP('comite 1'!$C$4,prevision3!$A$1:$BG$28,MATCH(H40,$A$1:$BG$1,0),FALSE)</f>
        <v>264084000</v>
      </c>
    </row>
    <row r="41" spans="2:9" x14ac:dyDescent="0.25">
      <c r="B41" s="25">
        <v>1977</v>
      </c>
      <c r="C41" s="1">
        <f>VLOOKUP(Indicateur3!$K$6,prevision3!$A$1:$AV$29,MATCH(prevision3!B41,prevision3!$A$1:$AV$1,0),FALSE)</f>
        <v>313743000</v>
      </c>
      <c r="H41" s="25">
        <v>1977</v>
      </c>
      <c r="I41" s="1">
        <f>VLOOKUP('comite 1'!$C$4,prevision3!$A$1:$BG$28,MATCH(H41,$A$1:$BG$1,0),FALSE)</f>
        <v>313743000</v>
      </c>
    </row>
    <row r="42" spans="2:9" x14ac:dyDescent="0.25">
      <c r="B42" s="25">
        <v>1978</v>
      </c>
      <c r="C42" s="1">
        <f>VLOOKUP(Indicateur3!$K$6,prevision3!$A$1:$AV$29,MATCH(prevision3!B42,prevision3!$A$1:$AV$1,0),FALSE)</f>
        <v>368253000</v>
      </c>
      <c r="H42" s="25">
        <v>1978</v>
      </c>
      <c r="I42" s="1">
        <f>VLOOKUP('comite 1'!$C$4,prevision3!$A$1:$BG$28,MATCH(H42,$A$1:$BG$1,0),FALSE)</f>
        <v>368253000</v>
      </c>
    </row>
    <row r="43" spans="2:9" x14ac:dyDescent="0.25">
      <c r="B43" s="25">
        <v>1979</v>
      </c>
      <c r="C43" s="1">
        <f>VLOOKUP(Indicateur3!$K$6,prevision3!$A$1:$AV$29,MATCH(prevision3!B43,prevision3!$A$1:$AV$1,0),FALSE)</f>
        <v>422638000</v>
      </c>
      <c r="H43" s="25">
        <v>1979</v>
      </c>
      <c r="I43" s="1">
        <f>VLOOKUP('comite 1'!$C$4,prevision3!$A$1:$BG$28,MATCH(H43,$A$1:$BG$1,0),FALSE)</f>
        <v>422638000</v>
      </c>
    </row>
    <row r="44" spans="2:9" x14ac:dyDescent="0.25">
      <c r="B44" s="25">
        <v>1980</v>
      </c>
      <c r="C44" s="1">
        <f>VLOOKUP(Indicateur3!$K$6,prevision3!$A$1:$AV$29,MATCH(prevision3!B44,prevision3!$A$1:$AV$1,0),FALSE)</f>
        <v>528280000</v>
      </c>
      <c r="H44" s="25">
        <v>1980</v>
      </c>
      <c r="I44" s="1">
        <f>VLOOKUP('comite 1'!$C$4,prevision3!$A$1:$BG$28,MATCH(H44,$A$1:$BG$1,0),FALSE)</f>
        <v>528280000</v>
      </c>
    </row>
    <row r="45" spans="2:9" x14ac:dyDescent="0.25">
      <c r="B45" s="25">
        <v>1981</v>
      </c>
      <c r="C45" s="1">
        <f>VLOOKUP(Indicateur3!$K$6,prevision3!$A$1:$AV$29,MATCH(prevision3!B45,prevision3!$A$1:$AV$1,0),FALSE)</f>
        <v>585511000</v>
      </c>
      <c r="H45" s="25">
        <v>1981</v>
      </c>
      <c r="I45" s="1">
        <f>VLOOKUP('comite 1'!$C$4,prevision3!$A$1:$BG$28,MATCH(H45,$A$1:$BG$1,0),FALSE)</f>
        <v>585511000</v>
      </c>
    </row>
    <row r="46" spans="2:9" x14ac:dyDescent="0.25">
      <c r="B46" s="25">
        <v>1982</v>
      </c>
      <c r="C46" s="1">
        <f>VLOOKUP(Indicateur3!$K$6,prevision3!$A$1:$AV$29,MATCH(prevision3!B46,prevision3!$A$1:$AV$1,0),FALSE)</f>
        <v>742262000</v>
      </c>
      <c r="H46" s="25">
        <v>1982</v>
      </c>
      <c r="I46" s="1">
        <f>VLOOKUP('comite 1'!$C$4,prevision3!$A$1:$BG$28,MATCH(H46,$A$1:$BG$1,0),FALSE)</f>
        <v>742262000</v>
      </c>
    </row>
    <row r="47" spans="2:9" x14ac:dyDescent="0.25">
      <c r="B47" s="25">
        <v>1983</v>
      </c>
      <c r="C47" s="1">
        <f>VLOOKUP(Indicateur3!$K$6,prevision3!$A$1:$AV$29,MATCH(prevision3!B47,prevision3!$A$1:$AV$1,0),FALSE)</f>
        <v>840297000</v>
      </c>
      <c r="H47" s="25">
        <v>1983</v>
      </c>
      <c r="I47" s="1">
        <f>VLOOKUP('comite 1'!$C$4,prevision3!$A$1:$BG$28,MATCH(H47,$A$1:$BG$1,0),FALSE)</f>
        <v>840297000</v>
      </c>
    </row>
    <row r="48" spans="2:9" x14ac:dyDescent="0.25">
      <c r="B48" s="25">
        <v>1984</v>
      </c>
      <c r="C48" s="1">
        <f>VLOOKUP(Indicateur3!$K$6,prevision3!$A$1:$AV$29,MATCH(prevision3!B48,prevision3!$A$1:$AV$1,0),FALSE)</f>
        <v>946065000</v>
      </c>
      <c r="H48" s="25">
        <v>1984</v>
      </c>
      <c r="I48" s="1">
        <f>VLOOKUP('comite 1'!$C$4,prevision3!$A$1:$BG$28,MATCH(H48,$A$1:$BG$1,0),FALSE)</f>
        <v>946065000</v>
      </c>
    </row>
    <row r="49" spans="2:9" x14ac:dyDescent="0.25">
      <c r="B49" s="25">
        <v>1985</v>
      </c>
      <c r="C49" s="1">
        <f>VLOOKUP(Indicateur3!$K$6,prevision3!$A$1:$AV$29,MATCH(prevision3!B49,prevision3!$A$1:$AV$1,0),FALSE)</f>
        <v>1159344000</v>
      </c>
      <c r="H49" s="25">
        <v>1985</v>
      </c>
      <c r="I49" s="1">
        <f>VLOOKUP('comite 1'!$C$4,prevision3!$A$1:$BG$28,MATCH(H49,$A$1:$BG$1,0),FALSE)</f>
        <v>1159344000</v>
      </c>
    </row>
    <row r="50" spans="2:9" x14ac:dyDescent="0.25">
      <c r="B50" s="25">
        <v>1986</v>
      </c>
      <c r="C50" s="1">
        <f>VLOOKUP(Indicateur3!$K$6,prevision3!$A$1:$AV$29,MATCH(prevision3!B50,prevision3!$A$1:$AV$1,0),FALSE)</f>
        <v>1382122000</v>
      </c>
      <c r="H50" s="25">
        <v>1986</v>
      </c>
      <c r="I50" s="1">
        <f>VLOOKUP('comite 1'!$C$4,prevision3!$A$1:$BG$28,MATCH(H50,$A$1:$BG$1,0),FALSE)</f>
        <v>1382122000</v>
      </c>
    </row>
    <row r="51" spans="2:9" x14ac:dyDescent="0.25">
      <c r="B51" s="25">
        <v>1987</v>
      </c>
      <c r="C51" s="1">
        <f>VLOOKUP(Indicateur3!$K$6,prevision3!$A$1:$AV$29,MATCH(prevision3!B51,prevision3!$A$1:$AV$1,0),FALSE)</f>
        <v>1681417000</v>
      </c>
      <c r="H51" s="25">
        <v>1987</v>
      </c>
      <c r="I51" s="1">
        <f>VLOOKUP('comite 1'!$C$4,prevision3!$A$1:$BG$28,MATCH(H51,$A$1:$BG$1,0),FALSE)</f>
        <v>1681417000</v>
      </c>
    </row>
    <row r="52" spans="2:9" x14ac:dyDescent="0.25">
      <c r="B52" s="25">
        <v>1988</v>
      </c>
      <c r="C52" s="1">
        <f>VLOOKUP(Indicateur3!$K$6,prevision3!$A$1:$AV$29,MATCH(prevision3!B52,prevision3!$A$1:$AV$1,0),FALSE)</f>
        <v>1645746000</v>
      </c>
      <c r="H52" s="25">
        <v>1988</v>
      </c>
      <c r="I52" s="1">
        <f>VLOOKUP('comite 1'!$C$4,prevision3!$A$1:$BG$28,MATCH(H52,$A$1:$BG$1,0),FALSE)</f>
        <v>1645746000</v>
      </c>
    </row>
    <row r="53" spans="2:9" x14ac:dyDescent="0.25">
      <c r="B53" s="25">
        <v>1989</v>
      </c>
      <c r="C53" s="1">
        <f>VLOOKUP(Indicateur3!$K$6,prevision3!$A$1:$AV$29,MATCH(prevision3!B53,prevision3!$A$1:$AV$1,0),FALSE)</f>
        <v>1782109000</v>
      </c>
      <c r="H53" s="25">
        <v>1989</v>
      </c>
      <c r="I53" s="1">
        <f>VLOOKUP('comite 1'!$C$4,prevision3!$A$1:$BG$28,MATCH(H53,$A$1:$BG$1,0),FALSE)</f>
        <v>1782109000</v>
      </c>
    </row>
    <row r="54" spans="2:9" x14ac:dyDescent="0.25">
      <c r="B54" s="25">
        <v>1990</v>
      </c>
      <c r="C54" s="1">
        <f>VLOOKUP(Indicateur3!$K$6,prevision3!$A$1:$AV$29,MATCH(prevision3!B54,prevision3!$A$1:$AV$1,0),FALSE)</f>
        <v>2056036000</v>
      </c>
      <c r="H54" s="25">
        <v>1990</v>
      </c>
      <c r="I54" s="1">
        <f>VLOOKUP('comite 1'!$C$4,prevision3!$A$1:$BG$28,MATCH(H54,$A$1:$BG$1,0),FALSE)</f>
        <v>2056036000</v>
      </c>
    </row>
    <row r="55" spans="2:9" x14ac:dyDescent="0.25">
      <c r="B55" s="25">
        <v>1991</v>
      </c>
      <c r="C55" s="1">
        <f>VLOOKUP(Indicateur3!$K$6,prevision3!$A$1:$AV$29,MATCH(prevision3!B55,prevision3!$A$1:$AV$1,0),FALSE)</f>
        <v>2153454000</v>
      </c>
      <c r="H55" s="25">
        <v>1991</v>
      </c>
      <c r="I55" s="1">
        <f>VLOOKUP('comite 1'!$C$4,prevision3!$A$1:$BG$28,MATCH(H55,$A$1:$BG$1,0),FALSE)</f>
        <v>2153454000</v>
      </c>
    </row>
    <row r="56" spans="2:9" x14ac:dyDescent="0.25">
      <c r="B56" s="25">
        <v>1992</v>
      </c>
      <c r="C56" s="1">
        <f>VLOOKUP(Indicateur3!$K$6,prevision3!$A$1:$AV$29,MATCH(prevision3!B56,prevision3!$A$1:$AV$1,0),FALSE)</f>
        <v>2066801000</v>
      </c>
      <c r="H56" s="25">
        <v>1992</v>
      </c>
      <c r="I56" s="1">
        <f>VLOOKUP('comite 1'!$C$4,prevision3!$A$1:$BG$28,MATCH(H56,$A$1:$BG$1,0),FALSE)</f>
        <v>2066801000</v>
      </c>
    </row>
    <row r="57" spans="2:9" x14ac:dyDescent="0.25">
      <c r="B57" s="25">
        <v>1993</v>
      </c>
      <c r="C57" s="1">
        <f>VLOOKUP(Indicateur3!$K$6,prevision3!$A$1:$AV$29,MATCH(prevision3!B57,prevision3!$A$1:$AV$1,0),FALSE)</f>
        <v>2197331000</v>
      </c>
      <c r="H57" s="25">
        <v>1993</v>
      </c>
      <c r="I57" s="1">
        <f>VLOOKUP('comite 1'!$C$4,prevision3!$A$1:$BG$28,MATCH(H57,$A$1:$BG$1,0),FALSE)</f>
        <v>2197331000</v>
      </c>
    </row>
    <row r="58" spans="2:9" x14ac:dyDescent="0.25">
      <c r="B58" s="25">
        <v>1994</v>
      </c>
      <c r="C58" s="1">
        <f>VLOOKUP(Indicateur3!$K$6,prevision3!$A$1:$AV$29,MATCH(prevision3!B58,prevision3!$A$1:$AV$1,0),FALSE)</f>
        <v>2290075000</v>
      </c>
      <c r="H58" s="25">
        <v>1994</v>
      </c>
      <c r="I58" s="1">
        <f>VLOOKUP('comite 1'!$C$4,prevision3!$A$1:$BG$28,MATCH(H58,$A$1:$BG$1,0),FALSE)</f>
        <v>2290075000</v>
      </c>
    </row>
    <row r="59" spans="2:9" x14ac:dyDescent="0.25">
      <c r="B59" s="25">
        <v>1995</v>
      </c>
      <c r="C59" s="1">
        <f>VLOOKUP(Indicateur3!$K$6,prevision3!$A$1:$AV$29,MATCH(prevision3!B59,prevision3!$A$1:$AV$1,0),FALSE)</f>
        <v>2411887000</v>
      </c>
      <c r="H59" s="25">
        <v>1995</v>
      </c>
      <c r="I59" s="1">
        <f>VLOOKUP('comite 1'!$C$4,prevision3!$A$1:$BG$28,MATCH(H59,$A$1:$BG$1,0),FALSE)</f>
        <v>2411887000</v>
      </c>
    </row>
    <row r="60" spans="2:9" x14ac:dyDescent="0.25">
      <c r="B60" s="25">
        <v>1996</v>
      </c>
      <c r="C60" s="1">
        <f>VLOOKUP(Indicateur3!$K$6,prevision3!$A$1:$AV$29,MATCH(prevision3!B60,prevision3!$A$1:$AV$1,0),FALSE)</f>
        <v>2374843000</v>
      </c>
      <c r="H60" s="25">
        <v>1996</v>
      </c>
      <c r="I60" s="1">
        <f>VLOOKUP('comite 1'!$C$4,prevision3!$A$1:$BG$28,MATCH(H60,$A$1:$BG$1,0),FALSE)</f>
        <v>2374843000</v>
      </c>
    </row>
    <row r="61" spans="2:9" x14ac:dyDescent="0.25">
      <c r="B61" s="25">
        <v>1997</v>
      </c>
      <c r="C61" s="1">
        <f>VLOOKUP(Indicateur3!$K$6,prevision3!$A$1:$AV$29,MATCH(prevision3!B61,prevision3!$A$1:$AV$1,0),FALSE)</f>
        <v>2245323000</v>
      </c>
      <c r="H61" s="25">
        <v>1997</v>
      </c>
      <c r="I61" s="1">
        <f>VLOOKUP('comite 1'!$C$4,prevision3!$A$1:$BG$28,MATCH(H61,$A$1:$BG$1,0),FALSE)</f>
        <v>2245323000</v>
      </c>
    </row>
    <row r="62" spans="2:9" x14ac:dyDescent="0.25">
      <c r="B62" s="25">
        <v>1998</v>
      </c>
      <c r="C62" s="1">
        <f>VLOOKUP(Indicateur3!$K$6,prevision3!$A$1:$AV$29,MATCH(prevision3!B62,prevision3!$A$1:$AV$1,0),FALSE)</f>
        <v>2364431000</v>
      </c>
      <c r="H62" s="25">
        <v>1998</v>
      </c>
      <c r="I62" s="1">
        <f>VLOOKUP('comite 1'!$C$4,prevision3!$A$1:$BG$28,MATCH(H62,$A$1:$BG$1,0),FALSE)</f>
        <v>2364431000</v>
      </c>
    </row>
    <row r="63" spans="2:9" x14ac:dyDescent="0.25">
      <c r="B63" s="25">
        <v>1999</v>
      </c>
      <c r="C63" s="1">
        <f>VLOOKUP(Indicateur3!$K$6,prevision3!$A$1:$AV$29,MATCH(prevision3!B63,prevision3!$A$1:$AV$1,0),FALSE)</f>
        <v>2310621000</v>
      </c>
      <c r="H63" s="25">
        <v>1999</v>
      </c>
      <c r="I63" s="1">
        <f>VLOOKUP('comite 1'!$C$4,prevision3!$A$1:$BG$28,MATCH(H63,$A$1:$BG$1,0),FALSE)</f>
        <v>2310621000</v>
      </c>
    </row>
    <row r="64" spans="2:9" x14ac:dyDescent="0.25">
      <c r="B64" s="25">
        <v>2000</v>
      </c>
      <c r="C64" s="1">
        <f>VLOOKUP(Indicateur3!$K$6,prevision3!$A$1:$AV$29,MATCH(prevision3!B64,prevision3!$A$1:$AV$1,0),FALSE)</f>
        <v>2309409000</v>
      </c>
      <c r="H64" s="25">
        <v>2000</v>
      </c>
      <c r="I64" s="1">
        <f>VLOOKUP('comite 1'!$C$4,prevision3!$A$1:$BG$28,MATCH(H64,$A$1:$BG$1,0),FALSE)</f>
        <v>2309409000</v>
      </c>
    </row>
    <row r="65" spans="2:10" x14ac:dyDescent="0.25">
      <c r="B65" s="25">
        <v>2001</v>
      </c>
      <c r="C65" s="1">
        <f>VLOOKUP(Indicateur3!$K$6,prevision3!$A$1:$AV$29,MATCH(prevision3!B65,prevision3!$A$1:$AV$1,0),FALSE)</f>
        <v>2286842000</v>
      </c>
      <c r="H65" s="25">
        <v>2001</v>
      </c>
      <c r="I65" s="1">
        <f>VLOOKUP('comite 1'!$C$4,prevision3!$A$1:$BG$28,MATCH(H65,$A$1:$BG$1,0),FALSE)</f>
        <v>2286842000</v>
      </c>
    </row>
    <row r="66" spans="2:10" x14ac:dyDescent="0.25">
      <c r="B66" s="25">
        <v>2002</v>
      </c>
      <c r="C66" s="1">
        <f>VLOOKUP(Indicateur3!$K$6,prevision3!$A$1:$AV$29,MATCH(prevision3!B66,prevision3!$A$1:$AV$1,0),FALSE)</f>
        <v>2459856000</v>
      </c>
      <c r="H66" s="25">
        <v>2002</v>
      </c>
      <c r="I66" s="1">
        <f>VLOOKUP('comite 1'!$C$4,prevision3!$A$1:$BG$28,MATCH(H66,$A$1:$BG$1,0),FALSE)</f>
        <v>2459856000</v>
      </c>
    </row>
    <row r="67" spans="2:10" x14ac:dyDescent="0.25">
      <c r="B67" s="25">
        <v>2003</v>
      </c>
      <c r="C67" s="1">
        <f>VLOOKUP(Indicateur3!$K$6,prevision3!$A$1:$AV$29,MATCH(prevision3!B67,prevision3!$A$1:$AV$1,0),FALSE)</f>
        <v>2741964000</v>
      </c>
      <c r="H67" s="25">
        <v>2003</v>
      </c>
      <c r="I67" s="1">
        <f>VLOOKUP('comite 1'!$C$4,prevision3!$A$1:$BG$28,MATCH(H67,$A$1:$BG$1,0),FALSE)</f>
        <v>2741964000</v>
      </c>
    </row>
    <row r="68" spans="2:10" x14ac:dyDescent="0.25">
      <c r="B68" s="25">
        <v>2004</v>
      </c>
      <c r="C68" s="1">
        <f>VLOOKUP(Indicateur3!$K$6,prevision3!$A$1:$AV$29,MATCH(prevision3!B68,prevision3!$A$1:$AV$1,0),FALSE)</f>
        <v>2882726000</v>
      </c>
      <c r="H68" s="25">
        <v>2004</v>
      </c>
      <c r="I68" s="1">
        <f>VLOOKUP('comite 1'!$C$4,prevision3!$A$1:$BG$28,MATCH(H68,$A$1:$BG$1,0),FALSE)</f>
        <v>2882726000</v>
      </c>
    </row>
    <row r="69" spans="2:10" x14ac:dyDescent="0.25">
      <c r="B69" s="25">
        <v>2005</v>
      </c>
      <c r="C69" s="1">
        <f>VLOOKUP(Indicateur3!$K$6,prevision3!$A$1:$AV$29,MATCH(prevision3!B69,prevision3!$A$1:$AV$1,0),FALSE)</f>
        <v>2663224000</v>
      </c>
      <c r="H69" s="25">
        <v>2005</v>
      </c>
      <c r="I69" s="1">
        <f>VLOOKUP('comite 1'!$C$4,prevision3!$A$1:$BG$28,MATCH(H69,$A$1:$BG$1,0),FALSE)</f>
        <v>2663224000</v>
      </c>
    </row>
    <row r="70" spans="2:10" x14ac:dyDescent="0.25">
      <c r="B70" s="25">
        <v>2006</v>
      </c>
      <c r="C70" s="1">
        <f>VLOOKUP(Indicateur3!$K$6,prevision3!$A$1:$AV$29,MATCH(prevision3!B70,prevision3!$A$1:$AV$1,0),FALSE)</f>
        <v>2764089000</v>
      </c>
      <c r="H70" s="25">
        <v>2006</v>
      </c>
      <c r="I70" s="1">
        <f>VLOOKUP('comite 1'!$C$4,prevision3!$A$1:$BG$28,MATCH(H70,$A$1:$BG$1,0),FALSE)</f>
        <v>2764089000</v>
      </c>
    </row>
    <row r="71" spans="2:10" x14ac:dyDescent="0.25">
      <c r="B71" s="25">
        <v>2007</v>
      </c>
      <c r="C71" s="1">
        <f>VLOOKUP(Indicateur3!$K$6,prevision3!$A$1:$AV$29,MATCH(prevision3!B71,prevision3!$A$1:$AV$1,0),FALSE)</f>
        <v>2968119000</v>
      </c>
      <c r="H71" s="25">
        <v>2007</v>
      </c>
      <c r="I71" s="1">
        <f>VLOOKUP('comite 1'!$C$4,prevision3!$A$1:$BG$28,MATCH(H71,$A$1:$BG$1,0),FALSE)</f>
        <v>2968119000</v>
      </c>
    </row>
    <row r="72" spans="2:10" x14ac:dyDescent="0.25">
      <c r="B72" s="25">
        <v>2008</v>
      </c>
      <c r="C72" s="1">
        <f>VLOOKUP(Indicateur3!$K$6,prevision3!$A$1:$AV$29,MATCH(prevision3!B72,prevision3!$A$1:$AV$1,0),FALSE)</f>
        <v>3050475000</v>
      </c>
      <c r="H72" s="25">
        <v>2008</v>
      </c>
      <c r="I72" s="1">
        <f>VLOOKUP('comite 1'!$C$4,prevision3!$A$1:$BG$28,MATCH(H72,$A$1:$BG$1,0),FALSE)</f>
        <v>3050475000</v>
      </c>
    </row>
    <row r="73" spans="2:10" x14ac:dyDescent="0.25">
      <c r="B73" s="25">
        <v>2009</v>
      </c>
      <c r="C73" s="1">
        <f>VLOOKUP(Indicateur3!$K$6,prevision3!$A$1:$AV$29,MATCH(prevision3!B73,prevision3!$A$1:$AV$1,0),FALSE)</f>
        <v>3156096000</v>
      </c>
      <c r="H73" s="25">
        <v>2009</v>
      </c>
      <c r="I73" s="1">
        <f>VLOOKUP('comite 1'!$C$4,prevision3!$A$1:$BG$28,MATCH(H73,$A$1:$BG$1,0),FALSE)</f>
        <v>3156096000</v>
      </c>
    </row>
    <row r="74" spans="2:10" x14ac:dyDescent="0.25">
      <c r="B74" s="25">
        <v>2010</v>
      </c>
      <c r="C74" s="1">
        <f>VLOOKUP(Indicateur3!$K$6,prevision3!$A$1:$AV$29,MATCH(prevision3!B74,prevision3!$A$1:$AV$1,0),FALSE)</f>
        <v>3237614000</v>
      </c>
      <c r="H74" s="25">
        <v>2010</v>
      </c>
      <c r="I74" s="1">
        <f>VLOOKUP('comite 1'!$C$4,prevision3!$A$1:$BG$28,MATCH(H74,$A$1:$BG$1,0),FALSE)</f>
        <v>3237614000</v>
      </c>
    </row>
    <row r="75" spans="2:10" x14ac:dyDescent="0.25">
      <c r="B75" s="25">
        <v>2011</v>
      </c>
      <c r="C75" s="1">
        <f>VLOOKUP(Indicateur3!$K$6,prevision3!$A$1:$AV$29,MATCH(prevision3!B75,prevision3!$A$1:$AV$1,0),FALSE)</f>
        <v>3388428000</v>
      </c>
      <c r="H75" s="25">
        <v>2011</v>
      </c>
      <c r="I75" s="1">
        <f>VLOOKUP('comite 1'!$C$4,prevision3!$A$1:$BG$28,MATCH(H75,$A$1:$BG$1,0),FALSE)</f>
        <v>3388428000</v>
      </c>
    </row>
    <row r="76" spans="2:10" x14ac:dyDescent="0.25">
      <c r="B76" s="25">
        <v>2012</v>
      </c>
      <c r="C76" s="1">
        <f>VLOOKUP(Indicateur3!$K$6,prevision3!$A$1:$AV$29,MATCH(prevision3!B76,prevision3!$A$1:$AV$1,0),FALSE)</f>
        <v>3585785000</v>
      </c>
      <c r="H76" s="25">
        <v>2012</v>
      </c>
      <c r="I76" s="1">
        <f>VLOOKUP('comite 1'!$C$4,prevision3!$A$1:$BG$28,MATCH(H76,$A$1:$BG$1,0),FALSE)</f>
        <v>3585785000</v>
      </c>
    </row>
    <row r="77" spans="2:10" x14ac:dyDescent="0.25">
      <c r="B77" s="25">
        <v>2013</v>
      </c>
      <c r="C77" s="1">
        <f>VLOOKUP(Indicateur3!$K$6,prevision3!$A$1:$AV$29,MATCH(prevision3!B77,prevision3!$A$1:$AV$1,0),FALSE)</f>
        <v>3982522000</v>
      </c>
      <c r="H77" s="25">
        <v>2013</v>
      </c>
      <c r="I77" s="1">
        <f>VLOOKUP('comite 1'!$C$4,prevision3!$A$1:$BG$28,MATCH(H77,$A$1:$BG$1,0),FALSE)</f>
        <v>3982522000</v>
      </c>
    </row>
    <row r="78" spans="2:10" x14ac:dyDescent="0.25">
      <c r="B78" s="25">
        <v>2014</v>
      </c>
      <c r="C78" s="1">
        <f>VLOOKUP(Indicateur3!$K$6,prevision3!$A$1:$AV$29,MATCH(prevision3!B78,prevision3!$A$1:$AV$1,0),FALSE)</f>
        <v>4199127000</v>
      </c>
      <c r="H78" s="25">
        <v>2014</v>
      </c>
      <c r="I78" s="1">
        <f>VLOOKUP('comite 1'!$C$4,prevision3!$A$1:$BG$28,MATCH(H78,$A$1:$BG$1,0),FALSE)</f>
        <v>4199127000</v>
      </c>
    </row>
    <row r="79" spans="2:10" x14ac:dyDescent="0.25">
      <c r="B79" s="25">
        <v>2015</v>
      </c>
      <c r="C79" s="1">
        <f>VLOOKUP(Indicateur3!$K$6,prevision3!$A$1:$AV$29,MATCH(prevision3!B79,prevision3!$A$1:$AV$1,0),FALSE)</f>
        <v>4381759000</v>
      </c>
      <c r="H79" s="25">
        <v>2015</v>
      </c>
      <c r="I79" s="1">
        <f>VLOOKUP('comite 1'!$C$4,prevision3!$A$1:$BG$28,MATCH(H79,$A$1:$BG$1,0),FALSE)</f>
        <v>4381759000</v>
      </c>
    </row>
    <row r="80" spans="2:10" x14ac:dyDescent="0.25">
      <c r="B80" s="25">
        <v>2016</v>
      </c>
      <c r="C80" s="1">
        <f>VLOOKUP(Indicateur3!$K$6,prevision3!$A$1:$AV$29,MATCH(prevision3!B80,prevision3!$A$1:$AV$1,0),FALSE)</f>
        <v>4567712000</v>
      </c>
      <c r="D80" s="1">
        <f>C80</f>
        <v>4567712000</v>
      </c>
      <c r="H80" s="25">
        <v>2016</v>
      </c>
      <c r="I80" s="1">
        <f>VLOOKUP('comite 1'!$C$4,prevision3!$A$1:$BG$28,MATCH(H80,$A$1:$BG$1,0),FALSE)</f>
        <v>4567712000</v>
      </c>
      <c r="J80" s="1">
        <f>I80</f>
        <v>4567712000</v>
      </c>
    </row>
    <row r="81" spans="2:10" x14ac:dyDescent="0.25">
      <c r="B81" s="25">
        <v>2017</v>
      </c>
      <c r="D81" s="1">
        <f>TREND($C$34:$C$80,$B$34:$B$80,B81)</f>
        <v>4129309770.5827942</v>
      </c>
      <c r="H81" s="25">
        <v>2017</v>
      </c>
      <c r="J81" s="1">
        <f>TREND($I$34:$I$80,$H$34:$H$80,H81)</f>
        <v>4129309770.5827942</v>
      </c>
    </row>
    <row r="82" spans="2:10" x14ac:dyDescent="0.25">
      <c r="B82" s="25">
        <v>2018</v>
      </c>
      <c r="D82" s="1">
        <f t="shared" ref="D82:D94" si="0">TREND($C$34:$C$80,$B$34:$B$80,B82)</f>
        <v>4221261530.5272827</v>
      </c>
      <c r="H82" s="25">
        <v>2018</v>
      </c>
      <c r="J82" s="1">
        <f t="shared" ref="J82:J94" si="1">TREND($I$34:$I$80,$H$34:$H$80,H82)</f>
        <v>4221261530.5272827</v>
      </c>
    </row>
    <row r="83" spans="2:10" x14ac:dyDescent="0.25">
      <c r="B83" s="25">
        <v>2019</v>
      </c>
      <c r="D83" s="1">
        <f t="shared" si="0"/>
        <v>4313213290.4717712</v>
      </c>
      <c r="H83" s="25">
        <v>2019</v>
      </c>
      <c r="J83" s="1">
        <f t="shared" si="1"/>
        <v>4313213290.4717712</v>
      </c>
    </row>
    <row r="84" spans="2:10" x14ac:dyDescent="0.25">
      <c r="B84" s="25">
        <v>2020</v>
      </c>
      <c r="D84" s="1">
        <f t="shared" si="0"/>
        <v>4405165050.4162598</v>
      </c>
      <c r="H84" s="25">
        <v>2020</v>
      </c>
      <c r="J84" s="1">
        <f t="shared" si="1"/>
        <v>4405165050.4162598</v>
      </c>
    </row>
    <row r="85" spans="2:10" x14ac:dyDescent="0.25">
      <c r="B85" s="25">
        <v>2021</v>
      </c>
      <c r="D85" s="1">
        <f t="shared" si="0"/>
        <v>4497116810.3607788</v>
      </c>
      <c r="H85" s="25">
        <v>2021</v>
      </c>
      <c r="J85" s="1">
        <f t="shared" si="1"/>
        <v>4497116810.3607788</v>
      </c>
    </row>
    <row r="86" spans="2:10" x14ac:dyDescent="0.25">
      <c r="B86" s="25">
        <v>2022</v>
      </c>
      <c r="D86" s="1">
        <f t="shared" si="0"/>
        <v>4589068570.3052673</v>
      </c>
      <c r="H86" s="25">
        <v>2022</v>
      </c>
      <c r="J86" s="1">
        <f t="shared" si="1"/>
        <v>4589068570.3052673</v>
      </c>
    </row>
    <row r="87" spans="2:10" x14ac:dyDescent="0.25">
      <c r="B87" s="25">
        <v>2023</v>
      </c>
      <c r="D87" s="1">
        <f t="shared" si="0"/>
        <v>4681020330.2497559</v>
      </c>
      <c r="H87" s="25">
        <v>2023</v>
      </c>
      <c r="J87" s="1">
        <f t="shared" si="1"/>
        <v>4681020330.2497559</v>
      </c>
    </row>
    <row r="88" spans="2:10" x14ac:dyDescent="0.25">
      <c r="B88" s="25">
        <v>2024</v>
      </c>
      <c r="D88" s="1">
        <f t="shared" si="0"/>
        <v>4772972090.1942444</v>
      </c>
      <c r="H88" s="25">
        <v>2024</v>
      </c>
      <c r="J88" s="1">
        <f t="shared" si="1"/>
        <v>4772972090.1942444</v>
      </c>
    </row>
    <row r="89" spans="2:10" x14ac:dyDescent="0.25">
      <c r="B89" s="25">
        <v>2025</v>
      </c>
      <c r="D89" s="1">
        <f t="shared" si="0"/>
        <v>4864923850.1387329</v>
      </c>
      <c r="H89" s="25">
        <v>2025</v>
      </c>
      <c r="J89" s="1">
        <f t="shared" si="1"/>
        <v>4864923850.1387329</v>
      </c>
    </row>
    <row r="90" spans="2:10" x14ac:dyDescent="0.25">
      <c r="B90" s="25">
        <v>2026</v>
      </c>
      <c r="D90" s="1">
        <f t="shared" si="0"/>
        <v>4956875610.083252</v>
      </c>
      <c r="H90" s="25">
        <v>2026</v>
      </c>
      <c r="J90" s="1">
        <f t="shared" si="1"/>
        <v>4956875610.083252</v>
      </c>
    </row>
    <row r="91" spans="2:10" x14ac:dyDescent="0.25">
      <c r="B91" s="25">
        <v>2027</v>
      </c>
      <c r="D91" s="1">
        <f t="shared" si="0"/>
        <v>5048827370.0277405</v>
      </c>
      <c r="H91" s="25">
        <v>2027</v>
      </c>
      <c r="J91" s="1">
        <f t="shared" si="1"/>
        <v>5048827370.0277405</v>
      </c>
    </row>
    <row r="92" spans="2:10" x14ac:dyDescent="0.25">
      <c r="B92" s="25">
        <v>2028</v>
      </c>
      <c r="D92" s="1">
        <f t="shared" si="0"/>
        <v>5140779129.972229</v>
      </c>
      <c r="H92" s="25">
        <v>2028</v>
      </c>
      <c r="J92" s="1">
        <f t="shared" si="1"/>
        <v>5140779129.972229</v>
      </c>
    </row>
    <row r="93" spans="2:10" x14ac:dyDescent="0.25">
      <c r="B93" s="25">
        <v>2029</v>
      </c>
      <c r="D93" s="1">
        <f t="shared" si="0"/>
        <v>5232730889.9167175</v>
      </c>
      <c r="H93" s="25">
        <v>2029</v>
      </c>
      <c r="J93" s="1">
        <f t="shared" si="1"/>
        <v>5232730889.9167175</v>
      </c>
    </row>
    <row r="94" spans="2:10" x14ac:dyDescent="0.25">
      <c r="B94" s="25">
        <v>2030</v>
      </c>
      <c r="D94" s="1">
        <f t="shared" si="0"/>
        <v>5324682649.8612366</v>
      </c>
      <c r="H94" s="25">
        <v>2030</v>
      </c>
      <c r="J94" s="1">
        <f t="shared" si="1"/>
        <v>5324682649.8612366</v>
      </c>
    </row>
  </sheetData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comite 1</vt:lpstr>
      <vt:lpstr>Indicateur1</vt:lpstr>
      <vt:lpstr>Indicateur2</vt:lpstr>
      <vt:lpstr>Indicateur3</vt:lpstr>
      <vt:lpstr>prevision1</vt:lpstr>
      <vt:lpstr>prevision2</vt:lpstr>
      <vt:lpstr>prevision3</vt:lpstr>
      <vt:lpstr>Comite1</vt:lpstr>
      <vt:lpstr>commentaire1</vt:lpstr>
    </vt:vector>
  </TitlesOfParts>
  <Company>UT1C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WEIHUI TU</dc:creator>
  <cp:lastModifiedBy>maikefeng</cp:lastModifiedBy>
  <dcterms:created xsi:type="dcterms:W3CDTF">2019-03-29T14:14:56Z</dcterms:created>
  <dcterms:modified xsi:type="dcterms:W3CDTF">2019-04-11T06:24:47Z</dcterms:modified>
</cp:coreProperties>
</file>
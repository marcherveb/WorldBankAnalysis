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slicers/slicer1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slicers/slicer3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V:\grand projet 2\"/>
    </mc:Choice>
  </mc:AlternateContent>
  <bookViews>
    <workbookView xWindow="-105" yWindow="-105" windowWidth="23250" windowHeight="12570"/>
  </bookViews>
  <sheets>
    <sheet name="comite 5" sheetId="2" r:id="rId1"/>
    <sheet name="Indicateur13" sheetId="4" r:id="rId2"/>
    <sheet name="Indicateur14" sheetId="6" r:id="rId3"/>
    <sheet name="Indicateur15" sheetId="8" r:id="rId4"/>
    <sheet name="prevision13" sheetId="5" state="hidden" r:id="rId5"/>
    <sheet name="prevision14" sheetId="7" state="hidden" r:id="rId6"/>
    <sheet name="prevision15" sheetId="9" state="hidden" r:id="rId7"/>
  </sheets>
  <definedNames>
    <definedName name="切片器_Country_name11">#N/A</definedName>
    <definedName name="切片器_Country_name12">#N/A</definedName>
    <definedName name="切片器_Country_name13">#N/A</definedName>
  </definedNames>
  <calcPr calcId="191029"/>
  <pivotCaches>
    <pivotCache cacheId="0" r:id="rId8"/>
    <pivotCache cacheId="1" r:id="rId9"/>
    <pivotCache cacheId="2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1" i="9" l="1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30" i="9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22" i="7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26" i="5"/>
  <c r="I31" i="9" l="1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30" i="9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22" i="7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26" i="5"/>
  <c r="J77" i="9" l="1"/>
  <c r="D77" i="9"/>
  <c r="J90" i="9"/>
  <c r="D83" i="9"/>
  <c r="D71" i="7"/>
  <c r="D59" i="7"/>
  <c r="J62" i="7"/>
  <c r="D58" i="7"/>
  <c r="J58" i="7"/>
  <c r="D61" i="7"/>
  <c r="D65" i="7"/>
  <c r="D69" i="7"/>
  <c r="D70" i="7"/>
  <c r="D72" i="7"/>
  <c r="J73" i="5"/>
  <c r="D73" i="5"/>
  <c r="J86" i="5"/>
  <c r="J60" i="7" l="1"/>
  <c r="J72" i="7"/>
  <c r="J66" i="7"/>
  <c r="D86" i="5"/>
  <c r="J68" i="7"/>
  <c r="J64" i="7"/>
  <c r="J59" i="7"/>
  <c r="J70" i="7"/>
  <c r="D67" i="7"/>
  <c r="D63" i="7"/>
  <c r="D68" i="7"/>
  <c r="D66" i="7"/>
  <c r="D64" i="7"/>
  <c r="D62" i="7"/>
  <c r="D60" i="7"/>
  <c r="D81" i="9"/>
  <c r="D85" i="9"/>
  <c r="D89" i="9"/>
  <c r="J79" i="9"/>
  <c r="J81" i="9"/>
  <c r="J83" i="9"/>
  <c r="J85" i="9"/>
  <c r="J87" i="9"/>
  <c r="J89" i="9"/>
  <c r="D79" i="9"/>
  <c r="D87" i="9"/>
  <c r="D78" i="9"/>
  <c r="D80" i="9"/>
  <c r="D82" i="9"/>
  <c r="D84" i="9"/>
  <c r="D86" i="9"/>
  <c r="D88" i="9"/>
  <c r="D90" i="9"/>
  <c r="J78" i="9"/>
  <c r="J80" i="9"/>
  <c r="J82" i="9"/>
  <c r="J84" i="9"/>
  <c r="J86" i="9"/>
  <c r="J88" i="9"/>
  <c r="J71" i="7"/>
  <c r="J69" i="7"/>
  <c r="J67" i="7"/>
  <c r="J65" i="7"/>
  <c r="J63" i="7"/>
  <c r="J61" i="7"/>
  <c r="D75" i="5"/>
  <c r="D77" i="5"/>
  <c r="D79" i="5"/>
  <c r="D81" i="5"/>
  <c r="D83" i="5"/>
  <c r="D85" i="5"/>
  <c r="J75" i="5"/>
  <c r="J77" i="5"/>
  <c r="J79" i="5"/>
  <c r="J81" i="5"/>
  <c r="J83" i="5"/>
  <c r="J85" i="5"/>
  <c r="D74" i="5"/>
  <c r="D76" i="5"/>
  <c r="D78" i="5"/>
  <c r="D80" i="5"/>
  <c r="D82" i="5"/>
  <c r="D84" i="5"/>
  <c r="J74" i="5"/>
  <c r="J76" i="5"/>
  <c r="J78" i="5"/>
  <c r="J80" i="5"/>
  <c r="J82" i="5"/>
  <c r="J84" i="5"/>
</calcChain>
</file>

<file path=xl/sharedStrings.xml><?xml version="1.0" encoding="utf-8"?>
<sst xmlns="http://schemas.openxmlformats.org/spreadsheetml/2006/main" count="9856" uniqueCount="48">
  <si>
    <t>Country name:</t>
  </si>
  <si>
    <t>Ethiopia</t>
  </si>
  <si>
    <t>Commentaire</t>
    <phoneticPr fontId="0" type="noConversion"/>
  </si>
  <si>
    <t>Year</t>
  </si>
  <si>
    <t>Burundi</t>
  </si>
  <si>
    <t>Cameroon</t>
  </si>
  <si>
    <t>Chad</t>
  </si>
  <si>
    <t>Comoros</t>
  </si>
  <si>
    <t>Djibouti</t>
  </si>
  <si>
    <t>Guinea</t>
  </si>
  <si>
    <t>Haiti</t>
  </si>
  <si>
    <t>Kenya</t>
  </si>
  <si>
    <t>Liberia</t>
  </si>
  <si>
    <t>Madagascar</t>
  </si>
  <si>
    <t>Malawi</t>
  </si>
  <si>
    <t>Mali</t>
  </si>
  <si>
    <t>Moldova</t>
  </si>
  <si>
    <t>Mozambique</t>
  </si>
  <si>
    <t>Myanmar</t>
  </si>
  <si>
    <t>Nepal</t>
  </si>
  <si>
    <t>Nicaragua</t>
  </si>
  <si>
    <t>Niger</t>
  </si>
  <si>
    <t>Rwanda</t>
  </si>
  <si>
    <t>Sao Tome and Principe</t>
  </si>
  <si>
    <t>Sri Lanka</t>
  </si>
  <si>
    <t>Tajikistan</t>
  </si>
  <si>
    <t>Tanzania</t>
  </si>
  <si>
    <t>Uganda</t>
  </si>
  <si>
    <t>Zambia</t>
  </si>
  <si>
    <t>Zimbabwe</t>
  </si>
  <si>
    <t>Country name</t>
  </si>
  <si>
    <t>Indicator name</t>
  </si>
  <si>
    <t>Data</t>
  </si>
  <si>
    <t>Graphique Croisé Dynamique</t>
    <phoneticPr fontId="0" type="noConversion"/>
  </si>
  <si>
    <t>Tableau Croisé Dynamique</t>
    <phoneticPr fontId="0" type="noConversion"/>
  </si>
  <si>
    <t>Children out of school (% of primary school age)</t>
  </si>
  <si>
    <t>Somme:Data</t>
  </si>
  <si>
    <t>Children out of school (% of primary school age)</t>
    <phoneticPr fontId="0" type="noConversion"/>
  </si>
  <si>
    <t>Kosovo</t>
  </si>
  <si>
    <t xml:space="preserve">Prévision de tendance </t>
    <phoneticPr fontId="0" type="noConversion"/>
  </si>
  <si>
    <t>Government expenditure on education, total (% of government expenditure)</t>
    <phoneticPr fontId="0" type="noConversion"/>
  </si>
  <si>
    <t>Government expenditure on education, total (% of government expenditure)</t>
  </si>
  <si>
    <t>School enrollment, primary (% gross)</t>
    <phoneticPr fontId="0" type="noConversion"/>
  </si>
  <si>
    <t>School enrollment, primary (% gross)</t>
  </si>
  <si>
    <t>Indicateurs de l’éducation</t>
  </si>
  <si>
    <t>Indicateur: Children out of school (% of primary school age)</t>
    <phoneticPr fontId="11" type="noConversion"/>
  </si>
  <si>
    <t>Indicateur: Government expenditure on education, total (% of government expenditure)</t>
    <phoneticPr fontId="11" type="noConversion"/>
  </si>
  <si>
    <t>Indicateur: School enrollment, primary (% gross)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</si>
</sst>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charset val="134"/>
      <scheme val="minor"/>
    </font>
    <font>
      <b/>
      <sz val="12"/>
      <color theme="0"/>
      <name val="Arial"/>
      <family val="2"/>
    </font>
    <font>
      <b/>
      <sz val="11"/>
      <name val="Arial"/>
      <family val="2"/>
    </font>
    <font>
      <b/>
      <sz val="11"/>
      <color theme="1"/>
      <name val="Calibri"/>
      <family val="2"/>
      <charset val="134"/>
      <scheme val="minor"/>
    </font>
    <font>
      <sz val="12"/>
      <color indexed="8"/>
      <name val="宋体"/>
      <family val="3"/>
      <charset val="134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9"/>
      <color indexed="8"/>
      <name val="Arial"/>
      <family val="2"/>
    </font>
    <font>
      <sz val="9"/>
      <name val="宋体"/>
      <family val="3"/>
      <charset val="134"/>
    </font>
    <font>
      <sz val="11"/>
      <color rgb="FF000000"/>
      <name val="等线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0"/>
      </patternFill>
    </fill>
  </fills>
  <borders count="1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double">
        <color theme="7" tint="0.39994506668294322"/>
      </left>
      <right style="double">
        <color theme="7" tint="0.39991454817346722"/>
      </right>
      <top/>
      <bottom style="double">
        <color theme="7" tint="0.399945066682943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theme="7" tint="0.39994506668294322"/>
      </bottom>
      <diagonal/>
    </border>
    <border>
      <left/>
      <right/>
      <top style="thin">
        <color theme="7" tint="0.39994506668294322"/>
      </top>
      <bottom style="thin">
        <color theme="7" tint="0.39994506668294322"/>
      </bottom>
      <diagonal/>
    </border>
    <border>
      <left/>
      <right/>
      <top style="thin">
        <color theme="7" tint="0.39994506668294322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</borders>
  <cellStyleXfs count="4">
    <xf numFmtId="0" fontId="0" fillId="0" borderId="0"/>
    <xf numFmtId="0" fontId="3" fillId="0" borderId="0">
      <alignment vertical="center"/>
    </xf>
    <xf numFmtId="0" fontId="7" fillId="0" borderId="0"/>
    <xf numFmtId="0" fontId="7" fillId="0" borderId="0"/>
  </cellStyleXfs>
  <cellXfs count="35">
    <xf numFmtId="0" fontId="0" fillId="0" borderId="0" xfId="0"/>
    <xf numFmtId="0" fontId="3" fillId="0" borderId="0" xfId="1">
      <alignment vertical="center"/>
    </xf>
    <xf numFmtId="0" fontId="1" fillId="3" borderId="0" xfId="1" applyFont="1" applyFill="1">
      <alignment vertical="center"/>
    </xf>
    <xf numFmtId="0" fontId="3" fillId="4" borderId="0" xfId="1" applyFill="1" applyAlignment="1">
      <alignment horizontal="right" vertical="center"/>
    </xf>
    <xf numFmtId="0" fontId="5" fillId="3" borderId="0" xfId="1" applyFont="1" applyFill="1">
      <alignment vertical="center"/>
    </xf>
    <xf numFmtId="0" fontId="6" fillId="3" borderId="1" xfId="1" applyFont="1" applyFill="1" applyBorder="1">
      <alignment vertical="center"/>
    </xf>
    <xf numFmtId="0" fontId="3" fillId="5" borderId="0" xfId="1" applyFill="1" applyAlignment="1">
      <alignment horizontal="left" vertical="center"/>
    </xf>
    <xf numFmtId="0" fontId="8" fillId="6" borderId="0" xfId="2" applyFont="1" applyFill="1" applyAlignment="1">
      <alignment horizontal="center" vertical="center"/>
    </xf>
    <xf numFmtId="0" fontId="5" fillId="3" borderId="2" xfId="1" applyFont="1" applyFill="1" applyBorder="1">
      <alignment vertical="center"/>
    </xf>
    <xf numFmtId="0" fontId="9" fillId="5" borderId="3" xfId="2" applyFont="1" applyFill="1" applyBorder="1" applyAlignment="1">
      <alignment horizontal="center" vertical="center" wrapText="1"/>
    </xf>
    <xf numFmtId="0" fontId="9" fillId="0" borderId="3" xfId="2" applyFont="1" applyBorder="1" applyAlignment="1">
      <alignment horizontal="center" vertical="center" wrapText="1"/>
    </xf>
    <xf numFmtId="0" fontId="9" fillId="5" borderId="3" xfId="3" applyFont="1" applyFill="1" applyBorder="1" applyAlignment="1">
      <alignment horizontal="center" vertical="center" wrapText="1"/>
    </xf>
    <xf numFmtId="0" fontId="9" fillId="0" borderId="3" xfId="3" applyFont="1" applyBorder="1" applyAlignment="1">
      <alignment horizontal="center" vertical="center" wrapText="1"/>
    </xf>
    <xf numFmtId="0" fontId="10" fillId="0" borderId="3" xfId="2" applyFont="1" applyBorder="1" applyAlignment="1">
      <alignment horizontal="center" vertical="center" wrapText="1"/>
    </xf>
    <xf numFmtId="0" fontId="10" fillId="0" borderId="3" xfId="3" applyFont="1" applyBorder="1" applyAlignment="1">
      <alignment horizontal="center" vertical="center" wrapText="1"/>
    </xf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3" fillId="0" borderId="0" xfId="1" applyBorder="1">
      <alignment vertical="center"/>
    </xf>
    <xf numFmtId="0" fontId="0" fillId="0" borderId="0" xfId="1" applyFont="1" applyBorder="1" applyAlignment="1">
      <alignment vertical="center" wrapText="1"/>
    </xf>
    <xf numFmtId="0" fontId="0" fillId="0" borderId="7" xfId="1" applyFont="1" applyBorder="1" applyAlignment="1">
      <alignment vertical="center" wrapText="1"/>
    </xf>
    <xf numFmtId="0" fontId="0" fillId="0" borderId="0" xfId="1" applyFont="1" applyBorder="1" applyAlignment="1">
      <alignment vertical="center" wrapText="1"/>
    </xf>
    <xf numFmtId="0" fontId="0" fillId="0" borderId="8" xfId="1" applyFont="1" applyBorder="1" applyAlignment="1">
      <alignment vertical="center" wrapText="1"/>
    </xf>
    <xf numFmtId="0" fontId="0" fillId="0" borderId="9" xfId="1" applyFont="1" applyBorder="1" applyAlignment="1">
      <alignment vertical="center" wrapText="1"/>
    </xf>
    <xf numFmtId="0" fontId="0" fillId="0" borderId="10" xfId="1" applyFont="1" applyBorder="1" applyAlignment="1">
      <alignment vertical="center" wrapText="1"/>
    </xf>
    <xf numFmtId="0" fontId="0" fillId="0" borderId="11" xfId="1" applyFont="1" applyBorder="1" applyAlignment="1">
      <alignment vertical="center" wrapText="1"/>
    </xf>
    <xf numFmtId="0" fontId="0" fillId="0" borderId="5" xfId="0" applyNumberFormat="1" applyBorder="1"/>
    <xf numFmtId="0" fontId="0" fillId="0" borderId="6" xfId="0" applyNumberFormat="1" applyBorder="1"/>
    <xf numFmtId="0" fontId="0" fillId="0" borderId="4" xfId="0" applyFill="1" applyBorder="1"/>
    <xf numFmtId="0" fontId="0" fillId="0" borderId="5" xfId="0" applyFill="1" applyBorder="1"/>
    <xf numFmtId="0" fontId="5" fillId="0" borderId="0" xfId="1" applyFont="1" applyFill="1">
      <alignment vertical="center"/>
    </xf>
    <xf numFmtId="0" fontId="4" fillId="2" borderId="0" xfId="1" applyFont="1" applyFill="1" applyAlignment="1">
      <alignment horizontal="center" vertical="center"/>
    </xf>
    <xf numFmtId="0" fontId="0" fillId="0" borderId="7" xfId="1" applyFont="1" applyBorder="1" applyAlignment="1">
      <alignment vertical="center" wrapText="1"/>
    </xf>
    <xf numFmtId="0" fontId="0" fillId="0" borderId="0" xfId="1" applyFont="1" applyBorder="1" applyAlignment="1">
      <alignment vertical="center" wrapText="1"/>
    </xf>
    <xf numFmtId="0" fontId="0" fillId="0" borderId="8" xfId="1" applyFont="1" applyBorder="1" applyAlignment="1">
      <alignment vertical="center" wrapText="1"/>
    </xf>
    <xf numFmtId="0" fontId="5" fillId="3" borderId="0" xfId="1" applyFont="1" applyFill="1">
      <alignment vertical="center"/>
    </xf>
  </cellXfs>
  <cellStyles count="4">
    <cellStyle name="Normal" xfId="0" builtinId="0"/>
    <cellStyle name="Normal 2" xfId="1"/>
    <cellStyle name="常规_Sheet1" xfId="3"/>
    <cellStyle name="常规_Sheet1_1" xfId="2"/>
  </cellStyles>
  <dxfs count="55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 patternType="solid">
          <bgColor theme="7" tint="0.399975585192419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 patternType="solid">
          <bgColor theme="0" tint="-4.9989318521683403E-2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altLang="zh-CN" sz="1400" b="0" i="0" baseline="0">
                <a:effectLst/>
              </a:rPr>
              <a:t>Government expenditure on education</a:t>
            </a:r>
            <a:endParaRPr lang="zh-CN" altLang="zh-CN" sz="14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prevision14!$H$22:$H$72</c:f>
              <c:numCache>
                <c:formatCode>General</c:formatCode>
                <c:ptCount val="51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  <c:pt idx="42">
                  <c:v>2022</c:v>
                </c:pt>
                <c:pt idx="43">
                  <c:v>2023</c:v>
                </c:pt>
                <c:pt idx="44">
                  <c:v>2024</c:v>
                </c:pt>
                <c:pt idx="45">
                  <c:v>2025</c:v>
                </c:pt>
                <c:pt idx="46">
                  <c:v>2026</c:v>
                </c:pt>
                <c:pt idx="47">
                  <c:v>2027</c:v>
                </c:pt>
                <c:pt idx="48">
                  <c:v>2028</c:v>
                </c:pt>
                <c:pt idx="49">
                  <c:v>2029</c:v>
                </c:pt>
                <c:pt idx="50">
                  <c:v>2030</c:v>
                </c:pt>
              </c:numCache>
            </c:numRef>
          </c:cat>
          <c:val>
            <c:numRef>
              <c:f>prevision14!$I$22:$I$72</c:f>
              <c:numCache>
                <c:formatCode>General</c:formatCode>
                <c:ptCount val="51"/>
                <c:pt idx="0">
                  <c:v>12.3555402755737</c:v>
                </c:pt>
                <c:pt idx="1">
                  <c:v>12.4869899749756</c:v>
                </c:pt>
                <c:pt idx="2">
                  <c:v>12.178170204162599</c:v>
                </c:pt>
                <c:pt idx="3">
                  <c:v>9.7013196945190394</c:v>
                </c:pt>
                <c:pt idx="4">
                  <c:v>11.8201303482056</c:v>
                </c:pt>
                <c:pt idx="5">
                  <c:v>10.0891304016113</c:v>
                </c:pt>
                <c:pt idx="6">
                  <c:v>10.321749687194799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13.264840126037599</c:v>
                </c:pt>
                <c:pt idx="14">
                  <c:v>0</c:v>
                </c:pt>
                <c:pt idx="15">
                  <c:v>0</c:v>
                </c:pt>
                <c:pt idx="16">
                  <c:v>13.044139862060501</c:v>
                </c:pt>
                <c:pt idx="17">
                  <c:v>14.8699197769165</c:v>
                </c:pt>
                <c:pt idx="18">
                  <c:v>0</c:v>
                </c:pt>
                <c:pt idx="19">
                  <c:v>0</c:v>
                </c:pt>
                <c:pt idx="20">
                  <c:v>14.9077301025391</c:v>
                </c:pt>
                <c:pt idx="21">
                  <c:v>14.4617700576782</c:v>
                </c:pt>
                <c:pt idx="22">
                  <c:v>16.187749862670799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23.975379943847699</c:v>
                </c:pt>
                <c:pt idx="27">
                  <c:v>24.699449539184599</c:v>
                </c:pt>
                <c:pt idx="28">
                  <c:v>26.355730056762699</c:v>
                </c:pt>
                <c:pt idx="29">
                  <c:v>23.5837497711182</c:v>
                </c:pt>
                <c:pt idx="30">
                  <c:v>26.304040908813501</c:v>
                </c:pt>
                <c:pt idx="31">
                  <c:v>29.674430847168001</c:v>
                </c:pt>
                <c:pt idx="32">
                  <c:v>30.5395393371582</c:v>
                </c:pt>
                <c:pt idx="33">
                  <c:v>27.0210990905762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BA-4A8A-BAFE-02F6EE6945A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prevision14!$H$22:$H$72</c:f>
              <c:numCache>
                <c:formatCode>General</c:formatCode>
                <c:ptCount val="51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  <c:pt idx="42">
                  <c:v>2022</c:v>
                </c:pt>
                <c:pt idx="43">
                  <c:v>2023</c:v>
                </c:pt>
                <c:pt idx="44">
                  <c:v>2024</c:v>
                </c:pt>
                <c:pt idx="45">
                  <c:v>2025</c:v>
                </c:pt>
                <c:pt idx="46">
                  <c:v>2026</c:v>
                </c:pt>
                <c:pt idx="47">
                  <c:v>2027</c:v>
                </c:pt>
                <c:pt idx="48">
                  <c:v>2028</c:v>
                </c:pt>
                <c:pt idx="49">
                  <c:v>2029</c:v>
                </c:pt>
                <c:pt idx="50">
                  <c:v>2030</c:v>
                </c:pt>
              </c:numCache>
            </c:numRef>
          </c:cat>
          <c:val>
            <c:numRef>
              <c:f>prevision14!$J$22:$J$72</c:f>
              <c:numCache>
                <c:formatCode>General</c:formatCode>
                <c:ptCount val="51"/>
                <c:pt idx="36">
                  <c:v>0</c:v>
                </c:pt>
                <c:pt idx="37">
                  <c:v>16.097014152251973</c:v>
                </c:pt>
                <c:pt idx="38">
                  <c:v>16.406753730864352</c:v>
                </c:pt>
                <c:pt idx="39">
                  <c:v>16.716493309476846</c:v>
                </c:pt>
                <c:pt idx="40">
                  <c:v>17.026232888089339</c:v>
                </c:pt>
                <c:pt idx="41">
                  <c:v>17.335972466701719</c:v>
                </c:pt>
                <c:pt idx="42">
                  <c:v>17.645712045314212</c:v>
                </c:pt>
                <c:pt idx="43">
                  <c:v>17.955451623926592</c:v>
                </c:pt>
                <c:pt idx="44">
                  <c:v>18.265191202539086</c:v>
                </c:pt>
                <c:pt idx="45">
                  <c:v>18.574930781151465</c:v>
                </c:pt>
                <c:pt idx="46">
                  <c:v>18.884670359763959</c:v>
                </c:pt>
                <c:pt idx="47">
                  <c:v>19.194409938376339</c:v>
                </c:pt>
                <c:pt idx="48">
                  <c:v>19.504149516988832</c:v>
                </c:pt>
                <c:pt idx="49">
                  <c:v>19.813889095601212</c:v>
                </c:pt>
                <c:pt idx="50">
                  <c:v>20.123628674213705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BA-4A8A-BAFE-02F6EE694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4020088"/>
        <c:axId val="744014840"/>
      </c:lineChart>
      <c:catAx>
        <c:axId val="744020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014840"/>
        <c:crosses val="autoZero"/>
        <c:auto val="1"/>
        <c:lblAlgn val="ctr"/>
        <c:lblOffset val="100"/>
        <c:noMultiLvlLbl val="0"/>
      </c:catAx>
      <c:valAx>
        <c:axId val="744014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02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altLang="zh-CN" sz="1400" b="0" i="0" baseline="0">
                <a:effectLst/>
              </a:rPr>
              <a:t>School enrollment, primary (% gross)</a:t>
            </a:r>
            <a:endParaRPr lang="zh-CN" altLang="zh-CN" sz="14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prevision15!$H$30:$H$90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prevision15!$I$30:$I$90</c:f>
              <c:numCache>
                <c:formatCode>General</c:formatCode>
                <c:ptCount val="61"/>
                <c:pt idx="0">
                  <c:v>0</c:v>
                </c:pt>
                <c:pt idx="1">
                  <c:v>15.02952003479</c:v>
                </c:pt>
                <c:pt idx="2">
                  <c:v>15.861590385436999</c:v>
                </c:pt>
                <c:pt idx="3">
                  <c:v>16.2753791809082</c:v>
                </c:pt>
                <c:pt idx="4">
                  <c:v>17.7330207824707</c:v>
                </c:pt>
                <c:pt idx="5">
                  <c:v>19.229900360107401</c:v>
                </c:pt>
                <c:pt idx="6">
                  <c:v>21.251789093017599</c:v>
                </c:pt>
                <c:pt idx="7">
                  <c:v>22.831239700317401</c:v>
                </c:pt>
                <c:pt idx="8">
                  <c:v>21.956119537353501</c:v>
                </c:pt>
                <c:pt idx="9">
                  <c:v>26.123640060424801</c:v>
                </c:pt>
                <c:pt idx="10">
                  <c:v>33.763401031494098</c:v>
                </c:pt>
                <c:pt idx="11">
                  <c:v>38.856410980224602</c:v>
                </c:pt>
                <c:pt idx="12">
                  <c:v>41.638359069824197</c:v>
                </c:pt>
                <c:pt idx="13">
                  <c:v>42.2387504577637</c:v>
                </c:pt>
                <c:pt idx="14">
                  <c:v>40.314029693603501</c:v>
                </c:pt>
                <c:pt idx="15">
                  <c:v>37.430000305175803</c:v>
                </c:pt>
                <c:pt idx="16">
                  <c:v>36.8820610046387</c:v>
                </c:pt>
                <c:pt idx="17">
                  <c:v>39.960018157958999</c:v>
                </c:pt>
                <c:pt idx="18">
                  <c:v>40.778850555419901</c:v>
                </c:pt>
                <c:pt idx="19">
                  <c:v>39.046009063720703</c:v>
                </c:pt>
                <c:pt idx="20">
                  <c:v>35.164440155029197</c:v>
                </c:pt>
                <c:pt idx="21">
                  <c:v>31.462600708007798</c:v>
                </c:pt>
                <c:pt idx="22">
                  <c:v>25.193620681762699</c:v>
                </c:pt>
                <c:pt idx="23">
                  <c:v>21.622789382934599</c:v>
                </c:pt>
                <c:pt idx="24">
                  <c:v>25.420459747314499</c:v>
                </c:pt>
                <c:pt idx="25">
                  <c:v>29.089929580688501</c:v>
                </c:pt>
                <c:pt idx="26">
                  <c:v>34.952648162841697</c:v>
                </c:pt>
                <c:pt idx="27">
                  <c:v>40.339828491210902</c:v>
                </c:pt>
                <c:pt idx="28">
                  <c:v>49.964080810546903</c:v>
                </c:pt>
                <c:pt idx="29">
                  <c:v>49.405258178710902</c:v>
                </c:pt>
                <c:pt idx="30">
                  <c:v>54.443538665771499</c:v>
                </c:pt>
                <c:pt idx="31">
                  <c:v>60.262241363525398</c:v>
                </c:pt>
                <c:pt idx="32">
                  <c:v>63.458671569824197</c:v>
                </c:pt>
                <c:pt idx="33">
                  <c:v>64.816902160644503</c:v>
                </c:pt>
                <c:pt idx="34">
                  <c:v>67.752471923828097</c:v>
                </c:pt>
                <c:pt idx="35">
                  <c:v>79.013397216796903</c:v>
                </c:pt>
                <c:pt idx="36">
                  <c:v>83.327651977539105</c:v>
                </c:pt>
                <c:pt idx="37">
                  <c:v>89.165466308593807</c:v>
                </c:pt>
                <c:pt idx="38">
                  <c:v>94.822853088378906</c:v>
                </c:pt>
                <c:pt idx="39">
                  <c:v>93.502357482910199</c:v>
                </c:pt>
                <c:pt idx="40">
                  <c:v>91.775962829589801</c:v>
                </c:pt>
                <c:pt idx="41">
                  <c:v>94.500572204589801</c:v>
                </c:pt>
                <c:pt idx="42">
                  <c:v>94.550750732421903</c:v>
                </c:pt>
                <c:pt idx="43">
                  <c:v>0</c:v>
                </c:pt>
                <c:pt idx="44">
                  <c:v>99.923202514648395</c:v>
                </c:pt>
                <c:pt idx="45">
                  <c:v>101.944229125977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137-BF54-DD1E33F2C01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prevision15!$H$30:$H$90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prevision15!$J$30:$J$90</c:f>
              <c:numCache>
                <c:formatCode>General</c:formatCode>
                <c:ptCount val="61"/>
                <c:pt idx="47">
                  <c:v>0</c:v>
                </c:pt>
                <c:pt idx="48">
                  <c:v>75.646834866374775</c:v>
                </c:pt>
                <c:pt idx="49">
                  <c:v>76.912117229527212</c:v>
                </c:pt>
                <c:pt idx="50">
                  <c:v>78.177399592679649</c:v>
                </c:pt>
                <c:pt idx="51">
                  <c:v>79.442681955832086</c:v>
                </c:pt>
                <c:pt idx="52">
                  <c:v>80.707964318984523</c:v>
                </c:pt>
                <c:pt idx="53">
                  <c:v>81.97324668213696</c:v>
                </c:pt>
                <c:pt idx="54">
                  <c:v>83.238529045289397</c:v>
                </c:pt>
                <c:pt idx="55">
                  <c:v>84.503811408441834</c:v>
                </c:pt>
                <c:pt idx="56">
                  <c:v>85.769093771594271</c:v>
                </c:pt>
                <c:pt idx="57">
                  <c:v>87.034376134746708</c:v>
                </c:pt>
                <c:pt idx="58">
                  <c:v>88.299658497899145</c:v>
                </c:pt>
                <c:pt idx="59">
                  <c:v>89.564940861051582</c:v>
                </c:pt>
                <c:pt idx="60">
                  <c:v>90.830223224204019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137-BF54-DD1E33F2C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3995816"/>
        <c:axId val="744001064"/>
      </c:lineChart>
      <c:catAx>
        <c:axId val="743995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001064"/>
        <c:crosses val="autoZero"/>
        <c:auto val="1"/>
        <c:lblAlgn val="ctr"/>
        <c:lblOffset val="100"/>
        <c:noMultiLvlLbl val="0"/>
      </c:catAx>
      <c:valAx>
        <c:axId val="744001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399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altLang="zh-CN" sz="1400" b="0" i="0" baseline="0">
                <a:effectLst/>
              </a:rPr>
              <a:t>Children out of school (% of primary school age)</a:t>
            </a:r>
            <a:endParaRPr lang="zh-CN" altLang="zh-CN" sz="14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prevision13!$H$26:$H$86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prevision13!$I$26:$I$86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70.650466918945298</c:v>
                </c:pt>
                <c:pt idx="18">
                  <c:v>70.094741821289105</c:v>
                </c:pt>
                <c:pt idx="19">
                  <c:v>71.365493774414105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80.894607543945298</c:v>
                </c:pt>
                <c:pt idx="25">
                  <c:v>78.1546630859375</c:v>
                </c:pt>
                <c:pt idx="26">
                  <c:v>73.933761596679702</c:v>
                </c:pt>
                <c:pt idx="27">
                  <c:v>0</c:v>
                </c:pt>
                <c:pt idx="28">
                  <c:v>66.499549865722699</c:v>
                </c:pt>
                <c:pt idx="29">
                  <c:v>64.007720947265597</c:v>
                </c:pt>
                <c:pt idx="30">
                  <c:v>59.9315795898438</c:v>
                </c:pt>
                <c:pt idx="31">
                  <c:v>55.669109344482401</c:v>
                </c:pt>
                <c:pt idx="32">
                  <c:v>53.435169219970703</c:v>
                </c:pt>
                <c:pt idx="33">
                  <c:v>52.647491455078097</c:v>
                </c:pt>
                <c:pt idx="34">
                  <c:v>49.771209716796903</c:v>
                </c:pt>
                <c:pt idx="35">
                  <c:v>38.842800140380902</c:v>
                </c:pt>
                <c:pt idx="36">
                  <c:v>34.163490295410199</c:v>
                </c:pt>
                <c:pt idx="37">
                  <c:v>28.994960784912099</c:v>
                </c:pt>
                <c:pt idx="38">
                  <c:v>23.365360260009801</c:v>
                </c:pt>
                <c:pt idx="39">
                  <c:v>23.799770355224599</c:v>
                </c:pt>
                <c:pt idx="40">
                  <c:v>25.711769104003899</c:v>
                </c:pt>
                <c:pt idx="41">
                  <c:v>21.749940872192401</c:v>
                </c:pt>
                <c:pt idx="42">
                  <c:v>20.509889602661101</c:v>
                </c:pt>
                <c:pt idx="43">
                  <c:v>0</c:v>
                </c:pt>
                <c:pt idx="44">
                  <c:v>13.6830501556396</c:v>
                </c:pt>
                <c:pt idx="45">
                  <c:v>13.980970382690399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71-4DD2-9D57-363BAA6532A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prevision13!$H$26:$H$86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prevision13!$J$26:$J$86</c:f>
              <c:numCache>
                <c:formatCode>General</c:formatCode>
                <c:ptCount val="61"/>
                <c:pt idx="47">
                  <c:v>0</c:v>
                </c:pt>
                <c:pt idx="48">
                  <c:v>38.306043736478159</c:v>
                </c:pt>
                <c:pt idx="49">
                  <c:v>38.941105413788819</c:v>
                </c:pt>
                <c:pt idx="50">
                  <c:v>39.576167091099705</c:v>
                </c:pt>
                <c:pt idx="51">
                  <c:v>40.211228768410365</c:v>
                </c:pt>
                <c:pt idx="52">
                  <c:v>40.846290445721252</c:v>
                </c:pt>
                <c:pt idx="53">
                  <c:v>41.481352123031911</c:v>
                </c:pt>
                <c:pt idx="54">
                  <c:v>42.116413800342571</c:v>
                </c:pt>
                <c:pt idx="55">
                  <c:v>42.751475477653457</c:v>
                </c:pt>
                <c:pt idx="56">
                  <c:v>43.386537154964117</c:v>
                </c:pt>
                <c:pt idx="57">
                  <c:v>44.021598832275004</c:v>
                </c:pt>
                <c:pt idx="58">
                  <c:v>44.656660509585663</c:v>
                </c:pt>
                <c:pt idx="59">
                  <c:v>45.29172218689655</c:v>
                </c:pt>
                <c:pt idx="60">
                  <c:v>45.926783864207209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71-4DD2-9D57-363BAA653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4017792"/>
        <c:axId val="744021400"/>
      </c:lineChart>
      <c:catAx>
        <c:axId val="74401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021400"/>
        <c:crosses val="autoZero"/>
        <c:auto val="1"/>
        <c:lblAlgn val="ctr"/>
        <c:lblOffset val="100"/>
        <c:noMultiLvlLbl val="0"/>
      </c:catAx>
      <c:valAx>
        <c:axId val="744021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01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1.0094925634295713E-2"/>
                  <c:y val="-9.7934893554972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numRef>
              <c:f>prevision13!$B$26:$B$86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prevision13!$C$26:$C$86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70.650466918945298</c:v>
                </c:pt>
                <c:pt idx="18">
                  <c:v>70.094741821289105</c:v>
                </c:pt>
                <c:pt idx="19">
                  <c:v>71.365493774414105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80.894607543945298</c:v>
                </c:pt>
                <c:pt idx="25">
                  <c:v>78.1546630859375</c:v>
                </c:pt>
                <c:pt idx="26">
                  <c:v>73.933761596679702</c:v>
                </c:pt>
                <c:pt idx="27">
                  <c:v>0</c:v>
                </c:pt>
                <c:pt idx="28">
                  <c:v>66.499549865722699</c:v>
                </c:pt>
                <c:pt idx="29">
                  <c:v>64.007720947265597</c:v>
                </c:pt>
                <c:pt idx="30">
                  <c:v>59.9315795898438</c:v>
                </c:pt>
                <c:pt idx="31">
                  <c:v>55.669109344482401</c:v>
                </c:pt>
                <c:pt idx="32">
                  <c:v>53.435169219970703</c:v>
                </c:pt>
                <c:pt idx="33">
                  <c:v>52.647491455078097</c:v>
                </c:pt>
                <c:pt idx="34">
                  <c:v>49.771209716796903</c:v>
                </c:pt>
                <c:pt idx="35">
                  <c:v>38.842800140380902</c:v>
                </c:pt>
                <c:pt idx="36">
                  <c:v>34.163490295410199</c:v>
                </c:pt>
                <c:pt idx="37">
                  <c:v>28.994960784912099</c:v>
                </c:pt>
                <c:pt idx="38">
                  <c:v>23.365360260009801</c:v>
                </c:pt>
                <c:pt idx="39">
                  <c:v>23.799770355224599</c:v>
                </c:pt>
                <c:pt idx="40">
                  <c:v>25.711769104003899</c:v>
                </c:pt>
                <c:pt idx="41">
                  <c:v>21.749940872192401</c:v>
                </c:pt>
                <c:pt idx="42">
                  <c:v>20.509889602661101</c:v>
                </c:pt>
                <c:pt idx="43">
                  <c:v>0</c:v>
                </c:pt>
                <c:pt idx="44">
                  <c:v>13.6830501556396</c:v>
                </c:pt>
                <c:pt idx="45">
                  <c:v>13.980970382690399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5A-494B-B6C8-EB5067DE048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prevision13!$B$26:$B$86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prevision13!$D$26:$D$86</c:f>
              <c:numCache>
                <c:formatCode>General</c:formatCode>
                <c:ptCount val="61"/>
                <c:pt idx="47">
                  <c:v>0</c:v>
                </c:pt>
                <c:pt idx="48">
                  <c:v>38.306043736478159</c:v>
                </c:pt>
                <c:pt idx="49">
                  <c:v>38.941105413788819</c:v>
                </c:pt>
                <c:pt idx="50">
                  <c:v>39.576167091099705</c:v>
                </c:pt>
                <c:pt idx="51">
                  <c:v>40.211228768410365</c:v>
                </c:pt>
                <c:pt idx="52">
                  <c:v>40.846290445721252</c:v>
                </c:pt>
                <c:pt idx="53">
                  <c:v>41.481352123031911</c:v>
                </c:pt>
                <c:pt idx="54">
                  <c:v>42.116413800342571</c:v>
                </c:pt>
                <c:pt idx="55">
                  <c:v>42.751475477653457</c:v>
                </c:pt>
                <c:pt idx="56">
                  <c:v>43.386537154964117</c:v>
                </c:pt>
                <c:pt idx="57">
                  <c:v>44.021598832275004</c:v>
                </c:pt>
                <c:pt idx="58">
                  <c:v>44.656660509585663</c:v>
                </c:pt>
                <c:pt idx="59">
                  <c:v>45.29172218689655</c:v>
                </c:pt>
                <c:pt idx="60">
                  <c:v>45.926783864207209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5A-494B-B6C8-EB5067DE0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2879856"/>
        <c:axId val="732879528"/>
      </c:lineChart>
      <c:catAx>
        <c:axId val="73287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2879528"/>
        <c:crosses val="autoZero"/>
        <c:auto val="1"/>
        <c:lblAlgn val="ctr"/>
        <c:lblOffset val="100"/>
        <c:noMultiLvlLbl val="0"/>
      </c:catAx>
      <c:valAx>
        <c:axId val="732879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287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[indicateur de l'education.xlsm]Indicateur13!数据透视表9</c:name>
    <c:fmtId val="1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</a:ln>
            <a:effectLst/>
          </c:spPr>
        </c:marker>
      </c:pivotFmt>
      <c:pivotFmt>
        <c:idx val="29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Indicateur13!$K$5:$K$6</c:f>
              <c:strCache>
                <c:ptCount val="1"/>
                <c:pt idx="0">
                  <c:v>Ethiopia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Indicateur13!$J$7:$J$54</c:f>
              <c:strCache>
                <c:ptCount val="48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</c:strCache>
            </c:strRef>
          </c:cat>
          <c:val>
            <c:numRef>
              <c:f>Indicateur13!$K$7:$K$54</c:f>
              <c:numCache>
                <c:formatCode>General</c:formatCode>
                <c:ptCount val="48"/>
                <c:pt idx="17">
                  <c:v>70.650466918945298</c:v>
                </c:pt>
                <c:pt idx="18">
                  <c:v>70.094741821289105</c:v>
                </c:pt>
                <c:pt idx="19">
                  <c:v>71.365493774414105</c:v>
                </c:pt>
                <c:pt idx="24">
                  <c:v>80.894607543945298</c:v>
                </c:pt>
                <c:pt idx="25">
                  <c:v>78.1546630859375</c:v>
                </c:pt>
                <c:pt idx="26">
                  <c:v>73.933761596679702</c:v>
                </c:pt>
                <c:pt idx="28">
                  <c:v>66.499549865722699</c:v>
                </c:pt>
                <c:pt idx="29">
                  <c:v>64.007720947265597</c:v>
                </c:pt>
                <c:pt idx="30">
                  <c:v>59.9315795898438</c:v>
                </c:pt>
                <c:pt idx="31">
                  <c:v>55.669109344482401</c:v>
                </c:pt>
                <c:pt idx="32">
                  <c:v>53.435169219970703</c:v>
                </c:pt>
                <c:pt idx="33">
                  <c:v>52.647491455078097</c:v>
                </c:pt>
                <c:pt idx="34">
                  <c:v>49.771209716796903</c:v>
                </c:pt>
                <c:pt idx="35">
                  <c:v>38.842800140380902</c:v>
                </c:pt>
                <c:pt idx="36">
                  <c:v>34.163490295410199</c:v>
                </c:pt>
                <c:pt idx="37">
                  <c:v>28.994960784912099</c:v>
                </c:pt>
                <c:pt idx="38">
                  <c:v>23.365360260009801</c:v>
                </c:pt>
                <c:pt idx="39">
                  <c:v>23.799770355224599</c:v>
                </c:pt>
                <c:pt idx="40">
                  <c:v>25.711769104003899</c:v>
                </c:pt>
                <c:pt idx="41">
                  <c:v>21.749940872192401</c:v>
                </c:pt>
                <c:pt idx="42">
                  <c:v>20.509889602661101</c:v>
                </c:pt>
                <c:pt idx="44">
                  <c:v>13.6830501556396</c:v>
                </c:pt>
                <c:pt idx="45">
                  <c:v>13.980970382690399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50-4496-A345-DFCA55170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8346880"/>
        <c:axId val="968344584"/>
      </c:lineChart>
      <c:catAx>
        <c:axId val="968346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8344584"/>
        <c:crosses val="autoZero"/>
        <c:auto val="1"/>
        <c:lblAlgn val="ctr"/>
        <c:lblOffset val="100"/>
        <c:noMultiLvlLbl val="0"/>
      </c:catAx>
      <c:valAx>
        <c:axId val="968344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8346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1.2990594925634296E-2"/>
                  <c:y val="-6.152303878681831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numRef>
              <c:f>prevision14!$B$22:$B$72</c:f>
              <c:numCache>
                <c:formatCode>General</c:formatCode>
                <c:ptCount val="51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  <c:pt idx="42">
                  <c:v>2022</c:v>
                </c:pt>
                <c:pt idx="43">
                  <c:v>2023</c:v>
                </c:pt>
                <c:pt idx="44">
                  <c:v>2024</c:v>
                </c:pt>
                <c:pt idx="45">
                  <c:v>2025</c:v>
                </c:pt>
                <c:pt idx="46">
                  <c:v>2026</c:v>
                </c:pt>
                <c:pt idx="47">
                  <c:v>2027</c:v>
                </c:pt>
                <c:pt idx="48">
                  <c:v>2028</c:v>
                </c:pt>
                <c:pt idx="49">
                  <c:v>2029</c:v>
                </c:pt>
                <c:pt idx="50">
                  <c:v>2030</c:v>
                </c:pt>
              </c:numCache>
            </c:numRef>
          </c:cat>
          <c:val>
            <c:numRef>
              <c:f>prevision14!$C$22:$C$72</c:f>
              <c:numCache>
                <c:formatCode>General</c:formatCode>
                <c:ptCount val="51"/>
                <c:pt idx="0">
                  <c:v>12.3555402755737</c:v>
                </c:pt>
                <c:pt idx="1">
                  <c:v>12.4869899749756</c:v>
                </c:pt>
                <c:pt idx="2">
                  <c:v>12.178170204162599</c:v>
                </c:pt>
                <c:pt idx="3">
                  <c:v>9.7013196945190394</c:v>
                </c:pt>
                <c:pt idx="4">
                  <c:v>11.8201303482056</c:v>
                </c:pt>
                <c:pt idx="5">
                  <c:v>10.0891304016113</c:v>
                </c:pt>
                <c:pt idx="6">
                  <c:v>10.321749687194799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13.264840126037599</c:v>
                </c:pt>
                <c:pt idx="14">
                  <c:v>0</c:v>
                </c:pt>
                <c:pt idx="15">
                  <c:v>0</c:v>
                </c:pt>
                <c:pt idx="16">
                  <c:v>13.044139862060501</c:v>
                </c:pt>
                <c:pt idx="17">
                  <c:v>14.8699197769165</c:v>
                </c:pt>
                <c:pt idx="18">
                  <c:v>0</c:v>
                </c:pt>
                <c:pt idx="19">
                  <c:v>0</c:v>
                </c:pt>
                <c:pt idx="20">
                  <c:v>14.9077301025391</c:v>
                </c:pt>
                <c:pt idx="21">
                  <c:v>14.4617700576782</c:v>
                </c:pt>
                <c:pt idx="22">
                  <c:v>16.187749862670799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23.975379943847699</c:v>
                </c:pt>
                <c:pt idx="27">
                  <c:v>24.699449539184599</c:v>
                </c:pt>
                <c:pt idx="28">
                  <c:v>26.355730056762699</c:v>
                </c:pt>
                <c:pt idx="29">
                  <c:v>23.5837497711182</c:v>
                </c:pt>
                <c:pt idx="30">
                  <c:v>26.304040908813501</c:v>
                </c:pt>
                <c:pt idx="31">
                  <c:v>29.674430847168001</c:v>
                </c:pt>
                <c:pt idx="32">
                  <c:v>30.5395393371582</c:v>
                </c:pt>
                <c:pt idx="33">
                  <c:v>27.0210990905762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7A-4050-AFD0-5EA801AA103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prevision14!$B$22:$B$72</c:f>
              <c:numCache>
                <c:formatCode>General</c:formatCode>
                <c:ptCount val="51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  <c:pt idx="42">
                  <c:v>2022</c:v>
                </c:pt>
                <c:pt idx="43">
                  <c:v>2023</c:v>
                </c:pt>
                <c:pt idx="44">
                  <c:v>2024</c:v>
                </c:pt>
                <c:pt idx="45">
                  <c:v>2025</c:v>
                </c:pt>
                <c:pt idx="46">
                  <c:v>2026</c:v>
                </c:pt>
                <c:pt idx="47">
                  <c:v>2027</c:v>
                </c:pt>
                <c:pt idx="48">
                  <c:v>2028</c:v>
                </c:pt>
                <c:pt idx="49">
                  <c:v>2029</c:v>
                </c:pt>
                <c:pt idx="50">
                  <c:v>2030</c:v>
                </c:pt>
              </c:numCache>
            </c:numRef>
          </c:cat>
          <c:val>
            <c:numRef>
              <c:f>prevision14!$D$22:$D$72</c:f>
              <c:numCache>
                <c:formatCode>General</c:formatCode>
                <c:ptCount val="51"/>
                <c:pt idx="36">
                  <c:v>0</c:v>
                </c:pt>
                <c:pt idx="37">
                  <c:v>16.097014152251973</c:v>
                </c:pt>
                <c:pt idx="38">
                  <c:v>16.406753730864352</c:v>
                </c:pt>
                <c:pt idx="39">
                  <c:v>16.716493309476846</c:v>
                </c:pt>
                <c:pt idx="40">
                  <c:v>17.026232888089339</c:v>
                </c:pt>
                <c:pt idx="41">
                  <c:v>17.335972466701719</c:v>
                </c:pt>
                <c:pt idx="42">
                  <c:v>17.645712045314212</c:v>
                </c:pt>
                <c:pt idx="43">
                  <c:v>17.955451623926592</c:v>
                </c:pt>
                <c:pt idx="44">
                  <c:v>18.265191202539086</c:v>
                </c:pt>
                <c:pt idx="45">
                  <c:v>18.574930781151465</c:v>
                </c:pt>
                <c:pt idx="46">
                  <c:v>18.884670359763959</c:v>
                </c:pt>
                <c:pt idx="47">
                  <c:v>19.194409938376339</c:v>
                </c:pt>
                <c:pt idx="48">
                  <c:v>19.504149516988832</c:v>
                </c:pt>
                <c:pt idx="49">
                  <c:v>19.813889095601212</c:v>
                </c:pt>
                <c:pt idx="50">
                  <c:v>20.123628674213705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7A-4050-AFD0-5EA801AA1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4020696"/>
        <c:axId val="329820016"/>
      </c:lineChart>
      <c:catAx>
        <c:axId val="604020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9820016"/>
        <c:crosses val="autoZero"/>
        <c:auto val="1"/>
        <c:lblAlgn val="ctr"/>
        <c:lblOffset val="100"/>
        <c:noMultiLvlLbl val="0"/>
      </c:catAx>
      <c:valAx>
        <c:axId val="32982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402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[indicateur de l'education.xlsm]Indicateur14!数据透视表10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</a:ln>
            <a:effectLst/>
          </c:spPr>
        </c:marker>
      </c:pivotFmt>
      <c:pivotFmt>
        <c:idx val="24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Indicateur14!$K$5:$K$6</c:f>
              <c:strCache>
                <c:ptCount val="1"/>
                <c:pt idx="0">
                  <c:v>Ethiopia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Indicateur14!$J$7:$J$43</c:f>
              <c:strCache>
                <c:ptCount val="37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</c:strCache>
            </c:strRef>
          </c:cat>
          <c:val>
            <c:numRef>
              <c:f>Indicateur14!$K$7:$K$43</c:f>
              <c:numCache>
                <c:formatCode>General</c:formatCode>
                <c:ptCount val="37"/>
                <c:pt idx="0">
                  <c:v>12.3555402755737</c:v>
                </c:pt>
                <c:pt idx="1">
                  <c:v>12.4869899749756</c:v>
                </c:pt>
                <c:pt idx="2">
                  <c:v>12.178170204162599</c:v>
                </c:pt>
                <c:pt idx="3">
                  <c:v>9.7013196945190394</c:v>
                </c:pt>
                <c:pt idx="4">
                  <c:v>11.8201303482056</c:v>
                </c:pt>
                <c:pt idx="5">
                  <c:v>10.0891304016113</c:v>
                </c:pt>
                <c:pt idx="6">
                  <c:v>10.321749687194799</c:v>
                </c:pt>
                <c:pt idx="13">
                  <c:v>13.264840126037599</c:v>
                </c:pt>
                <c:pt idx="16">
                  <c:v>13.044139862060501</c:v>
                </c:pt>
                <c:pt idx="17">
                  <c:v>14.8699197769165</c:v>
                </c:pt>
                <c:pt idx="20">
                  <c:v>14.9077301025391</c:v>
                </c:pt>
                <c:pt idx="21">
                  <c:v>14.4617700576782</c:v>
                </c:pt>
                <c:pt idx="22">
                  <c:v>16.187749862670799</c:v>
                </c:pt>
                <c:pt idx="26">
                  <c:v>23.975379943847699</c:v>
                </c:pt>
                <c:pt idx="27">
                  <c:v>24.699449539184599</c:v>
                </c:pt>
                <c:pt idx="28">
                  <c:v>26.355730056762699</c:v>
                </c:pt>
                <c:pt idx="29">
                  <c:v>23.5837497711182</c:v>
                </c:pt>
                <c:pt idx="30">
                  <c:v>26.304040908813501</c:v>
                </c:pt>
                <c:pt idx="31">
                  <c:v>29.674430847168001</c:v>
                </c:pt>
                <c:pt idx="32">
                  <c:v>30.5395393371582</c:v>
                </c:pt>
                <c:pt idx="33">
                  <c:v>27.0210990905762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3C-4B22-AA3F-D24F20CBF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9448384"/>
        <c:axId val="989448712"/>
      </c:lineChart>
      <c:catAx>
        <c:axId val="98944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9448712"/>
        <c:crosses val="autoZero"/>
        <c:auto val="1"/>
        <c:lblAlgn val="ctr"/>
        <c:lblOffset val="100"/>
        <c:noMultiLvlLbl val="0"/>
      </c:catAx>
      <c:valAx>
        <c:axId val="989448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944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numRef>
              <c:f>prevision15!$B$30:$B$90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prevision15!$C$30:$C$90</c:f>
              <c:numCache>
                <c:formatCode>General</c:formatCode>
                <c:ptCount val="61"/>
                <c:pt idx="0">
                  <c:v>0</c:v>
                </c:pt>
                <c:pt idx="1">
                  <c:v>15.02952003479</c:v>
                </c:pt>
                <c:pt idx="2">
                  <c:v>15.861590385436999</c:v>
                </c:pt>
                <c:pt idx="3">
                  <c:v>16.2753791809082</c:v>
                </c:pt>
                <c:pt idx="4">
                  <c:v>17.7330207824707</c:v>
                </c:pt>
                <c:pt idx="5">
                  <c:v>19.229900360107401</c:v>
                </c:pt>
                <c:pt idx="6">
                  <c:v>21.251789093017599</c:v>
                </c:pt>
                <c:pt idx="7">
                  <c:v>22.831239700317401</c:v>
                </c:pt>
                <c:pt idx="8">
                  <c:v>21.956119537353501</c:v>
                </c:pt>
                <c:pt idx="9">
                  <c:v>26.123640060424801</c:v>
                </c:pt>
                <c:pt idx="10">
                  <c:v>33.763401031494098</c:v>
                </c:pt>
                <c:pt idx="11">
                  <c:v>38.856410980224602</c:v>
                </c:pt>
                <c:pt idx="12">
                  <c:v>41.638359069824197</c:v>
                </c:pt>
                <c:pt idx="13">
                  <c:v>42.2387504577637</c:v>
                </c:pt>
                <c:pt idx="14">
                  <c:v>40.314029693603501</c:v>
                </c:pt>
                <c:pt idx="15">
                  <c:v>37.430000305175803</c:v>
                </c:pt>
                <c:pt idx="16">
                  <c:v>36.8820610046387</c:v>
                </c:pt>
                <c:pt idx="17">
                  <c:v>39.960018157958999</c:v>
                </c:pt>
                <c:pt idx="18">
                  <c:v>40.778850555419901</c:v>
                </c:pt>
                <c:pt idx="19">
                  <c:v>39.046009063720703</c:v>
                </c:pt>
                <c:pt idx="20">
                  <c:v>35.164440155029197</c:v>
                </c:pt>
                <c:pt idx="21">
                  <c:v>31.462600708007798</c:v>
                </c:pt>
                <c:pt idx="22">
                  <c:v>25.193620681762699</c:v>
                </c:pt>
                <c:pt idx="23">
                  <c:v>21.622789382934599</c:v>
                </c:pt>
                <c:pt idx="24">
                  <c:v>25.420459747314499</c:v>
                </c:pt>
                <c:pt idx="25">
                  <c:v>29.089929580688501</c:v>
                </c:pt>
                <c:pt idx="26">
                  <c:v>34.952648162841697</c:v>
                </c:pt>
                <c:pt idx="27">
                  <c:v>40.339828491210902</c:v>
                </c:pt>
                <c:pt idx="28">
                  <c:v>49.964080810546903</c:v>
                </c:pt>
                <c:pt idx="29">
                  <c:v>49.405258178710902</c:v>
                </c:pt>
                <c:pt idx="30">
                  <c:v>54.443538665771499</c:v>
                </c:pt>
                <c:pt idx="31">
                  <c:v>60.262241363525398</c:v>
                </c:pt>
                <c:pt idx="32">
                  <c:v>63.458671569824197</c:v>
                </c:pt>
                <c:pt idx="33">
                  <c:v>64.816902160644503</c:v>
                </c:pt>
                <c:pt idx="34">
                  <c:v>67.752471923828097</c:v>
                </c:pt>
                <c:pt idx="35">
                  <c:v>79.013397216796903</c:v>
                </c:pt>
                <c:pt idx="36">
                  <c:v>83.327651977539105</c:v>
                </c:pt>
                <c:pt idx="37">
                  <c:v>89.165466308593807</c:v>
                </c:pt>
                <c:pt idx="38">
                  <c:v>94.822853088378906</c:v>
                </c:pt>
                <c:pt idx="39">
                  <c:v>93.502357482910199</c:v>
                </c:pt>
                <c:pt idx="40">
                  <c:v>91.775962829589801</c:v>
                </c:pt>
                <c:pt idx="41">
                  <c:v>94.500572204589801</c:v>
                </c:pt>
                <c:pt idx="42">
                  <c:v>94.550750732421903</c:v>
                </c:pt>
                <c:pt idx="43">
                  <c:v>0</c:v>
                </c:pt>
                <c:pt idx="44">
                  <c:v>99.923202514648395</c:v>
                </c:pt>
                <c:pt idx="45">
                  <c:v>101.944229125977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3D-4BEC-8F58-43C2F867BFF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prevision15!$B$30:$B$90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prevision15!$D$30:$D$90</c:f>
              <c:numCache>
                <c:formatCode>General</c:formatCode>
                <c:ptCount val="61"/>
                <c:pt idx="47">
                  <c:v>0</c:v>
                </c:pt>
                <c:pt idx="48">
                  <c:v>75.646834866374775</c:v>
                </c:pt>
                <c:pt idx="49">
                  <c:v>76.912117229527212</c:v>
                </c:pt>
                <c:pt idx="50">
                  <c:v>78.177399592679649</c:v>
                </c:pt>
                <c:pt idx="51">
                  <c:v>79.442681955832086</c:v>
                </c:pt>
                <c:pt idx="52">
                  <c:v>80.707964318984523</c:v>
                </c:pt>
                <c:pt idx="53">
                  <c:v>81.97324668213696</c:v>
                </c:pt>
                <c:pt idx="54">
                  <c:v>83.238529045289397</c:v>
                </c:pt>
                <c:pt idx="55">
                  <c:v>84.503811408441834</c:v>
                </c:pt>
                <c:pt idx="56">
                  <c:v>85.769093771594271</c:v>
                </c:pt>
                <c:pt idx="57">
                  <c:v>87.034376134746708</c:v>
                </c:pt>
                <c:pt idx="58">
                  <c:v>88.299658497899145</c:v>
                </c:pt>
                <c:pt idx="59">
                  <c:v>89.564940861051582</c:v>
                </c:pt>
                <c:pt idx="60">
                  <c:v>90.830223224204019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3D-4BEC-8F58-43C2F867B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9436248"/>
        <c:axId val="989436576"/>
      </c:lineChart>
      <c:catAx>
        <c:axId val="989436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9436576"/>
        <c:crosses val="autoZero"/>
        <c:auto val="1"/>
        <c:lblAlgn val="ctr"/>
        <c:lblOffset val="100"/>
        <c:noMultiLvlLbl val="0"/>
      </c:catAx>
      <c:valAx>
        <c:axId val="98943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943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[indicateur de l'education.xlsm]Indicateur15!数据透视表11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altLang="zh-CN"/>
              <a:t>School enrollment, primary (% gross)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Indicateur15!$K$5:$K$6</c:f>
              <c:strCache>
                <c:ptCount val="1"/>
                <c:pt idx="0">
                  <c:v>Ethiopia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Indicateur15!$J$7:$J$54</c:f>
              <c:strCache>
                <c:ptCount val="48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</c:strCache>
            </c:strRef>
          </c:cat>
          <c:val>
            <c:numRef>
              <c:f>Indicateur15!$K$7:$K$54</c:f>
              <c:numCache>
                <c:formatCode>General</c:formatCode>
                <c:ptCount val="48"/>
                <c:pt idx="1">
                  <c:v>15.02952003479</c:v>
                </c:pt>
                <c:pt idx="2">
                  <c:v>15.861590385436999</c:v>
                </c:pt>
                <c:pt idx="3">
                  <c:v>16.2753791809082</c:v>
                </c:pt>
                <c:pt idx="4">
                  <c:v>17.7330207824707</c:v>
                </c:pt>
                <c:pt idx="5">
                  <c:v>19.229900360107401</c:v>
                </c:pt>
                <c:pt idx="6">
                  <c:v>21.251789093017599</c:v>
                </c:pt>
                <c:pt idx="7">
                  <c:v>22.831239700317401</c:v>
                </c:pt>
                <c:pt idx="8">
                  <c:v>21.956119537353501</c:v>
                </c:pt>
                <c:pt idx="9">
                  <c:v>26.123640060424801</c:v>
                </c:pt>
                <c:pt idx="10">
                  <c:v>33.763401031494098</c:v>
                </c:pt>
                <c:pt idx="11">
                  <c:v>38.856410980224602</c:v>
                </c:pt>
                <c:pt idx="12">
                  <c:v>41.638359069824197</c:v>
                </c:pt>
                <c:pt idx="13">
                  <c:v>42.2387504577637</c:v>
                </c:pt>
                <c:pt idx="14">
                  <c:v>40.314029693603501</c:v>
                </c:pt>
                <c:pt idx="15">
                  <c:v>37.430000305175803</c:v>
                </c:pt>
                <c:pt idx="16">
                  <c:v>36.8820610046387</c:v>
                </c:pt>
                <c:pt idx="17">
                  <c:v>39.960018157958999</c:v>
                </c:pt>
                <c:pt idx="18">
                  <c:v>40.778850555419901</c:v>
                </c:pt>
                <c:pt idx="19">
                  <c:v>39.046009063720703</c:v>
                </c:pt>
                <c:pt idx="20">
                  <c:v>35.164440155029197</c:v>
                </c:pt>
                <c:pt idx="21">
                  <c:v>31.462600708007798</c:v>
                </c:pt>
                <c:pt idx="22">
                  <c:v>25.193620681762699</c:v>
                </c:pt>
                <c:pt idx="23">
                  <c:v>21.622789382934599</c:v>
                </c:pt>
                <c:pt idx="24">
                  <c:v>25.420459747314499</c:v>
                </c:pt>
                <c:pt idx="25">
                  <c:v>29.089929580688501</c:v>
                </c:pt>
                <c:pt idx="26">
                  <c:v>34.952648162841697</c:v>
                </c:pt>
                <c:pt idx="27">
                  <c:v>40.339828491210902</c:v>
                </c:pt>
                <c:pt idx="28">
                  <c:v>49.964080810546903</c:v>
                </c:pt>
                <c:pt idx="29">
                  <c:v>49.405258178710902</c:v>
                </c:pt>
                <c:pt idx="30">
                  <c:v>54.443538665771499</c:v>
                </c:pt>
                <c:pt idx="31">
                  <c:v>60.262241363525398</c:v>
                </c:pt>
                <c:pt idx="32">
                  <c:v>63.458671569824197</c:v>
                </c:pt>
                <c:pt idx="33">
                  <c:v>64.816902160644503</c:v>
                </c:pt>
                <c:pt idx="34">
                  <c:v>67.752471923828097</c:v>
                </c:pt>
                <c:pt idx="35">
                  <c:v>79.013397216796903</c:v>
                </c:pt>
                <c:pt idx="36">
                  <c:v>83.327651977539105</c:v>
                </c:pt>
                <c:pt idx="37">
                  <c:v>89.165466308593807</c:v>
                </c:pt>
                <c:pt idx="38">
                  <c:v>94.822853088378906</c:v>
                </c:pt>
                <c:pt idx="39">
                  <c:v>93.502357482910199</c:v>
                </c:pt>
                <c:pt idx="40">
                  <c:v>91.775962829589801</c:v>
                </c:pt>
                <c:pt idx="41">
                  <c:v>94.500572204589801</c:v>
                </c:pt>
                <c:pt idx="42">
                  <c:v>94.550750732421903</c:v>
                </c:pt>
                <c:pt idx="44">
                  <c:v>99.923202514648395</c:v>
                </c:pt>
                <c:pt idx="45">
                  <c:v>101.944229125977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07-4847-8117-FFC19C3A4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91928"/>
        <c:axId val="614588320"/>
      </c:lineChart>
      <c:catAx>
        <c:axId val="614591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4588320"/>
        <c:crosses val="autoZero"/>
        <c:auto val="1"/>
        <c:lblAlgn val="ctr"/>
        <c:lblOffset val="100"/>
        <c:noMultiLvlLbl val="0"/>
      </c:catAx>
      <c:valAx>
        <c:axId val="61458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4591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1.0094925634295713E-2"/>
                  <c:y val="-9.7934893554972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numRef>
              <c:f>prevision13!$B$26:$B$86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prevision13!$C$26:$C$86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70.650466918945298</c:v>
                </c:pt>
                <c:pt idx="18">
                  <c:v>70.094741821289105</c:v>
                </c:pt>
                <c:pt idx="19">
                  <c:v>71.365493774414105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80.894607543945298</c:v>
                </c:pt>
                <c:pt idx="25">
                  <c:v>78.1546630859375</c:v>
                </c:pt>
                <c:pt idx="26">
                  <c:v>73.933761596679702</c:v>
                </c:pt>
                <c:pt idx="27">
                  <c:v>0</c:v>
                </c:pt>
                <c:pt idx="28">
                  <c:v>66.499549865722699</c:v>
                </c:pt>
                <c:pt idx="29">
                  <c:v>64.007720947265597</c:v>
                </c:pt>
                <c:pt idx="30">
                  <c:v>59.9315795898438</c:v>
                </c:pt>
                <c:pt idx="31">
                  <c:v>55.669109344482401</c:v>
                </c:pt>
                <c:pt idx="32">
                  <c:v>53.435169219970703</c:v>
                </c:pt>
                <c:pt idx="33">
                  <c:v>52.647491455078097</c:v>
                </c:pt>
                <c:pt idx="34">
                  <c:v>49.771209716796903</c:v>
                </c:pt>
                <c:pt idx="35">
                  <c:v>38.842800140380902</c:v>
                </c:pt>
                <c:pt idx="36">
                  <c:v>34.163490295410199</c:v>
                </c:pt>
                <c:pt idx="37">
                  <c:v>28.994960784912099</c:v>
                </c:pt>
                <c:pt idx="38">
                  <c:v>23.365360260009801</c:v>
                </c:pt>
                <c:pt idx="39">
                  <c:v>23.799770355224599</c:v>
                </c:pt>
                <c:pt idx="40">
                  <c:v>25.711769104003899</c:v>
                </c:pt>
                <c:pt idx="41">
                  <c:v>21.749940872192401</c:v>
                </c:pt>
                <c:pt idx="42">
                  <c:v>20.509889602661101</c:v>
                </c:pt>
                <c:pt idx="43">
                  <c:v>0</c:v>
                </c:pt>
                <c:pt idx="44">
                  <c:v>13.6830501556396</c:v>
                </c:pt>
                <c:pt idx="45">
                  <c:v>13.980970382690399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12-4174-9B11-748BA3B6408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prevision13!$B$26:$B$86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prevision13!$D$26:$D$86</c:f>
              <c:numCache>
                <c:formatCode>General</c:formatCode>
                <c:ptCount val="61"/>
                <c:pt idx="47">
                  <c:v>0</c:v>
                </c:pt>
                <c:pt idx="48">
                  <c:v>38.306043736478159</c:v>
                </c:pt>
                <c:pt idx="49">
                  <c:v>38.941105413788819</c:v>
                </c:pt>
                <c:pt idx="50">
                  <c:v>39.576167091099705</c:v>
                </c:pt>
                <c:pt idx="51">
                  <c:v>40.211228768410365</c:v>
                </c:pt>
                <c:pt idx="52">
                  <c:v>40.846290445721252</c:v>
                </c:pt>
                <c:pt idx="53">
                  <c:v>41.481352123031911</c:v>
                </c:pt>
                <c:pt idx="54">
                  <c:v>42.116413800342571</c:v>
                </c:pt>
                <c:pt idx="55">
                  <c:v>42.751475477653457</c:v>
                </c:pt>
                <c:pt idx="56">
                  <c:v>43.386537154964117</c:v>
                </c:pt>
                <c:pt idx="57">
                  <c:v>44.021598832275004</c:v>
                </c:pt>
                <c:pt idx="58">
                  <c:v>44.656660509585663</c:v>
                </c:pt>
                <c:pt idx="59">
                  <c:v>45.29172218689655</c:v>
                </c:pt>
                <c:pt idx="60">
                  <c:v>45.926783864207209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12-4174-9B11-748BA3B64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2879856"/>
        <c:axId val="732879528"/>
      </c:lineChart>
      <c:catAx>
        <c:axId val="73287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2879528"/>
        <c:crosses val="autoZero"/>
        <c:auto val="1"/>
        <c:lblAlgn val="ctr"/>
        <c:lblOffset val="100"/>
        <c:noMultiLvlLbl val="0"/>
      </c:catAx>
      <c:valAx>
        <c:axId val="732879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287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prevision13!$H$26:$H$86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prevision13!$I$26:$I$86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70.650466918945298</c:v>
                </c:pt>
                <c:pt idx="18">
                  <c:v>70.094741821289105</c:v>
                </c:pt>
                <c:pt idx="19">
                  <c:v>71.365493774414105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80.894607543945298</c:v>
                </c:pt>
                <c:pt idx="25">
                  <c:v>78.1546630859375</c:v>
                </c:pt>
                <c:pt idx="26">
                  <c:v>73.933761596679702</c:v>
                </c:pt>
                <c:pt idx="27">
                  <c:v>0</c:v>
                </c:pt>
                <c:pt idx="28">
                  <c:v>66.499549865722699</c:v>
                </c:pt>
                <c:pt idx="29">
                  <c:v>64.007720947265597</c:v>
                </c:pt>
                <c:pt idx="30">
                  <c:v>59.9315795898438</c:v>
                </c:pt>
                <c:pt idx="31">
                  <c:v>55.669109344482401</c:v>
                </c:pt>
                <c:pt idx="32">
                  <c:v>53.435169219970703</c:v>
                </c:pt>
                <c:pt idx="33">
                  <c:v>52.647491455078097</c:v>
                </c:pt>
                <c:pt idx="34">
                  <c:v>49.771209716796903</c:v>
                </c:pt>
                <c:pt idx="35">
                  <c:v>38.842800140380902</c:v>
                </c:pt>
                <c:pt idx="36">
                  <c:v>34.163490295410199</c:v>
                </c:pt>
                <c:pt idx="37">
                  <c:v>28.994960784912099</c:v>
                </c:pt>
                <c:pt idx="38">
                  <c:v>23.365360260009801</c:v>
                </c:pt>
                <c:pt idx="39">
                  <c:v>23.799770355224599</c:v>
                </c:pt>
                <c:pt idx="40">
                  <c:v>25.711769104003899</c:v>
                </c:pt>
                <c:pt idx="41">
                  <c:v>21.749940872192401</c:v>
                </c:pt>
                <c:pt idx="42">
                  <c:v>20.509889602661101</c:v>
                </c:pt>
                <c:pt idx="43">
                  <c:v>0</c:v>
                </c:pt>
                <c:pt idx="44">
                  <c:v>13.6830501556396</c:v>
                </c:pt>
                <c:pt idx="45">
                  <c:v>13.980970382690399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03-4B1A-B74F-258D1EECB5E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prevision13!$H$26:$H$86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prevision13!$J$26:$J$86</c:f>
              <c:numCache>
                <c:formatCode>General</c:formatCode>
                <c:ptCount val="61"/>
                <c:pt idx="47">
                  <c:v>0</c:v>
                </c:pt>
                <c:pt idx="48">
                  <c:v>38.306043736478159</c:v>
                </c:pt>
                <c:pt idx="49">
                  <c:v>38.941105413788819</c:v>
                </c:pt>
                <c:pt idx="50">
                  <c:v>39.576167091099705</c:v>
                </c:pt>
                <c:pt idx="51">
                  <c:v>40.211228768410365</c:v>
                </c:pt>
                <c:pt idx="52">
                  <c:v>40.846290445721252</c:v>
                </c:pt>
                <c:pt idx="53">
                  <c:v>41.481352123031911</c:v>
                </c:pt>
                <c:pt idx="54">
                  <c:v>42.116413800342571</c:v>
                </c:pt>
                <c:pt idx="55">
                  <c:v>42.751475477653457</c:v>
                </c:pt>
                <c:pt idx="56">
                  <c:v>43.386537154964117</c:v>
                </c:pt>
                <c:pt idx="57">
                  <c:v>44.021598832275004</c:v>
                </c:pt>
                <c:pt idx="58">
                  <c:v>44.656660509585663</c:v>
                </c:pt>
                <c:pt idx="59">
                  <c:v>45.29172218689655</c:v>
                </c:pt>
                <c:pt idx="60">
                  <c:v>45.926783864207209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03-4B1A-B74F-258D1EECB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4017792"/>
        <c:axId val="744021400"/>
      </c:lineChart>
      <c:catAx>
        <c:axId val="74401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021400"/>
        <c:crosses val="autoZero"/>
        <c:auto val="1"/>
        <c:lblAlgn val="ctr"/>
        <c:lblOffset val="100"/>
        <c:noMultiLvlLbl val="0"/>
      </c:catAx>
      <c:valAx>
        <c:axId val="744021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01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1.2990594925634296E-2"/>
                  <c:y val="-6.152303878681831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numRef>
              <c:f>prevision14!$B$22:$B$72</c:f>
              <c:numCache>
                <c:formatCode>General</c:formatCode>
                <c:ptCount val="51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  <c:pt idx="42">
                  <c:v>2022</c:v>
                </c:pt>
                <c:pt idx="43">
                  <c:v>2023</c:v>
                </c:pt>
                <c:pt idx="44">
                  <c:v>2024</c:v>
                </c:pt>
                <c:pt idx="45">
                  <c:v>2025</c:v>
                </c:pt>
                <c:pt idx="46">
                  <c:v>2026</c:v>
                </c:pt>
                <c:pt idx="47">
                  <c:v>2027</c:v>
                </c:pt>
                <c:pt idx="48">
                  <c:v>2028</c:v>
                </c:pt>
                <c:pt idx="49">
                  <c:v>2029</c:v>
                </c:pt>
                <c:pt idx="50">
                  <c:v>2030</c:v>
                </c:pt>
              </c:numCache>
            </c:numRef>
          </c:cat>
          <c:val>
            <c:numRef>
              <c:f>prevision14!$C$22:$C$72</c:f>
              <c:numCache>
                <c:formatCode>General</c:formatCode>
                <c:ptCount val="51"/>
                <c:pt idx="0">
                  <c:v>12.3555402755737</c:v>
                </c:pt>
                <c:pt idx="1">
                  <c:v>12.4869899749756</c:v>
                </c:pt>
                <c:pt idx="2">
                  <c:v>12.178170204162599</c:v>
                </c:pt>
                <c:pt idx="3">
                  <c:v>9.7013196945190394</c:v>
                </c:pt>
                <c:pt idx="4">
                  <c:v>11.8201303482056</c:v>
                </c:pt>
                <c:pt idx="5">
                  <c:v>10.0891304016113</c:v>
                </c:pt>
                <c:pt idx="6">
                  <c:v>10.321749687194799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13.264840126037599</c:v>
                </c:pt>
                <c:pt idx="14">
                  <c:v>0</c:v>
                </c:pt>
                <c:pt idx="15">
                  <c:v>0</c:v>
                </c:pt>
                <c:pt idx="16">
                  <c:v>13.044139862060501</c:v>
                </c:pt>
                <c:pt idx="17">
                  <c:v>14.8699197769165</c:v>
                </c:pt>
                <c:pt idx="18">
                  <c:v>0</c:v>
                </c:pt>
                <c:pt idx="19">
                  <c:v>0</c:v>
                </c:pt>
                <c:pt idx="20">
                  <c:v>14.9077301025391</c:v>
                </c:pt>
                <c:pt idx="21">
                  <c:v>14.4617700576782</c:v>
                </c:pt>
                <c:pt idx="22">
                  <c:v>16.187749862670799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23.975379943847699</c:v>
                </c:pt>
                <c:pt idx="27">
                  <c:v>24.699449539184599</c:v>
                </c:pt>
                <c:pt idx="28">
                  <c:v>26.355730056762699</c:v>
                </c:pt>
                <c:pt idx="29">
                  <c:v>23.5837497711182</c:v>
                </c:pt>
                <c:pt idx="30">
                  <c:v>26.304040908813501</c:v>
                </c:pt>
                <c:pt idx="31">
                  <c:v>29.674430847168001</c:v>
                </c:pt>
                <c:pt idx="32">
                  <c:v>30.5395393371582</c:v>
                </c:pt>
                <c:pt idx="33">
                  <c:v>27.0210990905762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08-4A97-8418-095B3A0FB0F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prevision14!$B$22:$B$72</c:f>
              <c:numCache>
                <c:formatCode>General</c:formatCode>
                <c:ptCount val="51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  <c:pt idx="42">
                  <c:v>2022</c:v>
                </c:pt>
                <c:pt idx="43">
                  <c:v>2023</c:v>
                </c:pt>
                <c:pt idx="44">
                  <c:v>2024</c:v>
                </c:pt>
                <c:pt idx="45">
                  <c:v>2025</c:v>
                </c:pt>
                <c:pt idx="46">
                  <c:v>2026</c:v>
                </c:pt>
                <c:pt idx="47">
                  <c:v>2027</c:v>
                </c:pt>
                <c:pt idx="48">
                  <c:v>2028</c:v>
                </c:pt>
                <c:pt idx="49">
                  <c:v>2029</c:v>
                </c:pt>
                <c:pt idx="50">
                  <c:v>2030</c:v>
                </c:pt>
              </c:numCache>
            </c:numRef>
          </c:cat>
          <c:val>
            <c:numRef>
              <c:f>prevision14!$D$22:$D$72</c:f>
              <c:numCache>
                <c:formatCode>General</c:formatCode>
                <c:ptCount val="51"/>
                <c:pt idx="36">
                  <c:v>0</c:v>
                </c:pt>
                <c:pt idx="37">
                  <c:v>16.097014152251973</c:v>
                </c:pt>
                <c:pt idx="38">
                  <c:v>16.406753730864352</c:v>
                </c:pt>
                <c:pt idx="39">
                  <c:v>16.716493309476846</c:v>
                </c:pt>
                <c:pt idx="40">
                  <c:v>17.026232888089339</c:v>
                </c:pt>
                <c:pt idx="41">
                  <c:v>17.335972466701719</c:v>
                </c:pt>
                <c:pt idx="42">
                  <c:v>17.645712045314212</c:v>
                </c:pt>
                <c:pt idx="43">
                  <c:v>17.955451623926592</c:v>
                </c:pt>
                <c:pt idx="44">
                  <c:v>18.265191202539086</c:v>
                </c:pt>
                <c:pt idx="45">
                  <c:v>18.574930781151465</c:v>
                </c:pt>
                <c:pt idx="46">
                  <c:v>18.884670359763959</c:v>
                </c:pt>
                <c:pt idx="47">
                  <c:v>19.194409938376339</c:v>
                </c:pt>
                <c:pt idx="48">
                  <c:v>19.504149516988832</c:v>
                </c:pt>
                <c:pt idx="49">
                  <c:v>19.813889095601212</c:v>
                </c:pt>
                <c:pt idx="50">
                  <c:v>20.123628674213705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08-4A97-8418-095B3A0FB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4020696"/>
        <c:axId val="329820016"/>
      </c:lineChart>
      <c:catAx>
        <c:axId val="604020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9820016"/>
        <c:crosses val="autoZero"/>
        <c:auto val="1"/>
        <c:lblAlgn val="ctr"/>
        <c:lblOffset val="100"/>
        <c:noMultiLvlLbl val="0"/>
      </c:catAx>
      <c:valAx>
        <c:axId val="32982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402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prevision14!$H$22:$H$72</c:f>
              <c:numCache>
                <c:formatCode>General</c:formatCode>
                <c:ptCount val="51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  <c:pt idx="42">
                  <c:v>2022</c:v>
                </c:pt>
                <c:pt idx="43">
                  <c:v>2023</c:v>
                </c:pt>
                <c:pt idx="44">
                  <c:v>2024</c:v>
                </c:pt>
                <c:pt idx="45">
                  <c:v>2025</c:v>
                </c:pt>
                <c:pt idx="46">
                  <c:v>2026</c:v>
                </c:pt>
                <c:pt idx="47">
                  <c:v>2027</c:v>
                </c:pt>
                <c:pt idx="48">
                  <c:v>2028</c:v>
                </c:pt>
                <c:pt idx="49">
                  <c:v>2029</c:v>
                </c:pt>
                <c:pt idx="50">
                  <c:v>2030</c:v>
                </c:pt>
              </c:numCache>
            </c:numRef>
          </c:cat>
          <c:val>
            <c:numRef>
              <c:f>prevision14!$I$22:$I$72</c:f>
              <c:numCache>
                <c:formatCode>General</c:formatCode>
                <c:ptCount val="51"/>
                <c:pt idx="0">
                  <c:v>12.3555402755737</c:v>
                </c:pt>
                <c:pt idx="1">
                  <c:v>12.4869899749756</c:v>
                </c:pt>
                <c:pt idx="2">
                  <c:v>12.178170204162599</c:v>
                </c:pt>
                <c:pt idx="3">
                  <c:v>9.7013196945190394</c:v>
                </c:pt>
                <c:pt idx="4">
                  <c:v>11.8201303482056</c:v>
                </c:pt>
                <c:pt idx="5">
                  <c:v>10.0891304016113</c:v>
                </c:pt>
                <c:pt idx="6">
                  <c:v>10.321749687194799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13.264840126037599</c:v>
                </c:pt>
                <c:pt idx="14">
                  <c:v>0</c:v>
                </c:pt>
                <c:pt idx="15">
                  <c:v>0</c:v>
                </c:pt>
                <c:pt idx="16">
                  <c:v>13.044139862060501</c:v>
                </c:pt>
                <c:pt idx="17">
                  <c:v>14.8699197769165</c:v>
                </c:pt>
                <c:pt idx="18">
                  <c:v>0</c:v>
                </c:pt>
                <c:pt idx="19">
                  <c:v>0</c:v>
                </c:pt>
                <c:pt idx="20">
                  <c:v>14.9077301025391</c:v>
                </c:pt>
                <c:pt idx="21">
                  <c:v>14.4617700576782</c:v>
                </c:pt>
                <c:pt idx="22">
                  <c:v>16.187749862670799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23.975379943847699</c:v>
                </c:pt>
                <c:pt idx="27">
                  <c:v>24.699449539184599</c:v>
                </c:pt>
                <c:pt idx="28">
                  <c:v>26.355730056762699</c:v>
                </c:pt>
                <c:pt idx="29">
                  <c:v>23.5837497711182</c:v>
                </c:pt>
                <c:pt idx="30">
                  <c:v>26.304040908813501</c:v>
                </c:pt>
                <c:pt idx="31">
                  <c:v>29.674430847168001</c:v>
                </c:pt>
                <c:pt idx="32">
                  <c:v>30.5395393371582</c:v>
                </c:pt>
                <c:pt idx="33">
                  <c:v>27.0210990905762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94-424A-8B37-B45F0BEB08F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prevision14!$H$22:$H$72</c:f>
              <c:numCache>
                <c:formatCode>General</c:formatCode>
                <c:ptCount val="51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  <c:pt idx="42">
                  <c:v>2022</c:v>
                </c:pt>
                <c:pt idx="43">
                  <c:v>2023</c:v>
                </c:pt>
                <c:pt idx="44">
                  <c:v>2024</c:v>
                </c:pt>
                <c:pt idx="45">
                  <c:v>2025</c:v>
                </c:pt>
                <c:pt idx="46">
                  <c:v>2026</c:v>
                </c:pt>
                <c:pt idx="47">
                  <c:v>2027</c:v>
                </c:pt>
                <c:pt idx="48">
                  <c:v>2028</c:v>
                </c:pt>
                <c:pt idx="49">
                  <c:v>2029</c:v>
                </c:pt>
                <c:pt idx="50">
                  <c:v>2030</c:v>
                </c:pt>
              </c:numCache>
            </c:numRef>
          </c:cat>
          <c:val>
            <c:numRef>
              <c:f>prevision14!$J$22:$J$72</c:f>
              <c:numCache>
                <c:formatCode>General</c:formatCode>
                <c:ptCount val="51"/>
                <c:pt idx="36">
                  <c:v>0</c:v>
                </c:pt>
                <c:pt idx="37">
                  <c:v>16.097014152251973</c:v>
                </c:pt>
                <c:pt idx="38">
                  <c:v>16.406753730864352</c:v>
                </c:pt>
                <c:pt idx="39">
                  <c:v>16.716493309476846</c:v>
                </c:pt>
                <c:pt idx="40">
                  <c:v>17.026232888089339</c:v>
                </c:pt>
                <c:pt idx="41">
                  <c:v>17.335972466701719</c:v>
                </c:pt>
                <c:pt idx="42">
                  <c:v>17.645712045314212</c:v>
                </c:pt>
                <c:pt idx="43">
                  <c:v>17.955451623926592</c:v>
                </c:pt>
                <c:pt idx="44">
                  <c:v>18.265191202539086</c:v>
                </c:pt>
                <c:pt idx="45">
                  <c:v>18.574930781151465</c:v>
                </c:pt>
                <c:pt idx="46">
                  <c:v>18.884670359763959</c:v>
                </c:pt>
                <c:pt idx="47">
                  <c:v>19.194409938376339</c:v>
                </c:pt>
                <c:pt idx="48">
                  <c:v>19.504149516988832</c:v>
                </c:pt>
                <c:pt idx="49">
                  <c:v>19.813889095601212</c:v>
                </c:pt>
                <c:pt idx="50">
                  <c:v>20.123628674213705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94-424A-8B37-B45F0BEB0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4020088"/>
        <c:axId val="744014840"/>
      </c:lineChart>
      <c:catAx>
        <c:axId val="744020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014840"/>
        <c:crosses val="autoZero"/>
        <c:auto val="1"/>
        <c:lblAlgn val="ctr"/>
        <c:lblOffset val="100"/>
        <c:noMultiLvlLbl val="0"/>
      </c:catAx>
      <c:valAx>
        <c:axId val="744014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02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numRef>
              <c:f>prevision15!$B$30:$B$90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prevision15!$C$30:$C$90</c:f>
              <c:numCache>
                <c:formatCode>General</c:formatCode>
                <c:ptCount val="61"/>
                <c:pt idx="0">
                  <c:v>0</c:v>
                </c:pt>
                <c:pt idx="1">
                  <c:v>15.02952003479</c:v>
                </c:pt>
                <c:pt idx="2">
                  <c:v>15.861590385436999</c:v>
                </c:pt>
                <c:pt idx="3">
                  <c:v>16.2753791809082</c:v>
                </c:pt>
                <c:pt idx="4">
                  <c:v>17.7330207824707</c:v>
                </c:pt>
                <c:pt idx="5">
                  <c:v>19.229900360107401</c:v>
                </c:pt>
                <c:pt idx="6">
                  <c:v>21.251789093017599</c:v>
                </c:pt>
                <c:pt idx="7">
                  <c:v>22.831239700317401</c:v>
                </c:pt>
                <c:pt idx="8">
                  <c:v>21.956119537353501</c:v>
                </c:pt>
                <c:pt idx="9">
                  <c:v>26.123640060424801</c:v>
                </c:pt>
                <c:pt idx="10">
                  <c:v>33.763401031494098</c:v>
                </c:pt>
                <c:pt idx="11">
                  <c:v>38.856410980224602</c:v>
                </c:pt>
                <c:pt idx="12">
                  <c:v>41.638359069824197</c:v>
                </c:pt>
                <c:pt idx="13">
                  <c:v>42.2387504577637</c:v>
                </c:pt>
                <c:pt idx="14">
                  <c:v>40.314029693603501</c:v>
                </c:pt>
                <c:pt idx="15">
                  <c:v>37.430000305175803</c:v>
                </c:pt>
                <c:pt idx="16">
                  <c:v>36.8820610046387</c:v>
                </c:pt>
                <c:pt idx="17">
                  <c:v>39.960018157958999</c:v>
                </c:pt>
                <c:pt idx="18">
                  <c:v>40.778850555419901</c:v>
                </c:pt>
                <c:pt idx="19">
                  <c:v>39.046009063720703</c:v>
                </c:pt>
                <c:pt idx="20">
                  <c:v>35.164440155029197</c:v>
                </c:pt>
                <c:pt idx="21">
                  <c:v>31.462600708007798</c:v>
                </c:pt>
                <c:pt idx="22">
                  <c:v>25.193620681762699</c:v>
                </c:pt>
                <c:pt idx="23">
                  <c:v>21.622789382934599</c:v>
                </c:pt>
                <c:pt idx="24">
                  <c:v>25.420459747314499</c:v>
                </c:pt>
                <c:pt idx="25">
                  <c:v>29.089929580688501</c:v>
                </c:pt>
                <c:pt idx="26">
                  <c:v>34.952648162841697</c:v>
                </c:pt>
                <c:pt idx="27">
                  <c:v>40.339828491210902</c:v>
                </c:pt>
                <c:pt idx="28">
                  <c:v>49.964080810546903</c:v>
                </c:pt>
                <c:pt idx="29">
                  <c:v>49.405258178710902</c:v>
                </c:pt>
                <c:pt idx="30">
                  <c:v>54.443538665771499</c:v>
                </c:pt>
                <c:pt idx="31">
                  <c:v>60.262241363525398</c:v>
                </c:pt>
                <c:pt idx="32">
                  <c:v>63.458671569824197</c:v>
                </c:pt>
                <c:pt idx="33">
                  <c:v>64.816902160644503</c:v>
                </c:pt>
                <c:pt idx="34">
                  <c:v>67.752471923828097</c:v>
                </c:pt>
                <c:pt idx="35">
                  <c:v>79.013397216796903</c:v>
                </c:pt>
                <c:pt idx="36">
                  <c:v>83.327651977539105</c:v>
                </c:pt>
                <c:pt idx="37">
                  <c:v>89.165466308593807</c:v>
                </c:pt>
                <c:pt idx="38">
                  <c:v>94.822853088378906</c:v>
                </c:pt>
                <c:pt idx="39">
                  <c:v>93.502357482910199</c:v>
                </c:pt>
                <c:pt idx="40">
                  <c:v>91.775962829589801</c:v>
                </c:pt>
                <c:pt idx="41">
                  <c:v>94.500572204589801</c:v>
                </c:pt>
                <c:pt idx="42">
                  <c:v>94.550750732421903</c:v>
                </c:pt>
                <c:pt idx="43">
                  <c:v>0</c:v>
                </c:pt>
                <c:pt idx="44">
                  <c:v>99.923202514648395</c:v>
                </c:pt>
                <c:pt idx="45">
                  <c:v>101.944229125977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E1-43A5-BBF5-84A00C50728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prevision15!$B$30:$B$90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prevision15!$D$30:$D$90</c:f>
              <c:numCache>
                <c:formatCode>General</c:formatCode>
                <c:ptCount val="61"/>
                <c:pt idx="47">
                  <c:v>0</c:v>
                </c:pt>
                <c:pt idx="48">
                  <c:v>75.646834866374775</c:v>
                </c:pt>
                <c:pt idx="49">
                  <c:v>76.912117229527212</c:v>
                </c:pt>
                <c:pt idx="50">
                  <c:v>78.177399592679649</c:v>
                </c:pt>
                <c:pt idx="51">
                  <c:v>79.442681955832086</c:v>
                </c:pt>
                <c:pt idx="52">
                  <c:v>80.707964318984523</c:v>
                </c:pt>
                <c:pt idx="53">
                  <c:v>81.97324668213696</c:v>
                </c:pt>
                <c:pt idx="54">
                  <c:v>83.238529045289397</c:v>
                </c:pt>
                <c:pt idx="55">
                  <c:v>84.503811408441834</c:v>
                </c:pt>
                <c:pt idx="56">
                  <c:v>85.769093771594271</c:v>
                </c:pt>
                <c:pt idx="57">
                  <c:v>87.034376134746708</c:v>
                </c:pt>
                <c:pt idx="58">
                  <c:v>88.299658497899145</c:v>
                </c:pt>
                <c:pt idx="59">
                  <c:v>89.564940861051582</c:v>
                </c:pt>
                <c:pt idx="60">
                  <c:v>90.830223224204019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E1-43A5-BBF5-84A00C507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9436248"/>
        <c:axId val="989436576"/>
      </c:lineChart>
      <c:catAx>
        <c:axId val="989436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9436576"/>
        <c:crosses val="autoZero"/>
        <c:auto val="1"/>
        <c:lblAlgn val="ctr"/>
        <c:lblOffset val="100"/>
        <c:noMultiLvlLbl val="0"/>
      </c:catAx>
      <c:valAx>
        <c:axId val="98943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943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prevision15!$H$30:$H$90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prevision15!$I$30:$I$90</c:f>
              <c:numCache>
                <c:formatCode>General</c:formatCode>
                <c:ptCount val="61"/>
                <c:pt idx="0">
                  <c:v>0</c:v>
                </c:pt>
                <c:pt idx="1">
                  <c:v>15.02952003479</c:v>
                </c:pt>
                <c:pt idx="2">
                  <c:v>15.861590385436999</c:v>
                </c:pt>
                <c:pt idx="3">
                  <c:v>16.2753791809082</c:v>
                </c:pt>
                <c:pt idx="4">
                  <c:v>17.7330207824707</c:v>
                </c:pt>
                <c:pt idx="5">
                  <c:v>19.229900360107401</c:v>
                </c:pt>
                <c:pt idx="6">
                  <c:v>21.251789093017599</c:v>
                </c:pt>
                <c:pt idx="7">
                  <c:v>22.831239700317401</c:v>
                </c:pt>
                <c:pt idx="8">
                  <c:v>21.956119537353501</c:v>
                </c:pt>
                <c:pt idx="9">
                  <c:v>26.123640060424801</c:v>
                </c:pt>
                <c:pt idx="10">
                  <c:v>33.763401031494098</c:v>
                </c:pt>
                <c:pt idx="11">
                  <c:v>38.856410980224602</c:v>
                </c:pt>
                <c:pt idx="12">
                  <c:v>41.638359069824197</c:v>
                </c:pt>
                <c:pt idx="13">
                  <c:v>42.2387504577637</c:v>
                </c:pt>
                <c:pt idx="14">
                  <c:v>40.314029693603501</c:v>
                </c:pt>
                <c:pt idx="15">
                  <c:v>37.430000305175803</c:v>
                </c:pt>
                <c:pt idx="16">
                  <c:v>36.8820610046387</c:v>
                </c:pt>
                <c:pt idx="17">
                  <c:v>39.960018157958999</c:v>
                </c:pt>
                <c:pt idx="18">
                  <c:v>40.778850555419901</c:v>
                </c:pt>
                <c:pt idx="19">
                  <c:v>39.046009063720703</c:v>
                </c:pt>
                <c:pt idx="20">
                  <c:v>35.164440155029197</c:v>
                </c:pt>
                <c:pt idx="21">
                  <c:v>31.462600708007798</c:v>
                </c:pt>
                <c:pt idx="22">
                  <c:v>25.193620681762699</c:v>
                </c:pt>
                <c:pt idx="23">
                  <c:v>21.622789382934599</c:v>
                </c:pt>
                <c:pt idx="24">
                  <c:v>25.420459747314499</c:v>
                </c:pt>
                <c:pt idx="25">
                  <c:v>29.089929580688501</c:v>
                </c:pt>
                <c:pt idx="26">
                  <c:v>34.952648162841697</c:v>
                </c:pt>
                <c:pt idx="27">
                  <c:v>40.339828491210902</c:v>
                </c:pt>
                <c:pt idx="28">
                  <c:v>49.964080810546903</c:v>
                </c:pt>
                <c:pt idx="29">
                  <c:v>49.405258178710902</c:v>
                </c:pt>
                <c:pt idx="30">
                  <c:v>54.443538665771499</c:v>
                </c:pt>
                <c:pt idx="31">
                  <c:v>60.262241363525398</c:v>
                </c:pt>
                <c:pt idx="32">
                  <c:v>63.458671569824197</c:v>
                </c:pt>
                <c:pt idx="33">
                  <c:v>64.816902160644503</c:v>
                </c:pt>
                <c:pt idx="34">
                  <c:v>67.752471923828097</c:v>
                </c:pt>
                <c:pt idx="35">
                  <c:v>79.013397216796903</c:v>
                </c:pt>
                <c:pt idx="36">
                  <c:v>83.327651977539105</c:v>
                </c:pt>
                <c:pt idx="37">
                  <c:v>89.165466308593807</c:v>
                </c:pt>
                <c:pt idx="38">
                  <c:v>94.822853088378906</c:v>
                </c:pt>
                <c:pt idx="39">
                  <c:v>93.502357482910199</c:v>
                </c:pt>
                <c:pt idx="40">
                  <c:v>91.775962829589801</c:v>
                </c:pt>
                <c:pt idx="41">
                  <c:v>94.500572204589801</c:v>
                </c:pt>
                <c:pt idx="42">
                  <c:v>94.550750732421903</c:v>
                </c:pt>
                <c:pt idx="43">
                  <c:v>0</c:v>
                </c:pt>
                <c:pt idx="44">
                  <c:v>99.923202514648395</c:v>
                </c:pt>
                <c:pt idx="45">
                  <c:v>101.944229125977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D-4ED1-8C3E-C6135DCDE06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prevision15!$H$30:$H$90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prevision15!$J$30:$J$90</c:f>
              <c:numCache>
                <c:formatCode>General</c:formatCode>
                <c:ptCount val="61"/>
                <c:pt idx="47">
                  <c:v>0</c:v>
                </c:pt>
                <c:pt idx="48">
                  <c:v>75.646834866374775</c:v>
                </c:pt>
                <c:pt idx="49">
                  <c:v>76.912117229527212</c:v>
                </c:pt>
                <c:pt idx="50">
                  <c:v>78.177399592679649</c:v>
                </c:pt>
                <c:pt idx="51">
                  <c:v>79.442681955832086</c:v>
                </c:pt>
                <c:pt idx="52">
                  <c:v>80.707964318984523</c:v>
                </c:pt>
                <c:pt idx="53">
                  <c:v>81.97324668213696</c:v>
                </c:pt>
                <c:pt idx="54">
                  <c:v>83.238529045289397</c:v>
                </c:pt>
                <c:pt idx="55">
                  <c:v>84.503811408441834</c:v>
                </c:pt>
                <c:pt idx="56">
                  <c:v>85.769093771594271</c:v>
                </c:pt>
                <c:pt idx="57">
                  <c:v>87.034376134746708</c:v>
                </c:pt>
                <c:pt idx="58">
                  <c:v>88.299658497899145</c:v>
                </c:pt>
                <c:pt idx="59">
                  <c:v>89.564940861051582</c:v>
                </c:pt>
                <c:pt idx="60">
                  <c:v>90.830223224204019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D-4ED1-8C3E-C6135DCDE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3995816"/>
        <c:axId val="744001064"/>
      </c:lineChart>
      <c:catAx>
        <c:axId val="743995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001064"/>
        <c:crosses val="autoZero"/>
        <c:auto val="1"/>
        <c:lblAlgn val="ctr"/>
        <c:lblOffset val="100"/>
        <c:noMultiLvlLbl val="0"/>
      </c:catAx>
      <c:valAx>
        <c:axId val="744001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399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openxmlformats.org/officeDocument/2006/relationships/image" Target="../media/image2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693420</xdr:colOff>
      <xdr:row>3</xdr:row>
      <xdr:rowOff>30480</xdr:rowOff>
    </xdr:from>
    <xdr:to>
      <xdr:col>13</xdr:col>
      <xdr:colOff>10980</xdr:colOff>
      <xdr:row>13</xdr:row>
      <xdr:rowOff>215880</xdr:rowOff>
    </xdr:to>
    <xdr:graphicFrame macro="">
      <xdr:nvGraphicFramePr>
        <xdr:cNvPr id="12" name="Graphiqu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15</xdr:row>
      <xdr:rowOff>30480</xdr:rowOff>
    </xdr:from>
    <xdr:to>
      <xdr:col>12</xdr:col>
      <xdr:colOff>960120</xdr:colOff>
      <xdr:row>28</xdr:row>
      <xdr:rowOff>22860</xdr:rowOff>
    </xdr:to>
    <xdr:graphicFrame macro="">
      <xdr:nvGraphicFramePr>
        <xdr:cNvPr id="11" name="Graphique 2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371474</xdr:colOff>
      <xdr:row>1</xdr:row>
      <xdr:rowOff>114299</xdr:rowOff>
    </xdr:from>
    <xdr:to>
      <xdr:col>3</xdr:col>
      <xdr:colOff>33654</xdr:colOff>
      <xdr:row>2</xdr:row>
      <xdr:rowOff>231627</xdr:rowOff>
    </xdr:to>
    <xdr:pic>
      <xdr:nvPicPr>
        <xdr:cNvPr id="2" name="图形 7" descr="指向右边的反手食指  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4"/>
            </a:ext>
          </a:extLst>
        </a:blip>
        <a:stretch>
          <a:fillRect/>
        </a:stretch>
      </xdr:blipFill>
      <xdr:spPr>
        <a:xfrm rot="5400000" flipV="1">
          <a:off x="2244162" y="365686"/>
          <a:ext cx="431653" cy="4241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809625</xdr:colOff>
          <xdr:row>5</xdr:row>
          <xdr:rowOff>28575</xdr:rowOff>
        </xdr:from>
        <xdr:to>
          <xdr:col>2</xdr:col>
          <xdr:colOff>47625</xdr:colOff>
          <xdr:row>6</xdr:row>
          <xdr:rowOff>142875</xdr:rowOff>
        </xdr:to>
        <xdr:sp macro="" textlink="">
          <xdr:nvSpPr>
            <xdr:cNvPr id="1025" name="Indicateur13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Indicateur13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809625</xdr:colOff>
          <xdr:row>6</xdr:row>
          <xdr:rowOff>219075</xdr:rowOff>
        </xdr:from>
        <xdr:to>
          <xdr:col>2</xdr:col>
          <xdr:colOff>47625</xdr:colOff>
          <xdr:row>8</xdr:row>
          <xdr:rowOff>85725</xdr:rowOff>
        </xdr:to>
        <xdr:sp macro="" textlink="">
          <xdr:nvSpPr>
            <xdr:cNvPr id="1026" name="Indicateur14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Indicateur14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809625</xdr:colOff>
          <xdr:row>8</xdr:row>
          <xdr:rowOff>180975</xdr:rowOff>
        </xdr:from>
        <xdr:to>
          <xdr:col>2</xdr:col>
          <xdr:colOff>47625</xdr:colOff>
          <xdr:row>10</xdr:row>
          <xdr:rowOff>47625</xdr:rowOff>
        </xdr:to>
        <xdr:sp macro="" textlink="">
          <xdr:nvSpPr>
            <xdr:cNvPr id="1027" name="Indicateur15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Indicateur15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15240</xdr:colOff>
      <xdr:row>3</xdr:row>
      <xdr:rowOff>38100</xdr:rowOff>
    </xdr:from>
    <xdr:to>
      <xdr:col>8</xdr:col>
      <xdr:colOff>414840</xdr:colOff>
      <xdr:row>13</xdr:row>
      <xdr:rowOff>223500</xdr:rowOff>
    </xdr:to>
    <xdr:graphicFrame macro="">
      <xdr:nvGraphicFramePr>
        <xdr:cNvPr id="9" name="Graphique 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</xdr:col>
      <xdr:colOff>247650</xdr:colOff>
      <xdr:row>30</xdr:row>
      <xdr:rowOff>219075</xdr:rowOff>
    </xdr:from>
    <xdr:ext cx="7082790" cy="4382097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501390" y="7823835"/>
          <a:ext cx="7082790" cy="43820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/>
            <a:t>Pour</a:t>
          </a:r>
          <a:r>
            <a:rPr lang="fr-FR" sz="1200" baseline="0"/>
            <a:t> l'indicateur de l'education, généralement, nous pouvons constater que, à partir de 1970,  Les dépenses publiques pour l'éducation, total (% des dépenses du gouvernement) augmentent,  le taux d'enfant non scolarités (% de l'âge de l'école primaire) est en baisse, par rapport  au taux de scolarisation primaire (% brut), il est en augmentation.</a:t>
          </a:r>
        </a:p>
        <a:p>
          <a:endParaRPr lang="fr-FR" sz="1200" baseline="0"/>
        </a:p>
        <a:p>
          <a:r>
            <a:rPr lang="fr-FR" sz="1200" baseline="0"/>
            <a:t>Par exemple: Ethiopia</a:t>
          </a:r>
        </a:p>
        <a:p>
          <a:endParaRPr lang="fr-FR" sz="1200" baseline="0"/>
        </a:p>
        <a:p>
          <a:r>
            <a:rPr lang="fr-FR" sz="1200" b="1" baseline="0"/>
            <a:t>Children out of school (% of primary school age)</a:t>
          </a:r>
        </a:p>
        <a:p>
          <a:endParaRPr lang="fr-FR" sz="1200" b="1" baseline="0"/>
        </a:p>
        <a:p>
          <a:r>
            <a:rPr lang="fr-FR" altLang="zh-CN" sz="1200"/>
            <a:t>Les données </a:t>
          </a:r>
          <a:r>
            <a:rPr lang="en-US" altLang="zh-CN" sz="1200"/>
            <a:t>valides</a:t>
          </a:r>
          <a:r>
            <a:rPr lang="fr-FR" altLang="zh-CN" sz="1200"/>
            <a:t> montrent que le taux d'enfants</a:t>
          </a:r>
          <a:r>
            <a:rPr lang="fr-FR" altLang="zh-CN" sz="1200" baseline="0"/>
            <a:t> non</a:t>
          </a:r>
          <a:r>
            <a:rPr lang="fr-FR" altLang="zh-CN" sz="1200"/>
            <a:t> scolairité du primaire dans le pays a fortement diminué au cours des 30 dernières années: en 1994, le taux est de 80%  qui</a:t>
          </a:r>
          <a:r>
            <a:rPr lang="fr-FR" altLang="zh-CN" sz="1200" baseline="0"/>
            <a:t> est </a:t>
          </a:r>
          <a:r>
            <a:rPr lang="fr-FR" altLang="zh-CN" sz="1200"/>
            <a:t>tombé à environ 14% en 2015.</a:t>
          </a:r>
          <a:endParaRPr lang="fr-FR" sz="1200" b="1" baseline="0"/>
        </a:p>
        <a:p>
          <a:endParaRPr lang="fr-FR" sz="1200" b="1" baseline="0"/>
        </a:p>
        <a:p>
          <a:r>
            <a:rPr lang="fr-FR" sz="1200" b="1" baseline="0"/>
            <a:t>School enrollment, primary (% gross)</a:t>
          </a:r>
        </a:p>
        <a:p>
          <a:endParaRPr lang="fr-FR" sz="1200" b="1" baseline="0"/>
        </a:p>
        <a:p>
          <a:r>
            <a:rPr lang="fr-FR" altLang="zh-CN" sz="1200"/>
            <a:t>Par</a:t>
          </a:r>
          <a:r>
            <a:rPr lang="fr-FR" altLang="zh-CN" sz="1200" baseline="0"/>
            <a:t> rapport</a:t>
          </a:r>
          <a:r>
            <a:rPr lang="fr-FR" altLang="zh-CN" sz="1200"/>
            <a:t> à l'indicateur du taux </a:t>
          </a:r>
          <a:r>
            <a:rPr lang="fr-FR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d'enfants</a:t>
          </a:r>
          <a:r>
            <a:rPr lang="fr-FR" altLang="zh-CN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non</a:t>
          </a:r>
          <a:r>
            <a:rPr lang="fr-FR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scolairité </a:t>
          </a:r>
          <a:r>
            <a:rPr lang="fr-FR" altLang="zh-CN" sz="1200"/>
            <a:t>, le taux de Scolarisation primaire (% brut) a augmenté régulièrement, passant de 15% (1971) à 101,9% (2016).</a:t>
          </a:r>
        </a:p>
        <a:p>
          <a:endParaRPr lang="fr-FR" sz="1200" b="1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altLang="zh-CN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Government expenditure on education, total (% of government expenditure)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altLang="zh-CN" sz="1100" b="1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altLang="zh-CN" sz="1200"/>
            <a:t>Cet indicateur montre que la part des dépenses publiques consacrées à l’éducation augmente, passant de 12% du total des dépenses publiques en 1980 à 30% en 2012. Le gouvernement accorde plus d'attention à l'éducation.</a:t>
          </a:r>
          <a:endParaRPr lang="zh-CN" altLang="zh-CN" sz="1200">
            <a:effectLst/>
          </a:endParaRPr>
        </a:p>
        <a:p>
          <a:endParaRPr lang="fr-FR" sz="1200" b="1" baseline="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20</xdr:row>
      <xdr:rowOff>9525</xdr:rowOff>
    </xdr:from>
    <xdr:to>
      <xdr:col>8</xdr:col>
      <xdr:colOff>19049</xdr:colOff>
      <xdr:row>33</xdr:row>
      <xdr:rowOff>238125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2100945</xdr:colOff>
      <xdr:row>4</xdr:row>
      <xdr:rowOff>27212</xdr:rowOff>
    </xdr:from>
    <xdr:to>
      <xdr:col>7</xdr:col>
      <xdr:colOff>6150428</xdr:colOff>
      <xdr:row>18</xdr:row>
      <xdr:rowOff>10886</xdr:rowOff>
    </xdr:to>
    <xdr:graphicFrame macro="">
      <xdr:nvGraphicFramePr>
        <xdr:cNvPr id="2" name="图表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38100</xdr:rowOff>
        </xdr:from>
        <xdr:to>
          <xdr:col>5</xdr:col>
          <xdr:colOff>1009650</xdr:colOff>
          <xdr:row>7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等线"/>
                </a:rPr>
                <a:t>Enlever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257175</xdr:rowOff>
        </xdr:from>
        <xdr:to>
          <xdr:col>5</xdr:col>
          <xdr:colOff>1009650</xdr:colOff>
          <xdr:row>5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等线"/>
                </a:rPr>
                <a:t>Afficher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10886</xdr:colOff>
      <xdr:row>3</xdr:row>
      <xdr:rowOff>6532</xdr:rowOff>
    </xdr:from>
    <xdr:to>
      <xdr:col>6</xdr:col>
      <xdr:colOff>1839686</xdr:colOff>
      <xdr:row>43</xdr:row>
      <xdr:rowOff>40821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untry name 12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untry name 1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27792" y="685188"/>
              <a:ext cx="1828800" cy="72161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8</xdr:row>
          <xdr:rowOff>95250</xdr:rowOff>
        </xdr:from>
        <xdr:to>
          <xdr:col>5</xdr:col>
          <xdr:colOff>1000125</xdr:colOff>
          <xdr:row>9</xdr:row>
          <xdr:rowOff>209550</xdr:rowOff>
        </xdr:to>
        <xdr:sp macro="" textlink="">
          <xdr:nvSpPr>
            <xdr:cNvPr id="3075" name="comite 5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等线"/>
                </a:rPr>
                <a:t>Comité 5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2047874</xdr:colOff>
      <xdr:row>20</xdr:row>
      <xdr:rowOff>19049</xdr:rowOff>
    </xdr:from>
    <xdr:to>
      <xdr:col>7</xdr:col>
      <xdr:colOff>5972174</xdr:colOff>
      <xdr:row>33</xdr:row>
      <xdr:rowOff>238124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2100943</xdr:colOff>
      <xdr:row>4</xdr:row>
      <xdr:rowOff>27213</xdr:rowOff>
    </xdr:from>
    <xdr:to>
      <xdr:col>8</xdr:col>
      <xdr:colOff>1</xdr:colOff>
      <xdr:row>18</xdr:row>
      <xdr:rowOff>1</xdr:rowOff>
    </xdr:to>
    <xdr:graphicFrame macro="">
      <xdr:nvGraphicFramePr>
        <xdr:cNvPr id="2" name="图表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17</xdr:col>
      <xdr:colOff>143436</xdr:colOff>
      <xdr:row>62</xdr:row>
      <xdr:rowOff>161364</xdr:rowOff>
    </xdr:from>
    <xdr:ext cx="431653" cy="417820"/>
    <xdr:pic>
      <xdr:nvPicPr>
        <xdr:cNvPr id="3" name="图形 3" descr="指向右边的反手食指  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4"/>
            </a:ext>
          </a:extLst>
        </a:blip>
        <a:stretch>
          <a:fillRect/>
        </a:stretch>
      </xdr:blipFill>
      <xdr:spPr>
        <a:xfrm rot="10800000" flipV="1">
          <a:off x="20222136" y="15544239"/>
          <a:ext cx="431653" cy="41782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6</xdr:row>
          <xdr:rowOff>57150</xdr:rowOff>
        </xdr:from>
        <xdr:to>
          <xdr:col>5</xdr:col>
          <xdr:colOff>1000125</xdr:colOff>
          <xdr:row>7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等线"/>
                </a:rPr>
                <a:t>Enlever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3</xdr:row>
          <xdr:rowOff>266700</xdr:rowOff>
        </xdr:from>
        <xdr:to>
          <xdr:col>5</xdr:col>
          <xdr:colOff>1000125</xdr:colOff>
          <xdr:row>5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等线"/>
                </a:rPr>
                <a:t>Afficher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10885</xdr:colOff>
      <xdr:row>3</xdr:row>
      <xdr:rowOff>17416</xdr:rowOff>
    </xdr:from>
    <xdr:to>
      <xdr:col>6</xdr:col>
      <xdr:colOff>1730828</xdr:colOff>
      <xdr:row>44</xdr:row>
      <xdr:rowOff>50345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ountry name 13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untry name 1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27791" y="696072"/>
              <a:ext cx="1719943" cy="72838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8</xdr:row>
          <xdr:rowOff>95250</xdr:rowOff>
        </xdr:from>
        <xdr:to>
          <xdr:col>5</xdr:col>
          <xdr:colOff>981075</xdr:colOff>
          <xdr:row>9</xdr:row>
          <xdr:rowOff>209550</xdr:rowOff>
        </xdr:to>
        <xdr:sp macro="" textlink="">
          <xdr:nvSpPr>
            <xdr:cNvPr id="5123" name="comite 5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等线"/>
                </a:rPr>
                <a:t>Comité 5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19</xdr:row>
      <xdr:rowOff>276225</xdr:rowOff>
    </xdr:from>
    <xdr:to>
      <xdr:col>8</xdr:col>
      <xdr:colOff>9525</xdr:colOff>
      <xdr:row>34</xdr:row>
      <xdr:rowOff>238125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</xdr:colOff>
      <xdr:row>4</xdr:row>
      <xdr:rowOff>10886</xdr:rowOff>
    </xdr:from>
    <xdr:to>
      <xdr:col>8</xdr:col>
      <xdr:colOff>1</xdr:colOff>
      <xdr:row>18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19050</xdr:rowOff>
        </xdr:from>
        <xdr:to>
          <xdr:col>5</xdr:col>
          <xdr:colOff>1009650</xdr:colOff>
          <xdr:row>7</xdr:row>
          <xdr:rowOff>123825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等线"/>
                </a:rPr>
                <a:t>Enlever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4</xdr:row>
          <xdr:rowOff>0</xdr:rowOff>
        </xdr:from>
        <xdr:to>
          <xdr:col>5</xdr:col>
          <xdr:colOff>1009650</xdr:colOff>
          <xdr:row>5</xdr:row>
          <xdr:rowOff>114300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等线"/>
                </a:rPr>
                <a:t>Afficher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10886</xdr:colOff>
      <xdr:row>3</xdr:row>
      <xdr:rowOff>28304</xdr:rowOff>
    </xdr:from>
    <xdr:to>
      <xdr:col>6</xdr:col>
      <xdr:colOff>1839686</xdr:colOff>
      <xdr:row>32</xdr:row>
      <xdr:rowOff>29936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untry name 14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untry name 1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27792" y="706960"/>
              <a:ext cx="1828800" cy="72811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8</xdr:row>
          <xdr:rowOff>47625</xdr:rowOff>
        </xdr:from>
        <xdr:to>
          <xdr:col>5</xdr:col>
          <xdr:colOff>1009650</xdr:colOff>
          <xdr:row>9</xdr:row>
          <xdr:rowOff>161925</xdr:rowOff>
        </xdr:to>
        <xdr:sp macro="" textlink="">
          <xdr:nvSpPr>
            <xdr:cNvPr id="7171" name="comite 5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等线"/>
                </a:rPr>
                <a:t>Comité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428625</xdr:colOff>
      <xdr:row>66</xdr:row>
      <xdr:rowOff>99060</xdr:rowOff>
    </xdr:from>
    <xdr:to>
      <xdr:col>20</xdr:col>
      <xdr:colOff>123825</xdr:colOff>
      <xdr:row>82</xdr:row>
      <xdr:rowOff>22860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61912</xdr:colOff>
      <xdr:row>50</xdr:row>
      <xdr:rowOff>185737</xdr:rowOff>
    </xdr:from>
    <xdr:to>
      <xdr:col>18</xdr:col>
      <xdr:colOff>366712</xdr:colOff>
      <xdr:row>65</xdr:row>
      <xdr:rowOff>71437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457200</xdr:colOff>
      <xdr:row>46</xdr:row>
      <xdr:rowOff>108585</xdr:rowOff>
    </xdr:from>
    <xdr:to>
      <xdr:col>20</xdr:col>
      <xdr:colOff>152400</xdr:colOff>
      <xdr:row>62</xdr:row>
      <xdr:rowOff>32385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376237</xdr:colOff>
      <xdr:row>25</xdr:row>
      <xdr:rowOff>100012</xdr:rowOff>
    </xdr:from>
    <xdr:to>
      <xdr:col>19</xdr:col>
      <xdr:colOff>71437</xdr:colOff>
      <xdr:row>39</xdr:row>
      <xdr:rowOff>176212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238125</xdr:colOff>
      <xdr:row>64</xdr:row>
      <xdr:rowOff>60960</xdr:rowOff>
    </xdr:from>
    <xdr:to>
      <xdr:col>20</xdr:col>
      <xdr:colOff>542925</xdr:colOff>
      <xdr:row>79</xdr:row>
      <xdr:rowOff>175260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23812</xdr:colOff>
      <xdr:row>39</xdr:row>
      <xdr:rowOff>80962</xdr:rowOff>
    </xdr:from>
    <xdr:to>
      <xdr:col>19</xdr:col>
      <xdr:colOff>328612</xdr:colOff>
      <xdr:row>53</xdr:row>
      <xdr:rowOff>157162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A\21713620\Desktop\GRAND%20PROJET2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A\21713620\Desktop\GRAND%20PROJET2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A\21713620\Desktop\GRAND%20PROJET2.xlsm" TargetMode="External"/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ikefeng" refreshedDate="43548.695848726849" createdVersion="6" refreshedVersion="6" minRefreshableVersion="3" recordCount="1624">
  <cacheSource type="worksheet">
    <worksheetSource ref="A4:D1628" sheet="Indicateur13" r:id="rId2"/>
  </cacheSource>
  <cacheFields count="4">
    <cacheField name="Country name" numFmtId="0">
      <sharedItems count="28">
        <s v="Burundi"/>
        <s v="Cameroon"/>
        <s v="Chad"/>
        <s v="Comoros"/>
        <s v="Djibouti"/>
        <s v="Ethiopia"/>
        <s v="Guinea"/>
        <s v="Haiti"/>
        <s v="Kenya"/>
        <s v="Kosovo"/>
        <s v="Liberia"/>
        <s v="Madagascar"/>
        <s v="Malawi"/>
        <s v="Mali"/>
        <s v="Moldova"/>
        <s v="Mozambique"/>
        <s v="Myanmar"/>
        <s v="Nepal"/>
        <s v="Nicaragua"/>
        <s v="Niger"/>
        <s v="Rwanda"/>
        <s v="Sao Tome and Principe"/>
        <s v="Sri Lanka"/>
        <s v="Tajikistan"/>
        <s v="Tanzania"/>
        <s v="Uganda"/>
        <s v="Zambia"/>
        <s v="Zimbabwe"/>
      </sharedItems>
    </cacheField>
    <cacheField name="Indicator name" numFmtId="0">
      <sharedItems/>
    </cacheField>
    <cacheField name="Data" numFmtId="0">
      <sharedItems containsString="0" containsBlank="1" containsNumber="1" minValue="7.5290001928806305E-2" maxValue="89.391456604003906"/>
    </cacheField>
    <cacheField name="Year" numFmtId="0">
      <sharedItems containsSemiMixedTypes="0" containsString="0" containsNumber="1" containsInteger="1" minValue="1960" maxValue="2017" count="58"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</sharedItems>
    </cacheField>
  </cacheFields>
  <extLst>
    <ext xmlns:x14="http://schemas.microsoft.com/office/spreadsheetml/2009/9/main" uri="{725AE2AE-9491-48be-B2B4-4EB974FC3084}">
      <x14:pivotCacheDefinition pivotCacheId="33364532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ikefeng" refreshedDate="43548.697703124999" createdVersion="6" refreshedVersion="6" minRefreshableVersion="3" recordCount="1624">
  <cacheSource type="worksheet">
    <worksheetSource ref="A4:D1628" sheet="Indicateur14" r:id="rId2"/>
  </cacheSource>
  <cacheFields count="4">
    <cacheField name="Country name" numFmtId="0">
      <sharedItems count="28">
        <s v="Burundi"/>
        <s v="Cameroon"/>
        <s v="Chad"/>
        <s v="Comoros"/>
        <s v="Djibouti"/>
        <s v="Ethiopia"/>
        <s v="Guinea"/>
        <s v="Haiti"/>
        <s v="Kenya"/>
        <s v="Kosovo"/>
        <s v="Liberia"/>
        <s v="Madagascar"/>
        <s v="Malawi"/>
        <s v="Mali"/>
        <s v="Moldova"/>
        <s v="Mozambique"/>
        <s v="Myanmar"/>
        <s v="Nepal"/>
        <s v="Nicaragua"/>
        <s v="Niger"/>
        <s v="Rwanda"/>
        <s v="Sao Tome and Principe"/>
        <s v="Sri Lanka"/>
        <s v="Tajikistan"/>
        <s v="Tanzania"/>
        <s v="Uganda"/>
        <s v="Zambia"/>
        <s v="Zimbabwe"/>
      </sharedItems>
    </cacheField>
    <cacheField name="Indicator name" numFmtId="0">
      <sharedItems/>
    </cacheField>
    <cacheField name="Data" numFmtId="0">
      <sharedItems containsString="0" containsBlank="1" containsNumber="1" minValue="0" maxValue="30.5395393371582"/>
    </cacheField>
    <cacheField name="Year" numFmtId="0">
      <sharedItems containsSemiMixedTypes="0" containsString="0" containsNumber="1" containsInteger="1" minValue="1960" maxValue="2017" count="58"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</sharedItems>
    </cacheField>
  </cacheFields>
  <extLst>
    <ext xmlns:x14="http://schemas.microsoft.com/office/spreadsheetml/2009/9/main" uri="{725AE2AE-9491-48be-B2B4-4EB974FC3084}">
      <x14:pivotCacheDefinition pivotCacheId="1483396499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maikefeng" refreshedDate="43548.69949259259" createdVersion="6" refreshedVersion="6" minRefreshableVersion="3" recordCount="1624">
  <cacheSource type="worksheet">
    <worksheetSource ref="A4:D1628" sheet="Indicateur15" r:id="rId2"/>
  </cacheSource>
  <cacheFields count="4">
    <cacheField name="Country name" numFmtId="0">
      <sharedItems count="28">
        <s v="Burundi"/>
        <s v="Cameroon"/>
        <s v="Chad"/>
        <s v="Comoros"/>
        <s v="Djibouti"/>
        <s v="Ethiopia"/>
        <s v="Guinea"/>
        <s v="Haiti"/>
        <s v="Kenya"/>
        <s v="Kosovo"/>
        <s v="Liberia"/>
        <s v="Madagascar"/>
        <s v="Malawi"/>
        <s v="Mali"/>
        <s v="Moldova"/>
        <s v="Mozambique"/>
        <s v="Myanmar"/>
        <s v="Nepal"/>
        <s v="Nicaragua"/>
        <s v="Niger"/>
        <s v="Rwanda"/>
        <s v="Sao Tome and Principe"/>
        <s v="Sri Lanka"/>
        <s v="Tajikistan"/>
        <s v="Tanzania"/>
        <s v="Uganda"/>
        <s v="Zambia"/>
        <s v="Zimbabwe"/>
      </sharedItems>
    </cacheField>
    <cacheField name="Indicator name" numFmtId="0">
      <sharedItems/>
    </cacheField>
    <cacheField name="Data" numFmtId="0">
      <sharedItems containsString="0" containsBlank="1" containsNumber="1" minValue="11.7142896652222" maxValue="159.35328674316401"/>
    </cacheField>
    <cacheField name="Year" numFmtId="0">
      <sharedItems containsSemiMixedTypes="0" containsString="0" containsNumber="1" containsInteger="1" minValue="1960" maxValue="2017" count="58"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</sharedItems>
    </cacheField>
  </cacheFields>
  <extLst>
    <ext xmlns:x14="http://schemas.microsoft.com/office/spreadsheetml/2009/9/main" uri="{725AE2AE-9491-48be-B2B4-4EB974FC3084}">
      <x14:pivotCacheDefinition pivotCacheId="157474380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24">
  <r>
    <x v="0"/>
    <s v="Children out of school (% of primary school age)"/>
    <m/>
    <x v="0"/>
  </r>
  <r>
    <x v="1"/>
    <s v="Children out of school (% of primary school age)"/>
    <m/>
    <x v="0"/>
  </r>
  <r>
    <x v="2"/>
    <s v="Children out of school (% of primary school age)"/>
    <m/>
    <x v="0"/>
  </r>
  <r>
    <x v="3"/>
    <s v="Children out of school (% of primary school age)"/>
    <m/>
    <x v="0"/>
  </r>
  <r>
    <x v="4"/>
    <s v="Children out of school (% of primary school age)"/>
    <m/>
    <x v="0"/>
  </r>
  <r>
    <x v="5"/>
    <s v="Children out of school (% of primary school age)"/>
    <m/>
    <x v="0"/>
  </r>
  <r>
    <x v="6"/>
    <s v="Children out of school (% of primary school age)"/>
    <m/>
    <x v="0"/>
  </r>
  <r>
    <x v="7"/>
    <s v="Children out of school (% of primary school age)"/>
    <m/>
    <x v="0"/>
  </r>
  <r>
    <x v="8"/>
    <s v="Children out of school (% of primary school age)"/>
    <m/>
    <x v="0"/>
  </r>
  <r>
    <x v="9"/>
    <s v="Children out of school (% of primary school age)"/>
    <m/>
    <x v="0"/>
  </r>
  <r>
    <x v="10"/>
    <s v="Children out of school (% of primary school age)"/>
    <m/>
    <x v="0"/>
  </r>
  <r>
    <x v="11"/>
    <s v="Children out of school (% of primary school age)"/>
    <m/>
    <x v="0"/>
  </r>
  <r>
    <x v="12"/>
    <s v="Children out of school (% of primary school age)"/>
    <m/>
    <x v="0"/>
  </r>
  <r>
    <x v="13"/>
    <s v="Children out of school (% of primary school age)"/>
    <m/>
    <x v="0"/>
  </r>
  <r>
    <x v="14"/>
    <s v="Children out of school (% of primary school age)"/>
    <m/>
    <x v="0"/>
  </r>
  <r>
    <x v="15"/>
    <s v="Children out of school (% of primary school age)"/>
    <m/>
    <x v="0"/>
  </r>
  <r>
    <x v="16"/>
    <s v="Children out of school (% of primary school age)"/>
    <m/>
    <x v="0"/>
  </r>
  <r>
    <x v="17"/>
    <s v="Children out of school (% of primary school age)"/>
    <m/>
    <x v="0"/>
  </r>
  <r>
    <x v="18"/>
    <s v="Children out of school (% of primary school age)"/>
    <m/>
    <x v="0"/>
  </r>
  <r>
    <x v="19"/>
    <s v="Children out of school (% of primary school age)"/>
    <m/>
    <x v="0"/>
  </r>
  <r>
    <x v="20"/>
    <s v="Children out of school (% of primary school age)"/>
    <m/>
    <x v="0"/>
  </r>
  <r>
    <x v="21"/>
    <s v="Children out of school (% of primary school age)"/>
    <m/>
    <x v="0"/>
  </r>
  <r>
    <x v="22"/>
    <s v="Children out of school (% of primary school age)"/>
    <m/>
    <x v="0"/>
  </r>
  <r>
    <x v="23"/>
    <s v="Children out of school (% of primary school age)"/>
    <m/>
    <x v="0"/>
  </r>
  <r>
    <x v="24"/>
    <s v="Children out of school (% of primary school age)"/>
    <m/>
    <x v="0"/>
  </r>
  <r>
    <x v="25"/>
    <s v="Children out of school (% of primary school age)"/>
    <m/>
    <x v="0"/>
  </r>
  <r>
    <x v="26"/>
    <s v="Children out of school (% of primary school age)"/>
    <m/>
    <x v="0"/>
  </r>
  <r>
    <x v="27"/>
    <s v="Children out of school (% of primary school age)"/>
    <m/>
    <x v="0"/>
  </r>
  <r>
    <x v="0"/>
    <s v="Children out of school (% of primary school age)"/>
    <m/>
    <x v="1"/>
  </r>
  <r>
    <x v="1"/>
    <s v="Children out of school (% of primary school age)"/>
    <m/>
    <x v="1"/>
  </r>
  <r>
    <x v="2"/>
    <s v="Children out of school (% of primary school age)"/>
    <m/>
    <x v="1"/>
  </r>
  <r>
    <x v="3"/>
    <s v="Children out of school (% of primary school age)"/>
    <m/>
    <x v="1"/>
  </r>
  <r>
    <x v="4"/>
    <s v="Children out of school (% of primary school age)"/>
    <m/>
    <x v="1"/>
  </r>
  <r>
    <x v="5"/>
    <s v="Children out of school (% of primary school age)"/>
    <m/>
    <x v="1"/>
  </r>
  <r>
    <x v="6"/>
    <s v="Children out of school (% of primary school age)"/>
    <m/>
    <x v="1"/>
  </r>
  <r>
    <x v="7"/>
    <s v="Children out of school (% of primary school age)"/>
    <m/>
    <x v="1"/>
  </r>
  <r>
    <x v="8"/>
    <s v="Children out of school (% of primary school age)"/>
    <m/>
    <x v="1"/>
  </r>
  <r>
    <x v="9"/>
    <s v="Children out of school (% of primary school age)"/>
    <m/>
    <x v="1"/>
  </r>
  <r>
    <x v="10"/>
    <s v="Children out of school (% of primary school age)"/>
    <m/>
    <x v="1"/>
  </r>
  <r>
    <x v="11"/>
    <s v="Children out of school (% of primary school age)"/>
    <m/>
    <x v="1"/>
  </r>
  <r>
    <x v="12"/>
    <s v="Children out of school (% of primary school age)"/>
    <m/>
    <x v="1"/>
  </r>
  <r>
    <x v="13"/>
    <s v="Children out of school (% of primary school age)"/>
    <m/>
    <x v="1"/>
  </r>
  <r>
    <x v="14"/>
    <s v="Children out of school (% of primary school age)"/>
    <m/>
    <x v="1"/>
  </r>
  <r>
    <x v="15"/>
    <s v="Children out of school (% of primary school age)"/>
    <m/>
    <x v="1"/>
  </r>
  <r>
    <x v="16"/>
    <s v="Children out of school (% of primary school age)"/>
    <m/>
    <x v="1"/>
  </r>
  <r>
    <x v="17"/>
    <s v="Children out of school (% of primary school age)"/>
    <m/>
    <x v="1"/>
  </r>
  <r>
    <x v="18"/>
    <s v="Children out of school (% of primary school age)"/>
    <m/>
    <x v="1"/>
  </r>
  <r>
    <x v="19"/>
    <s v="Children out of school (% of primary school age)"/>
    <m/>
    <x v="1"/>
  </r>
  <r>
    <x v="20"/>
    <s v="Children out of school (% of primary school age)"/>
    <m/>
    <x v="1"/>
  </r>
  <r>
    <x v="21"/>
    <s v="Children out of school (% of primary school age)"/>
    <m/>
    <x v="1"/>
  </r>
  <r>
    <x v="22"/>
    <s v="Children out of school (% of primary school age)"/>
    <m/>
    <x v="1"/>
  </r>
  <r>
    <x v="23"/>
    <s v="Children out of school (% of primary school age)"/>
    <m/>
    <x v="1"/>
  </r>
  <r>
    <x v="24"/>
    <s v="Children out of school (% of primary school age)"/>
    <m/>
    <x v="1"/>
  </r>
  <r>
    <x v="25"/>
    <s v="Children out of school (% of primary school age)"/>
    <m/>
    <x v="1"/>
  </r>
  <r>
    <x v="26"/>
    <s v="Children out of school (% of primary school age)"/>
    <m/>
    <x v="1"/>
  </r>
  <r>
    <x v="27"/>
    <s v="Children out of school (% of primary school age)"/>
    <m/>
    <x v="1"/>
  </r>
  <r>
    <x v="0"/>
    <s v="Children out of school (% of primary school age)"/>
    <m/>
    <x v="2"/>
  </r>
  <r>
    <x v="1"/>
    <s v="Children out of school (% of primary school age)"/>
    <m/>
    <x v="2"/>
  </r>
  <r>
    <x v="2"/>
    <s v="Children out of school (% of primary school age)"/>
    <m/>
    <x v="2"/>
  </r>
  <r>
    <x v="3"/>
    <s v="Children out of school (% of primary school age)"/>
    <m/>
    <x v="2"/>
  </r>
  <r>
    <x v="4"/>
    <s v="Children out of school (% of primary school age)"/>
    <m/>
    <x v="2"/>
  </r>
  <r>
    <x v="5"/>
    <s v="Children out of school (% of primary school age)"/>
    <m/>
    <x v="2"/>
  </r>
  <r>
    <x v="6"/>
    <s v="Children out of school (% of primary school age)"/>
    <m/>
    <x v="2"/>
  </r>
  <r>
    <x v="7"/>
    <s v="Children out of school (% of primary school age)"/>
    <m/>
    <x v="2"/>
  </r>
  <r>
    <x v="8"/>
    <s v="Children out of school (% of primary school age)"/>
    <m/>
    <x v="2"/>
  </r>
  <r>
    <x v="9"/>
    <s v="Children out of school (% of primary school age)"/>
    <m/>
    <x v="2"/>
  </r>
  <r>
    <x v="10"/>
    <s v="Children out of school (% of primary school age)"/>
    <m/>
    <x v="2"/>
  </r>
  <r>
    <x v="11"/>
    <s v="Children out of school (% of primary school age)"/>
    <m/>
    <x v="2"/>
  </r>
  <r>
    <x v="12"/>
    <s v="Children out of school (% of primary school age)"/>
    <m/>
    <x v="2"/>
  </r>
  <r>
    <x v="13"/>
    <s v="Children out of school (% of primary school age)"/>
    <m/>
    <x v="2"/>
  </r>
  <r>
    <x v="14"/>
    <s v="Children out of school (% of primary school age)"/>
    <m/>
    <x v="2"/>
  </r>
  <r>
    <x v="15"/>
    <s v="Children out of school (% of primary school age)"/>
    <m/>
    <x v="2"/>
  </r>
  <r>
    <x v="16"/>
    <s v="Children out of school (% of primary school age)"/>
    <m/>
    <x v="2"/>
  </r>
  <r>
    <x v="17"/>
    <s v="Children out of school (% of primary school age)"/>
    <m/>
    <x v="2"/>
  </r>
  <r>
    <x v="18"/>
    <s v="Children out of school (% of primary school age)"/>
    <m/>
    <x v="2"/>
  </r>
  <r>
    <x v="19"/>
    <s v="Children out of school (% of primary school age)"/>
    <m/>
    <x v="2"/>
  </r>
  <r>
    <x v="20"/>
    <s v="Children out of school (% of primary school age)"/>
    <m/>
    <x v="2"/>
  </r>
  <r>
    <x v="21"/>
    <s v="Children out of school (% of primary school age)"/>
    <m/>
    <x v="2"/>
  </r>
  <r>
    <x v="22"/>
    <s v="Children out of school (% of primary school age)"/>
    <m/>
    <x v="2"/>
  </r>
  <r>
    <x v="23"/>
    <s v="Children out of school (% of primary school age)"/>
    <m/>
    <x v="2"/>
  </r>
  <r>
    <x v="24"/>
    <s v="Children out of school (% of primary school age)"/>
    <m/>
    <x v="2"/>
  </r>
  <r>
    <x v="25"/>
    <s v="Children out of school (% of primary school age)"/>
    <m/>
    <x v="2"/>
  </r>
  <r>
    <x v="26"/>
    <s v="Children out of school (% of primary school age)"/>
    <m/>
    <x v="2"/>
  </r>
  <r>
    <x v="27"/>
    <s v="Children out of school (% of primary school age)"/>
    <m/>
    <x v="2"/>
  </r>
  <r>
    <x v="0"/>
    <s v="Children out of school (% of primary school age)"/>
    <m/>
    <x v="3"/>
  </r>
  <r>
    <x v="1"/>
    <s v="Children out of school (% of primary school age)"/>
    <m/>
    <x v="3"/>
  </r>
  <r>
    <x v="2"/>
    <s v="Children out of school (% of primary school age)"/>
    <m/>
    <x v="3"/>
  </r>
  <r>
    <x v="3"/>
    <s v="Children out of school (% of primary school age)"/>
    <m/>
    <x v="3"/>
  </r>
  <r>
    <x v="4"/>
    <s v="Children out of school (% of primary school age)"/>
    <m/>
    <x v="3"/>
  </r>
  <r>
    <x v="5"/>
    <s v="Children out of school (% of primary school age)"/>
    <m/>
    <x v="3"/>
  </r>
  <r>
    <x v="6"/>
    <s v="Children out of school (% of primary school age)"/>
    <m/>
    <x v="3"/>
  </r>
  <r>
    <x v="7"/>
    <s v="Children out of school (% of primary school age)"/>
    <m/>
    <x v="3"/>
  </r>
  <r>
    <x v="8"/>
    <s v="Children out of school (% of primary school age)"/>
    <m/>
    <x v="3"/>
  </r>
  <r>
    <x v="9"/>
    <s v="Children out of school (% of primary school age)"/>
    <m/>
    <x v="3"/>
  </r>
  <r>
    <x v="10"/>
    <s v="Children out of school (% of primary school age)"/>
    <m/>
    <x v="3"/>
  </r>
  <r>
    <x v="11"/>
    <s v="Children out of school (% of primary school age)"/>
    <m/>
    <x v="3"/>
  </r>
  <r>
    <x v="12"/>
    <s v="Children out of school (% of primary school age)"/>
    <m/>
    <x v="3"/>
  </r>
  <r>
    <x v="13"/>
    <s v="Children out of school (% of primary school age)"/>
    <m/>
    <x v="3"/>
  </r>
  <r>
    <x v="14"/>
    <s v="Children out of school (% of primary school age)"/>
    <m/>
    <x v="3"/>
  </r>
  <r>
    <x v="15"/>
    <s v="Children out of school (% of primary school age)"/>
    <m/>
    <x v="3"/>
  </r>
  <r>
    <x v="16"/>
    <s v="Children out of school (% of primary school age)"/>
    <m/>
    <x v="3"/>
  </r>
  <r>
    <x v="17"/>
    <s v="Children out of school (% of primary school age)"/>
    <m/>
    <x v="3"/>
  </r>
  <r>
    <x v="18"/>
    <s v="Children out of school (% of primary school age)"/>
    <m/>
    <x v="3"/>
  </r>
  <r>
    <x v="19"/>
    <s v="Children out of school (% of primary school age)"/>
    <m/>
    <x v="3"/>
  </r>
  <r>
    <x v="20"/>
    <s v="Children out of school (% of primary school age)"/>
    <m/>
    <x v="3"/>
  </r>
  <r>
    <x v="21"/>
    <s v="Children out of school (% of primary school age)"/>
    <m/>
    <x v="3"/>
  </r>
  <r>
    <x v="22"/>
    <s v="Children out of school (% of primary school age)"/>
    <m/>
    <x v="3"/>
  </r>
  <r>
    <x v="23"/>
    <s v="Children out of school (% of primary school age)"/>
    <m/>
    <x v="3"/>
  </r>
  <r>
    <x v="24"/>
    <s v="Children out of school (% of primary school age)"/>
    <m/>
    <x v="3"/>
  </r>
  <r>
    <x v="25"/>
    <s v="Children out of school (% of primary school age)"/>
    <m/>
    <x v="3"/>
  </r>
  <r>
    <x v="26"/>
    <s v="Children out of school (% of primary school age)"/>
    <m/>
    <x v="3"/>
  </r>
  <r>
    <x v="27"/>
    <s v="Children out of school (% of primary school age)"/>
    <m/>
    <x v="3"/>
  </r>
  <r>
    <x v="0"/>
    <s v="Children out of school (% of primary school age)"/>
    <m/>
    <x v="4"/>
  </r>
  <r>
    <x v="1"/>
    <s v="Children out of school (% of primary school age)"/>
    <m/>
    <x v="4"/>
  </r>
  <r>
    <x v="2"/>
    <s v="Children out of school (% of primary school age)"/>
    <m/>
    <x v="4"/>
  </r>
  <r>
    <x v="3"/>
    <s v="Children out of school (% of primary school age)"/>
    <m/>
    <x v="4"/>
  </r>
  <r>
    <x v="4"/>
    <s v="Children out of school (% of primary school age)"/>
    <m/>
    <x v="4"/>
  </r>
  <r>
    <x v="5"/>
    <s v="Children out of school (% of primary school age)"/>
    <m/>
    <x v="4"/>
  </r>
  <r>
    <x v="6"/>
    <s v="Children out of school (% of primary school age)"/>
    <m/>
    <x v="4"/>
  </r>
  <r>
    <x v="7"/>
    <s v="Children out of school (% of primary school age)"/>
    <m/>
    <x v="4"/>
  </r>
  <r>
    <x v="8"/>
    <s v="Children out of school (% of primary school age)"/>
    <m/>
    <x v="4"/>
  </r>
  <r>
    <x v="9"/>
    <s v="Children out of school (% of primary school age)"/>
    <m/>
    <x v="4"/>
  </r>
  <r>
    <x v="10"/>
    <s v="Children out of school (% of primary school age)"/>
    <m/>
    <x v="4"/>
  </r>
  <r>
    <x v="11"/>
    <s v="Children out of school (% of primary school age)"/>
    <m/>
    <x v="4"/>
  </r>
  <r>
    <x v="12"/>
    <s v="Children out of school (% of primary school age)"/>
    <m/>
    <x v="4"/>
  </r>
  <r>
    <x v="13"/>
    <s v="Children out of school (% of primary school age)"/>
    <m/>
    <x v="4"/>
  </r>
  <r>
    <x v="14"/>
    <s v="Children out of school (% of primary school age)"/>
    <m/>
    <x v="4"/>
  </r>
  <r>
    <x v="15"/>
    <s v="Children out of school (% of primary school age)"/>
    <m/>
    <x v="4"/>
  </r>
  <r>
    <x v="16"/>
    <s v="Children out of school (% of primary school age)"/>
    <m/>
    <x v="4"/>
  </r>
  <r>
    <x v="17"/>
    <s v="Children out of school (% of primary school age)"/>
    <m/>
    <x v="4"/>
  </r>
  <r>
    <x v="18"/>
    <s v="Children out of school (% of primary school age)"/>
    <m/>
    <x v="4"/>
  </r>
  <r>
    <x v="19"/>
    <s v="Children out of school (% of primary school age)"/>
    <m/>
    <x v="4"/>
  </r>
  <r>
    <x v="20"/>
    <s v="Children out of school (% of primary school age)"/>
    <m/>
    <x v="4"/>
  </r>
  <r>
    <x v="21"/>
    <s v="Children out of school (% of primary school age)"/>
    <m/>
    <x v="4"/>
  </r>
  <r>
    <x v="22"/>
    <s v="Children out of school (% of primary school age)"/>
    <m/>
    <x v="4"/>
  </r>
  <r>
    <x v="23"/>
    <s v="Children out of school (% of primary school age)"/>
    <m/>
    <x v="4"/>
  </r>
  <r>
    <x v="24"/>
    <s v="Children out of school (% of primary school age)"/>
    <m/>
    <x v="4"/>
  </r>
  <r>
    <x v="25"/>
    <s v="Children out of school (% of primary school age)"/>
    <m/>
    <x v="4"/>
  </r>
  <r>
    <x v="26"/>
    <s v="Children out of school (% of primary school age)"/>
    <m/>
    <x v="4"/>
  </r>
  <r>
    <x v="27"/>
    <s v="Children out of school (% of primary school age)"/>
    <m/>
    <x v="4"/>
  </r>
  <r>
    <x v="0"/>
    <s v="Children out of school (% of primary school age)"/>
    <m/>
    <x v="5"/>
  </r>
  <r>
    <x v="1"/>
    <s v="Children out of school (% of primary school age)"/>
    <m/>
    <x v="5"/>
  </r>
  <r>
    <x v="2"/>
    <s v="Children out of school (% of primary school age)"/>
    <m/>
    <x v="5"/>
  </r>
  <r>
    <x v="3"/>
    <s v="Children out of school (% of primary school age)"/>
    <m/>
    <x v="5"/>
  </r>
  <r>
    <x v="4"/>
    <s v="Children out of school (% of primary school age)"/>
    <m/>
    <x v="5"/>
  </r>
  <r>
    <x v="5"/>
    <s v="Children out of school (% of primary school age)"/>
    <m/>
    <x v="5"/>
  </r>
  <r>
    <x v="6"/>
    <s v="Children out of school (% of primary school age)"/>
    <m/>
    <x v="5"/>
  </r>
  <r>
    <x v="7"/>
    <s v="Children out of school (% of primary school age)"/>
    <m/>
    <x v="5"/>
  </r>
  <r>
    <x v="8"/>
    <s v="Children out of school (% of primary school age)"/>
    <m/>
    <x v="5"/>
  </r>
  <r>
    <x v="9"/>
    <s v="Children out of school (% of primary school age)"/>
    <m/>
    <x v="5"/>
  </r>
  <r>
    <x v="10"/>
    <s v="Children out of school (% of primary school age)"/>
    <m/>
    <x v="5"/>
  </r>
  <r>
    <x v="11"/>
    <s v="Children out of school (% of primary school age)"/>
    <m/>
    <x v="5"/>
  </r>
  <r>
    <x v="12"/>
    <s v="Children out of school (% of primary school age)"/>
    <m/>
    <x v="5"/>
  </r>
  <r>
    <x v="13"/>
    <s v="Children out of school (% of primary school age)"/>
    <m/>
    <x v="5"/>
  </r>
  <r>
    <x v="14"/>
    <s v="Children out of school (% of primary school age)"/>
    <m/>
    <x v="5"/>
  </r>
  <r>
    <x v="15"/>
    <s v="Children out of school (% of primary school age)"/>
    <m/>
    <x v="5"/>
  </r>
  <r>
    <x v="16"/>
    <s v="Children out of school (% of primary school age)"/>
    <m/>
    <x v="5"/>
  </r>
  <r>
    <x v="17"/>
    <s v="Children out of school (% of primary school age)"/>
    <m/>
    <x v="5"/>
  </r>
  <r>
    <x v="18"/>
    <s v="Children out of school (% of primary school age)"/>
    <m/>
    <x v="5"/>
  </r>
  <r>
    <x v="19"/>
    <s v="Children out of school (% of primary school age)"/>
    <m/>
    <x v="5"/>
  </r>
  <r>
    <x v="20"/>
    <s v="Children out of school (% of primary school age)"/>
    <m/>
    <x v="5"/>
  </r>
  <r>
    <x v="21"/>
    <s v="Children out of school (% of primary school age)"/>
    <m/>
    <x v="5"/>
  </r>
  <r>
    <x v="22"/>
    <s v="Children out of school (% of primary school age)"/>
    <m/>
    <x v="5"/>
  </r>
  <r>
    <x v="23"/>
    <s v="Children out of school (% of primary school age)"/>
    <m/>
    <x v="5"/>
  </r>
  <r>
    <x v="24"/>
    <s v="Children out of school (% of primary school age)"/>
    <m/>
    <x v="5"/>
  </r>
  <r>
    <x v="25"/>
    <s v="Children out of school (% of primary school age)"/>
    <m/>
    <x v="5"/>
  </r>
  <r>
    <x v="26"/>
    <s v="Children out of school (% of primary school age)"/>
    <m/>
    <x v="5"/>
  </r>
  <r>
    <x v="27"/>
    <s v="Children out of school (% of primary school age)"/>
    <m/>
    <x v="5"/>
  </r>
  <r>
    <x v="0"/>
    <s v="Children out of school (% of primary school age)"/>
    <m/>
    <x v="6"/>
  </r>
  <r>
    <x v="1"/>
    <s v="Children out of school (% of primary school age)"/>
    <m/>
    <x v="6"/>
  </r>
  <r>
    <x v="2"/>
    <s v="Children out of school (% of primary school age)"/>
    <m/>
    <x v="6"/>
  </r>
  <r>
    <x v="3"/>
    <s v="Children out of school (% of primary school age)"/>
    <m/>
    <x v="6"/>
  </r>
  <r>
    <x v="4"/>
    <s v="Children out of school (% of primary school age)"/>
    <m/>
    <x v="6"/>
  </r>
  <r>
    <x v="5"/>
    <s v="Children out of school (% of primary school age)"/>
    <m/>
    <x v="6"/>
  </r>
  <r>
    <x v="6"/>
    <s v="Children out of school (% of primary school age)"/>
    <m/>
    <x v="6"/>
  </r>
  <r>
    <x v="7"/>
    <s v="Children out of school (% of primary school age)"/>
    <m/>
    <x v="6"/>
  </r>
  <r>
    <x v="8"/>
    <s v="Children out of school (% of primary school age)"/>
    <m/>
    <x v="6"/>
  </r>
  <r>
    <x v="9"/>
    <s v="Children out of school (% of primary school age)"/>
    <m/>
    <x v="6"/>
  </r>
  <r>
    <x v="10"/>
    <s v="Children out of school (% of primary school age)"/>
    <m/>
    <x v="6"/>
  </r>
  <r>
    <x v="11"/>
    <s v="Children out of school (% of primary school age)"/>
    <m/>
    <x v="6"/>
  </r>
  <r>
    <x v="12"/>
    <s v="Children out of school (% of primary school age)"/>
    <m/>
    <x v="6"/>
  </r>
  <r>
    <x v="13"/>
    <s v="Children out of school (% of primary school age)"/>
    <m/>
    <x v="6"/>
  </r>
  <r>
    <x v="14"/>
    <s v="Children out of school (% of primary school age)"/>
    <m/>
    <x v="6"/>
  </r>
  <r>
    <x v="15"/>
    <s v="Children out of school (% of primary school age)"/>
    <m/>
    <x v="6"/>
  </r>
  <r>
    <x v="16"/>
    <s v="Children out of school (% of primary school age)"/>
    <m/>
    <x v="6"/>
  </r>
  <r>
    <x v="17"/>
    <s v="Children out of school (% of primary school age)"/>
    <m/>
    <x v="6"/>
  </r>
  <r>
    <x v="18"/>
    <s v="Children out of school (% of primary school age)"/>
    <m/>
    <x v="6"/>
  </r>
  <r>
    <x v="19"/>
    <s v="Children out of school (% of primary school age)"/>
    <m/>
    <x v="6"/>
  </r>
  <r>
    <x v="20"/>
    <s v="Children out of school (% of primary school age)"/>
    <m/>
    <x v="6"/>
  </r>
  <r>
    <x v="21"/>
    <s v="Children out of school (% of primary school age)"/>
    <m/>
    <x v="6"/>
  </r>
  <r>
    <x v="22"/>
    <s v="Children out of school (% of primary school age)"/>
    <m/>
    <x v="6"/>
  </r>
  <r>
    <x v="23"/>
    <s v="Children out of school (% of primary school age)"/>
    <m/>
    <x v="6"/>
  </r>
  <r>
    <x v="24"/>
    <s v="Children out of school (% of primary school age)"/>
    <m/>
    <x v="6"/>
  </r>
  <r>
    <x v="25"/>
    <s v="Children out of school (% of primary school age)"/>
    <m/>
    <x v="6"/>
  </r>
  <r>
    <x v="26"/>
    <s v="Children out of school (% of primary school age)"/>
    <m/>
    <x v="6"/>
  </r>
  <r>
    <x v="27"/>
    <s v="Children out of school (% of primary school age)"/>
    <m/>
    <x v="6"/>
  </r>
  <r>
    <x v="0"/>
    <s v="Children out of school (% of primary school age)"/>
    <m/>
    <x v="7"/>
  </r>
  <r>
    <x v="1"/>
    <s v="Children out of school (% of primary school age)"/>
    <m/>
    <x v="7"/>
  </r>
  <r>
    <x v="2"/>
    <s v="Children out of school (% of primary school age)"/>
    <m/>
    <x v="7"/>
  </r>
  <r>
    <x v="3"/>
    <s v="Children out of school (% of primary school age)"/>
    <m/>
    <x v="7"/>
  </r>
  <r>
    <x v="4"/>
    <s v="Children out of school (% of primary school age)"/>
    <m/>
    <x v="7"/>
  </r>
  <r>
    <x v="5"/>
    <s v="Children out of school (% of primary school age)"/>
    <m/>
    <x v="7"/>
  </r>
  <r>
    <x v="6"/>
    <s v="Children out of school (% of primary school age)"/>
    <m/>
    <x v="7"/>
  </r>
  <r>
    <x v="7"/>
    <s v="Children out of school (% of primary school age)"/>
    <m/>
    <x v="7"/>
  </r>
  <r>
    <x v="8"/>
    <s v="Children out of school (% of primary school age)"/>
    <m/>
    <x v="7"/>
  </r>
  <r>
    <x v="9"/>
    <s v="Children out of school (% of primary school age)"/>
    <m/>
    <x v="7"/>
  </r>
  <r>
    <x v="10"/>
    <s v="Children out of school (% of primary school age)"/>
    <m/>
    <x v="7"/>
  </r>
  <r>
    <x v="11"/>
    <s v="Children out of school (% of primary school age)"/>
    <m/>
    <x v="7"/>
  </r>
  <r>
    <x v="12"/>
    <s v="Children out of school (% of primary school age)"/>
    <m/>
    <x v="7"/>
  </r>
  <r>
    <x v="13"/>
    <s v="Children out of school (% of primary school age)"/>
    <m/>
    <x v="7"/>
  </r>
  <r>
    <x v="14"/>
    <s v="Children out of school (% of primary school age)"/>
    <m/>
    <x v="7"/>
  </r>
  <r>
    <x v="15"/>
    <s v="Children out of school (% of primary school age)"/>
    <m/>
    <x v="7"/>
  </r>
  <r>
    <x v="16"/>
    <s v="Children out of school (% of primary school age)"/>
    <m/>
    <x v="7"/>
  </r>
  <r>
    <x v="17"/>
    <s v="Children out of school (% of primary school age)"/>
    <m/>
    <x v="7"/>
  </r>
  <r>
    <x v="18"/>
    <s v="Children out of school (% of primary school age)"/>
    <m/>
    <x v="7"/>
  </r>
  <r>
    <x v="19"/>
    <s v="Children out of school (% of primary school age)"/>
    <m/>
    <x v="7"/>
  </r>
  <r>
    <x v="20"/>
    <s v="Children out of school (% of primary school age)"/>
    <m/>
    <x v="7"/>
  </r>
  <r>
    <x v="21"/>
    <s v="Children out of school (% of primary school age)"/>
    <m/>
    <x v="7"/>
  </r>
  <r>
    <x v="22"/>
    <s v="Children out of school (% of primary school age)"/>
    <m/>
    <x v="7"/>
  </r>
  <r>
    <x v="23"/>
    <s v="Children out of school (% of primary school age)"/>
    <m/>
    <x v="7"/>
  </r>
  <r>
    <x v="24"/>
    <s v="Children out of school (% of primary school age)"/>
    <m/>
    <x v="7"/>
  </r>
  <r>
    <x v="25"/>
    <s v="Children out of school (% of primary school age)"/>
    <m/>
    <x v="7"/>
  </r>
  <r>
    <x v="26"/>
    <s v="Children out of school (% of primary school age)"/>
    <m/>
    <x v="7"/>
  </r>
  <r>
    <x v="27"/>
    <s v="Children out of school (% of primary school age)"/>
    <m/>
    <x v="7"/>
  </r>
  <r>
    <x v="0"/>
    <s v="Children out of school (% of primary school age)"/>
    <m/>
    <x v="8"/>
  </r>
  <r>
    <x v="1"/>
    <s v="Children out of school (% of primary school age)"/>
    <m/>
    <x v="8"/>
  </r>
  <r>
    <x v="2"/>
    <s v="Children out of school (% of primary school age)"/>
    <m/>
    <x v="8"/>
  </r>
  <r>
    <x v="3"/>
    <s v="Children out of school (% of primary school age)"/>
    <m/>
    <x v="8"/>
  </r>
  <r>
    <x v="4"/>
    <s v="Children out of school (% of primary school age)"/>
    <m/>
    <x v="8"/>
  </r>
  <r>
    <x v="5"/>
    <s v="Children out of school (% of primary school age)"/>
    <m/>
    <x v="8"/>
  </r>
  <r>
    <x v="6"/>
    <s v="Children out of school (% of primary school age)"/>
    <m/>
    <x v="8"/>
  </r>
  <r>
    <x v="7"/>
    <s v="Children out of school (% of primary school age)"/>
    <m/>
    <x v="8"/>
  </r>
  <r>
    <x v="8"/>
    <s v="Children out of school (% of primary school age)"/>
    <m/>
    <x v="8"/>
  </r>
  <r>
    <x v="9"/>
    <s v="Children out of school (% of primary school age)"/>
    <m/>
    <x v="8"/>
  </r>
  <r>
    <x v="10"/>
    <s v="Children out of school (% of primary school age)"/>
    <m/>
    <x v="8"/>
  </r>
  <r>
    <x v="11"/>
    <s v="Children out of school (% of primary school age)"/>
    <m/>
    <x v="8"/>
  </r>
  <r>
    <x v="12"/>
    <s v="Children out of school (% of primary school age)"/>
    <m/>
    <x v="8"/>
  </r>
  <r>
    <x v="13"/>
    <s v="Children out of school (% of primary school age)"/>
    <m/>
    <x v="8"/>
  </r>
  <r>
    <x v="14"/>
    <s v="Children out of school (% of primary school age)"/>
    <m/>
    <x v="8"/>
  </r>
  <r>
    <x v="15"/>
    <s v="Children out of school (% of primary school age)"/>
    <m/>
    <x v="8"/>
  </r>
  <r>
    <x v="16"/>
    <s v="Children out of school (% of primary school age)"/>
    <m/>
    <x v="8"/>
  </r>
  <r>
    <x v="17"/>
    <s v="Children out of school (% of primary school age)"/>
    <m/>
    <x v="8"/>
  </r>
  <r>
    <x v="18"/>
    <s v="Children out of school (% of primary school age)"/>
    <m/>
    <x v="8"/>
  </r>
  <r>
    <x v="19"/>
    <s v="Children out of school (% of primary school age)"/>
    <m/>
    <x v="8"/>
  </r>
  <r>
    <x v="20"/>
    <s v="Children out of school (% of primary school age)"/>
    <m/>
    <x v="8"/>
  </r>
  <r>
    <x v="21"/>
    <s v="Children out of school (% of primary school age)"/>
    <m/>
    <x v="8"/>
  </r>
  <r>
    <x v="22"/>
    <s v="Children out of school (% of primary school age)"/>
    <m/>
    <x v="8"/>
  </r>
  <r>
    <x v="23"/>
    <s v="Children out of school (% of primary school age)"/>
    <m/>
    <x v="8"/>
  </r>
  <r>
    <x v="24"/>
    <s v="Children out of school (% of primary school age)"/>
    <m/>
    <x v="8"/>
  </r>
  <r>
    <x v="25"/>
    <s v="Children out of school (% of primary school age)"/>
    <m/>
    <x v="8"/>
  </r>
  <r>
    <x v="26"/>
    <s v="Children out of school (% of primary school age)"/>
    <m/>
    <x v="8"/>
  </r>
  <r>
    <x v="27"/>
    <s v="Children out of school (% of primary school age)"/>
    <m/>
    <x v="8"/>
  </r>
  <r>
    <x v="0"/>
    <s v="Children out of school (% of primary school age)"/>
    <m/>
    <x v="9"/>
  </r>
  <r>
    <x v="1"/>
    <s v="Children out of school (% of primary school age)"/>
    <m/>
    <x v="9"/>
  </r>
  <r>
    <x v="2"/>
    <s v="Children out of school (% of primary school age)"/>
    <m/>
    <x v="9"/>
  </r>
  <r>
    <x v="3"/>
    <s v="Children out of school (% of primary school age)"/>
    <m/>
    <x v="9"/>
  </r>
  <r>
    <x v="4"/>
    <s v="Children out of school (% of primary school age)"/>
    <m/>
    <x v="9"/>
  </r>
  <r>
    <x v="5"/>
    <s v="Children out of school (% of primary school age)"/>
    <m/>
    <x v="9"/>
  </r>
  <r>
    <x v="6"/>
    <s v="Children out of school (% of primary school age)"/>
    <m/>
    <x v="9"/>
  </r>
  <r>
    <x v="7"/>
    <s v="Children out of school (% of primary school age)"/>
    <m/>
    <x v="9"/>
  </r>
  <r>
    <x v="8"/>
    <s v="Children out of school (% of primary school age)"/>
    <m/>
    <x v="9"/>
  </r>
  <r>
    <x v="9"/>
    <s v="Children out of school (% of primary school age)"/>
    <m/>
    <x v="9"/>
  </r>
  <r>
    <x v="10"/>
    <s v="Children out of school (% of primary school age)"/>
    <m/>
    <x v="9"/>
  </r>
  <r>
    <x v="11"/>
    <s v="Children out of school (% of primary school age)"/>
    <m/>
    <x v="9"/>
  </r>
  <r>
    <x v="12"/>
    <s v="Children out of school (% of primary school age)"/>
    <m/>
    <x v="9"/>
  </r>
  <r>
    <x v="13"/>
    <s v="Children out of school (% of primary school age)"/>
    <m/>
    <x v="9"/>
  </r>
  <r>
    <x v="14"/>
    <s v="Children out of school (% of primary school age)"/>
    <m/>
    <x v="9"/>
  </r>
  <r>
    <x v="15"/>
    <s v="Children out of school (% of primary school age)"/>
    <m/>
    <x v="9"/>
  </r>
  <r>
    <x v="16"/>
    <s v="Children out of school (% of primary school age)"/>
    <m/>
    <x v="9"/>
  </r>
  <r>
    <x v="17"/>
    <s v="Children out of school (% of primary school age)"/>
    <m/>
    <x v="9"/>
  </r>
  <r>
    <x v="18"/>
    <s v="Children out of school (% of primary school age)"/>
    <m/>
    <x v="9"/>
  </r>
  <r>
    <x v="19"/>
    <s v="Children out of school (% of primary school age)"/>
    <m/>
    <x v="9"/>
  </r>
  <r>
    <x v="20"/>
    <s v="Children out of school (% of primary school age)"/>
    <m/>
    <x v="9"/>
  </r>
  <r>
    <x v="21"/>
    <s v="Children out of school (% of primary school age)"/>
    <m/>
    <x v="9"/>
  </r>
  <r>
    <x v="22"/>
    <s v="Children out of school (% of primary school age)"/>
    <m/>
    <x v="9"/>
  </r>
  <r>
    <x v="23"/>
    <s v="Children out of school (% of primary school age)"/>
    <m/>
    <x v="9"/>
  </r>
  <r>
    <x v="24"/>
    <s v="Children out of school (% of primary school age)"/>
    <m/>
    <x v="9"/>
  </r>
  <r>
    <x v="25"/>
    <s v="Children out of school (% of primary school age)"/>
    <m/>
    <x v="9"/>
  </r>
  <r>
    <x v="26"/>
    <s v="Children out of school (% of primary school age)"/>
    <m/>
    <x v="9"/>
  </r>
  <r>
    <x v="27"/>
    <s v="Children out of school (% of primary school age)"/>
    <m/>
    <x v="9"/>
  </r>
  <r>
    <x v="0"/>
    <s v="Children out of school (% of primary school age)"/>
    <m/>
    <x v="10"/>
  </r>
  <r>
    <x v="1"/>
    <s v="Children out of school (% of primary school age)"/>
    <m/>
    <x v="10"/>
  </r>
  <r>
    <x v="2"/>
    <s v="Children out of school (% of primary school age)"/>
    <m/>
    <x v="10"/>
  </r>
  <r>
    <x v="3"/>
    <s v="Children out of school (% of primary school age)"/>
    <m/>
    <x v="10"/>
  </r>
  <r>
    <x v="4"/>
    <s v="Children out of school (% of primary school age)"/>
    <m/>
    <x v="10"/>
  </r>
  <r>
    <x v="5"/>
    <s v="Children out of school (% of primary school age)"/>
    <m/>
    <x v="10"/>
  </r>
  <r>
    <x v="6"/>
    <s v="Children out of school (% of primary school age)"/>
    <m/>
    <x v="10"/>
  </r>
  <r>
    <x v="7"/>
    <s v="Children out of school (% of primary school age)"/>
    <m/>
    <x v="10"/>
  </r>
  <r>
    <x v="8"/>
    <s v="Children out of school (% of primary school age)"/>
    <m/>
    <x v="10"/>
  </r>
  <r>
    <x v="9"/>
    <s v="Children out of school (% of primary school age)"/>
    <m/>
    <x v="10"/>
  </r>
  <r>
    <x v="10"/>
    <s v="Children out of school (% of primary school age)"/>
    <m/>
    <x v="10"/>
  </r>
  <r>
    <x v="11"/>
    <s v="Children out of school (% of primary school age)"/>
    <m/>
    <x v="10"/>
  </r>
  <r>
    <x v="12"/>
    <s v="Children out of school (% of primary school age)"/>
    <m/>
    <x v="10"/>
  </r>
  <r>
    <x v="13"/>
    <s v="Children out of school (% of primary school age)"/>
    <m/>
    <x v="10"/>
  </r>
  <r>
    <x v="14"/>
    <s v="Children out of school (% of primary school age)"/>
    <m/>
    <x v="10"/>
  </r>
  <r>
    <x v="15"/>
    <s v="Children out of school (% of primary school age)"/>
    <m/>
    <x v="10"/>
  </r>
  <r>
    <x v="16"/>
    <s v="Children out of school (% of primary school age)"/>
    <m/>
    <x v="10"/>
  </r>
  <r>
    <x v="17"/>
    <s v="Children out of school (% of primary school age)"/>
    <m/>
    <x v="10"/>
  </r>
  <r>
    <x v="18"/>
    <s v="Children out of school (% of primary school age)"/>
    <n v="47.5801811218262"/>
    <x v="10"/>
  </r>
  <r>
    <x v="19"/>
    <s v="Children out of school (% of primary school age)"/>
    <m/>
    <x v="10"/>
  </r>
  <r>
    <x v="20"/>
    <s v="Children out of school (% of primary school age)"/>
    <m/>
    <x v="10"/>
  </r>
  <r>
    <x v="21"/>
    <s v="Children out of school (% of primary school age)"/>
    <m/>
    <x v="10"/>
  </r>
  <r>
    <x v="22"/>
    <s v="Children out of school (% of primary school age)"/>
    <m/>
    <x v="10"/>
  </r>
  <r>
    <x v="23"/>
    <s v="Children out of school (% of primary school age)"/>
    <m/>
    <x v="10"/>
  </r>
  <r>
    <x v="24"/>
    <s v="Children out of school (% of primary school age)"/>
    <m/>
    <x v="10"/>
  </r>
  <r>
    <x v="25"/>
    <s v="Children out of school (% of primary school age)"/>
    <m/>
    <x v="10"/>
  </r>
  <r>
    <x v="26"/>
    <s v="Children out of school (% of primary school age)"/>
    <m/>
    <x v="10"/>
  </r>
  <r>
    <x v="27"/>
    <s v="Children out of school (% of primary school age)"/>
    <m/>
    <x v="10"/>
  </r>
  <r>
    <x v="0"/>
    <s v="Children out of school (% of primary school age)"/>
    <m/>
    <x v="11"/>
  </r>
  <r>
    <x v="1"/>
    <s v="Children out of school (% of primary school age)"/>
    <n v="35.5182914733887"/>
    <x v="11"/>
  </r>
  <r>
    <x v="2"/>
    <s v="Children out of school (% of primary school age)"/>
    <m/>
    <x v="11"/>
  </r>
  <r>
    <x v="3"/>
    <s v="Children out of school (% of primary school age)"/>
    <m/>
    <x v="11"/>
  </r>
  <r>
    <x v="4"/>
    <s v="Children out of school (% of primary school age)"/>
    <m/>
    <x v="11"/>
  </r>
  <r>
    <x v="5"/>
    <s v="Children out of school (% of primary school age)"/>
    <m/>
    <x v="11"/>
  </r>
  <r>
    <x v="6"/>
    <s v="Children out of school (% of primary school age)"/>
    <m/>
    <x v="11"/>
  </r>
  <r>
    <x v="7"/>
    <s v="Children out of school (% of primary school age)"/>
    <m/>
    <x v="11"/>
  </r>
  <r>
    <x v="8"/>
    <s v="Children out of school (% of primary school age)"/>
    <m/>
    <x v="11"/>
  </r>
  <r>
    <x v="9"/>
    <s v="Children out of school (% of primary school age)"/>
    <m/>
    <x v="11"/>
  </r>
  <r>
    <x v="10"/>
    <s v="Children out of school (% of primary school age)"/>
    <m/>
    <x v="11"/>
  </r>
  <r>
    <x v="11"/>
    <s v="Children out of school (% of primary school age)"/>
    <m/>
    <x v="11"/>
  </r>
  <r>
    <x v="12"/>
    <s v="Children out of school (% of primary school age)"/>
    <m/>
    <x v="11"/>
  </r>
  <r>
    <x v="13"/>
    <s v="Children out of school (% of primary school age)"/>
    <n v="82.985198974609403"/>
    <x v="11"/>
  </r>
  <r>
    <x v="14"/>
    <s v="Children out of school (% of primary school age)"/>
    <m/>
    <x v="11"/>
  </r>
  <r>
    <x v="15"/>
    <s v="Children out of school (% of primary school age)"/>
    <m/>
    <x v="11"/>
  </r>
  <r>
    <x v="16"/>
    <s v="Children out of school (% of primary school age)"/>
    <n v="36.297798156738303"/>
    <x v="11"/>
  </r>
  <r>
    <x v="17"/>
    <s v="Children out of school (% of primary school age)"/>
    <m/>
    <x v="11"/>
  </r>
  <r>
    <x v="18"/>
    <s v="Children out of school (% of primary school age)"/>
    <n v="44.766059875488303"/>
    <x v="11"/>
  </r>
  <r>
    <x v="19"/>
    <s v="Children out of school (% of primary school age)"/>
    <m/>
    <x v="11"/>
  </r>
  <r>
    <x v="20"/>
    <s v="Children out of school (% of primary school age)"/>
    <m/>
    <x v="11"/>
  </r>
  <r>
    <x v="21"/>
    <s v="Children out of school (% of primary school age)"/>
    <m/>
    <x v="11"/>
  </r>
  <r>
    <x v="22"/>
    <s v="Children out of school (% of primary school age)"/>
    <m/>
    <x v="11"/>
  </r>
  <r>
    <x v="23"/>
    <s v="Children out of school (% of primary school age)"/>
    <m/>
    <x v="11"/>
  </r>
  <r>
    <x v="24"/>
    <s v="Children out of school (% of primary school age)"/>
    <m/>
    <x v="11"/>
  </r>
  <r>
    <x v="25"/>
    <s v="Children out of school (% of primary school age)"/>
    <m/>
    <x v="11"/>
  </r>
  <r>
    <x v="26"/>
    <s v="Children out of school (% of primary school age)"/>
    <m/>
    <x v="11"/>
  </r>
  <r>
    <x v="27"/>
    <s v="Children out of school (% of primary school age)"/>
    <m/>
    <x v="11"/>
  </r>
  <r>
    <x v="0"/>
    <s v="Children out of school (% of primary school age)"/>
    <m/>
    <x v="12"/>
  </r>
  <r>
    <x v="1"/>
    <s v="Children out of school (% of primary school age)"/>
    <n v="36.585720062255902"/>
    <x v="12"/>
  </r>
  <r>
    <x v="2"/>
    <s v="Children out of school (% of primary school age)"/>
    <m/>
    <x v="12"/>
  </r>
  <r>
    <x v="3"/>
    <s v="Children out of school (% of primary school age)"/>
    <m/>
    <x v="12"/>
  </r>
  <r>
    <x v="4"/>
    <s v="Children out of school (% of primary school age)"/>
    <m/>
    <x v="12"/>
  </r>
  <r>
    <x v="5"/>
    <s v="Children out of school (% of primary school age)"/>
    <m/>
    <x v="12"/>
  </r>
  <r>
    <x v="6"/>
    <s v="Children out of school (% of primary school age)"/>
    <m/>
    <x v="12"/>
  </r>
  <r>
    <x v="7"/>
    <s v="Children out of school (% of primary school age)"/>
    <m/>
    <x v="12"/>
  </r>
  <r>
    <x v="8"/>
    <s v="Children out of school (% of primary school age)"/>
    <m/>
    <x v="12"/>
  </r>
  <r>
    <x v="9"/>
    <s v="Children out of school (% of primary school age)"/>
    <m/>
    <x v="12"/>
  </r>
  <r>
    <x v="10"/>
    <s v="Children out of school (% of primary school age)"/>
    <m/>
    <x v="12"/>
  </r>
  <r>
    <x v="11"/>
    <s v="Children out of school (% of primary school age)"/>
    <n v="32.875728607177699"/>
    <x v="12"/>
  </r>
  <r>
    <x v="12"/>
    <s v="Children out of school (% of primary school age)"/>
    <m/>
    <x v="12"/>
  </r>
  <r>
    <x v="13"/>
    <s v="Children out of school (% of primary school age)"/>
    <n v="82.302169799804702"/>
    <x v="12"/>
  </r>
  <r>
    <x v="14"/>
    <s v="Children out of school (% of primary school age)"/>
    <m/>
    <x v="12"/>
  </r>
  <r>
    <x v="15"/>
    <s v="Children out of school (% of primary school age)"/>
    <m/>
    <x v="12"/>
  </r>
  <r>
    <x v="16"/>
    <s v="Children out of school (% of primary school age)"/>
    <m/>
    <x v="12"/>
  </r>
  <r>
    <x v="17"/>
    <s v="Children out of school (% of primary school age)"/>
    <m/>
    <x v="12"/>
  </r>
  <r>
    <x v="18"/>
    <s v="Children out of school (% of primary school age)"/>
    <n v="44.979679107666001"/>
    <x v="12"/>
  </r>
  <r>
    <x v="19"/>
    <s v="Children out of school (% of primary school age)"/>
    <m/>
    <x v="12"/>
  </r>
  <r>
    <x v="20"/>
    <s v="Children out of school (% of primary school age)"/>
    <m/>
    <x v="12"/>
  </r>
  <r>
    <x v="21"/>
    <s v="Children out of school (% of primary school age)"/>
    <m/>
    <x v="12"/>
  </r>
  <r>
    <x v="22"/>
    <s v="Children out of school (% of primary school age)"/>
    <m/>
    <x v="12"/>
  </r>
  <r>
    <x v="23"/>
    <s v="Children out of school (% of primary school age)"/>
    <m/>
    <x v="12"/>
  </r>
  <r>
    <x v="24"/>
    <s v="Children out of school (% of primary school age)"/>
    <m/>
    <x v="12"/>
  </r>
  <r>
    <x v="25"/>
    <s v="Children out of school (% of primary school age)"/>
    <m/>
    <x v="12"/>
  </r>
  <r>
    <x v="26"/>
    <s v="Children out of school (% of primary school age)"/>
    <n v="21.632930755615199"/>
    <x v="12"/>
  </r>
  <r>
    <x v="27"/>
    <s v="Children out of school (% of primary school age)"/>
    <m/>
    <x v="12"/>
  </r>
  <r>
    <x v="0"/>
    <s v="Children out of school (% of primary school age)"/>
    <n v="81.225128173828097"/>
    <x v="13"/>
  </r>
  <r>
    <x v="1"/>
    <s v="Children out of school (% of primary school age)"/>
    <n v="38.345569610595703"/>
    <x v="13"/>
  </r>
  <r>
    <x v="2"/>
    <s v="Children out of school (% of primary school age)"/>
    <m/>
    <x v="13"/>
  </r>
  <r>
    <x v="3"/>
    <s v="Children out of school (% of primary school age)"/>
    <m/>
    <x v="13"/>
  </r>
  <r>
    <x v="4"/>
    <s v="Children out of school (% of primary school age)"/>
    <m/>
    <x v="13"/>
  </r>
  <r>
    <x v="5"/>
    <s v="Children out of school (% of primary school age)"/>
    <m/>
    <x v="13"/>
  </r>
  <r>
    <x v="6"/>
    <s v="Children out of school (% of primary school age)"/>
    <m/>
    <x v="13"/>
  </r>
  <r>
    <x v="7"/>
    <s v="Children out of school (% of primary school age)"/>
    <m/>
    <x v="13"/>
  </r>
  <r>
    <x v="8"/>
    <s v="Children out of school (% of primary school age)"/>
    <m/>
    <x v="13"/>
  </r>
  <r>
    <x v="9"/>
    <s v="Children out of school (% of primary school age)"/>
    <m/>
    <x v="13"/>
  </r>
  <r>
    <x v="10"/>
    <s v="Children out of school (% of primary school age)"/>
    <m/>
    <x v="13"/>
  </r>
  <r>
    <x v="11"/>
    <s v="Children out of school (% of primary school age)"/>
    <m/>
    <x v="13"/>
  </r>
  <r>
    <x v="12"/>
    <s v="Children out of school (% of primary school age)"/>
    <m/>
    <x v="13"/>
  </r>
  <r>
    <x v="13"/>
    <s v="Children out of school (% of primary school age)"/>
    <n v="81.931060791015597"/>
    <x v="13"/>
  </r>
  <r>
    <x v="14"/>
    <s v="Children out of school (% of primary school age)"/>
    <m/>
    <x v="13"/>
  </r>
  <r>
    <x v="15"/>
    <s v="Children out of school (% of primary school age)"/>
    <n v="66.359481811523395"/>
    <x v="13"/>
  </r>
  <r>
    <x v="16"/>
    <s v="Children out of school (% of primary school age)"/>
    <n v="28.597900390625"/>
    <x v="13"/>
  </r>
  <r>
    <x v="17"/>
    <s v="Children out of school (% of primary school age)"/>
    <m/>
    <x v="13"/>
  </r>
  <r>
    <x v="18"/>
    <s v="Children out of school (% of primary school age)"/>
    <n v="44.282749176025398"/>
    <x v="13"/>
  </r>
  <r>
    <x v="19"/>
    <s v="Children out of school (% of primary school age)"/>
    <n v="89.391456604003906"/>
    <x v="13"/>
  </r>
  <r>
    <x v="20"/>
    <s v="Children out of school (% of primary school age)"/>
    <n v="44.638458251953097"/>
    <x v="13"/>
  </r>
  <r>
    <x v="21"/>
    <s v="Children out of school (% of primary school age)"/>
    <m/>
    <x v="13"/>
  </r>
  <r>
    <x v="22"/>
    <s v="Children out of school (% of primary school age)"/>
    <m/>
    <x v="13"/>
  </r>
  <r>
    <x v="23"/>
    <s v="Children out of school (% of primary school age)"/>
    <m/>
    <x v="13"/>
  </r>
  <r>
    <x v="24"/>
    <s v="Children out of school (% of primary school age)"/>
    <m/>
    <x v="13"/>
  </r>
  <r>
    <x v="25"/>
    <s v="Children out of school (% of primary school age)"/>
    <m/>
    <x v="13"/>
  </r>
  <r>
    <x v="26"/>
    <s v="Children out of school (% of primary school age)"/>
    <m/>
    <x v="13"/>
  </r>
  <r>
    <x v="27"/>
    <s v="Children out of school (% of primary school age)"/>
    <m/>
    <x v="13"/>
  </r>
  <r>
    <x v="0"/>
    <s v="Children out of school (% of primary school age)"/>
    <m/>
    <x v="14"/>
  </r>
  <r>
    <x v="1"/>
    <s v="Children out of school (% of primary school age)"/>
    <n v="40.461521148681598"/>
    <x v="14"/>
  </r>
  <r>
    <x v="2"/>
    <s v="Children out of school (% of primary school age)"/>
    <m/>
    <x v="14"/>
  </r>
  <r>
    <x v="3"/>
    <s v="Children out of school (% of primary school age)"/>
    <m/>
    <x v="14"/>
  </r>
  <r>
    <x v="4"/>
    <s v="Children out of school (% of primary school age)"/>
    <m/>
    <x v="14"/>
  </r>
  <r>
    <x v="5"/>
    <s v="Children out of school (% of primary school age)"/>
    <m/>
    <x v="14"/>
  </r>
  <r>
    <x v="6"/>
    <s v="Children out of school (% of primary school age)"/>
    <m/>
    <x v="14"/>
  </r>
  <r>
    <x v="7"/>
    <s v="Children out of school (% of primary school age)"/>
    <m/>
    <x v="14"/>
  </r>
  <r>
    <x v="8"/>
    <s v="Children out of school (% of primary school age)"/>
    <m/>
    <x v="14"/>
  </r>
  <r>
    <x v="9"/>
    <s v="Children out of school (% of primary school age)"/>
    <m/>
    <x v="14"/>
  </r>
  <r>
    <x v="10"/>
    <s v="Children out of school (% of primary school age)"/>
    <m/>
    <x v="14"/>
  </r>
  <r>
    <x v="11"/>
    <s v="Children out of school (% of primary school age)"/>
    <m/>
    <x v="14"/>
  </r>
  <r>
    <x v="12"/>
    <s v="Children out of school (% of primary school age)"/>
    <m/>
    <x v="14"/>
  </r>
  <r>
    <x v="13"/>
    <s v="Children out of school (% of primary school age)"/>
    <n v="79.457588195800795"/>
    <x v="14"/>
  </r>
  <r>
    <x v="14"/>
    <s v="Children out of school (% of primary school age)"/>
    <m/>
    <x v="14"/>
  </r>
  <r>
    <x v="15"/>
    <s v="Children out of school (% of primary school age)"/>
    <m/>
    <x v="14"/>
  </r>
  <r>
    <x v="16"/>
    <s v="Children out of school (% of primary school age)"/>
    <n v="38.294231414794901"/>
    <x v="14"/>
  </r>
  <r>
    <x v="17"/>
    <s v="Children out of school (% of primary school age)"/>
    <m/>
    <x v="14"/>
  </r>
  <r>
    <x v="18"/>
    <s v="Children out of school (% of primary school age)"/>
    <n v="44.381221771240199"/>
    <x v="14"/>
  </r>
  <r>
    <x v="19"/>
    <s v="Children out of school (% of primary school age)"/>
    <n v="88.864418029785199"/>
    <x v="14"/>
  </r>
  <r>
    <x v="20"/>
    <s v="Children out of school (% of primary school age)"/>
    <n v="46.764118194580099"/>
    <x v="14"/>
  </r>
  <r>
    <x v="21"/>
    <s v="Children out of school (% of primary school age)"/>
    <m/>
    <x v="14"/>
  </r>
  <r>
    <x v="22"/>
    <s v="Children out of school (% of primary school age)"/>
    <m/>
    <x v="14"/>
  </r>
  <r>
    <x v="23"/>
    <s v="Children out of school (% of primary school age)"/>
    <m/>
    <x v="14"/>
  </r>
  <r>
    <x v="24"/>
    <s v="Children out of school (% of primary school age)"/>
    <m/>
    <x v="14"/>
  </r>
  <r>
    <x v="25"/>
    <s v="Children out of school (% of primary school age)"/>
    <m/>
    <x v="14"/>
  </r>
  <r>
    <x v="26"/>
    <s v="Children out of school (% of primary school age)"/>
    <m/>
    <x v="14"/>
  </r>
  <r>
    <x v="27"/>
    <s v="Children out of school (% of primary school age)"/>
    <m/>
    <x v="14"/>
  </r>
  <r>
    <x v="0"/>
    <s v="Children out of school (% of primary school age)"/>
    <m/>
    <x v="15"/>
  </r>
  <r>
    <x v="1"/>
    <s v="Children out of school (% of primary school age)"/>
    <n v="33.838111877441399"/>
    <x v="15"/>
  </r>
  <r>
    <x v="2"/>
    <s v="Children out of school (% of primary school age)"/>
    <n v="75.819480895995994"/>
    <x v="15"/>
  </r>
  <r>
    <x v="3"/>
    <s v="Children out of school (% of primary school age)"/>
    <m/>
    <x v="15"/>
  </r>
  <r>
    <x v="4"/>
    <s v="Children out of school (% of primary school age)"/>
    <m/>
    <x v="15"/>
  </r>
  <r>
    <x v="5"/>
    <s v="Children out of school (% of primary school age)"/>
    <m/>
    <x v="15"/>
  </r>
  <r>
    <x v="6"/>
    <s v="Children out of school (% of primary school age)"/>
    <m/>
    <x v="15"/>
  </r>
  <r>
    <x v="7"/>
    <s v="Children out of school (% of primary school age)"/>
    <m/>
    <x v="15"/>
  </r>
  <r>
    <x v="8"/>
    <s v="Children out of school (% of primary school age)"/>
    <m/>
    <x v="15"/>
  </r>
  <r>
    <x v="9"/>
    <s v="Children out of school (% of primary school age)"/>
    <m/>
    <x v="15"/>
  </r>
  <r>
    <x v="10"/>
    <s v="Children out of school (% of primary school age)"/>
    <m/>
    <x v="15"/>
  </r>
  <r>
    <x v="11"/>
    <s v="Children out of school (% of primary school age)"/>
    <m/>
    <x v="15"/>
  </r>
  <r>
    <x v="12"/>
    <s v="Children out of school (% of primary school age)"/>
    <m/>
    <x v="15"/>
  </r>
  <r>
    <x v="13"/>
    <s v="Children out of school (% of primary school age)"/>
    <m/>
    <x v="15"/>
  </r>
  <r>
    <x v="14"/>
    <s v="Children out of school (% of primary school age)"/>
    <m/>
    <x v="15"/>
  </r>
  <r>
    <x v="15"/>
    <s v="Children out of school (% of primary school age)"/>
    <m/>
    <x v="15"/>
  </r>
  <r>
    <x v="16"/>
    <s v="Children out of school (% of primary school age)"/>
    <m/>
    <x v="15"/>
  </r>
  <r>
    <x v="17"/>
    <s v="Children out of school (% of primary school age)"/>
    <m/>
    <x v="15"/>
  </r>
  <r>
    <x v="18"/>
    <s v="Children out of school (% of primary school age)"/>
    <n v="42.480300903320298"/>
    <x v="15"/>
  </r>
  <r>
    <x v="19"/>
    <s v="Children out of school (% of primary school age)"/>
    <m/>
    <x v="15"/>
  </r>
  <r>
    <x v="20"/>
    <s v="Children out of school (% of primary school age)"/>
    <n v="49.187301635742202"/>
    <x v="15"/>
  </r>
  <r>
    <x v="21"/>
    <s v="Children out of school (% of primary school age)"/>
    <m/>
    <x v="15"/>
  </r>
  <r>
    <x v="22"/>
    <s v="Children out of school (% of primary school age)"/>
    <m/>
    <x v="15"/>
  </r>
  <r>
    <x v="23"/>
    <s v="Children out of school (% of primary school age)"/>
    <m/>
    <x v="15"/>
  </r>
  <r>
    <x v="24"/>
    <s v="Children out of school (% of primary school age)"/>
    <m/>
    <x v="15"/>
  </r>
  <r>
    <x v="25"/>
    <s v="Children out of school (% of primary school age)"/>
    <m/>
    <x v="15"/>
  </r>
  <r>
    <x v="26"/>
    <s v="Children out of school (% of primary school age)"/>
    <m/>
    <x v="15"/>
  </r>
  <r>
    <x v="27"/>
    <s v="Children out of school (% of primary school age)"/>
    <m/>
    <x v="15"/>
  </r>
  <r>
    <x v="0"/>
    <s v="Children out of school (% of primary school age)"/>
    <m/>
    <x v="16"/>
  </r>
  <r>
    <x v="1"/>
    <s v="Children out of school (% of primary school age)"/>
    <n v="32.3071899414063"/>
    <x v="16"/>
  </r>
  <r>
    <x v="2"/>
    <s v="Children out of school (% of primary school age)"/>
    <m/>
    <x v="16"/>
  </r>
  <r>
    <x v="3"/>
    <s v="Children out of school (% of primary school age)"/>
    <m/>
    <x v="16"/>
  </r>
  <r>
    <x v="4"/>
    <s v="Children out of school (% of primary school age)"/>
    <m/>
    <x v="16"/>
  </r>
  <r>
    <x v="5"/>
    <s v="Children out of school (% of primary school age)"/>
    <m/>
    <x v="16"/>
  </r>
  <r>
    <x v="6"/>
    <s v="Children out of school (% of primary school age)"/>
    <m/>
    <x v="16"/>
  </r>
  <r>
    <x v="7"/>
    <s v="Children out of school (% of primary school age)"/>
    <m/>
    <x v="16"/>
  </r>
  <r>
    <x v="8"/>
    <s v="Children out of school (% of primary school age)"/>
    <m/>
    <x v="16"/>
  </r>
  <r>
    <x v="9"/>
    <s v="Children out of school (% of primary school age)"/>
    <m/>
    <x v="16"/>
  </r>
  <r>
    <x v="10"/>
    <s v="Children out of school (% of primary school age)"/>
    <m/>
    <x v="16"/>
  </r>
  <r>
    <x v="11"/>
    <s v="Children out of school (% of primary school age)"/>
    <m/>
    <x v="16"/>
  </r>
  <r>
    <x v="12"/>
    <s v="Children out of school (% of primary school age)"/>
    <m/>
    <x v="16"/>
  </r>
  <r>
    <x v="13"/>
    <s v="Children out of school (% of primary school age)"/>
    <m/>
    <x v="16"/>
  </r>
  <r>
    <x v="14"/>
    <s v="Children out of school (% of primary school age)"/>
    <m/>
    <x v="16"/>
  </r>
  <r>
    <x v="15"/>
    <s v="Children out of school (% of primary school age)"/>
    <m/>
    <x v="16"/>
  </r>
  <r>
    <x v="16"/>
    <s v="Children out of school (% of primary school age)"/>
    <m/>
    <x v="16"/>
  </r>
  <r>
    <x v="17"/>
    <s v="Children out of school (% of primary school age)"/>
    <m/>
    <x v="16"/>
  </r>
  <r>
    <x v="18"/>
    <s v="Children out of school (% of primary school age)"/>
    <n v="41.252529144287102"/>
    <x v="16"/>
  </r>
  <r>
    <x v="19"/>
    <s v="Children out of school (% of primary school age)"/>
    <m/>
    <x v="16"/>
  </r>
  <r>
    <x v="20"/>
    <s v="Children out of school (% of primary school age)"/>
    <m/>
    <x v="16"/>
  </r>
  <r>
    <x v="21"/>
    <s v="Children out of school (% of primary school age)"/>
    <m/>
    <x v="16"/>
  </r>
  <r>
    <x v="22"/>
    <s v="Children out of school (% of primary school age)"/>
    <m/>
    <x v="16"/>
  </r>
  <r>
    <x v="23"/>
    <s v="Children out of school (% of primary school age)"/>
    <m/>
    <x v="16"/>
  </r>
  <r>
    <x v="24"/>
    <s v="Children out of school (% of primary school age)"/>
    <n v="51.7918510437012"/>
    <x v="16"/>
  </r>
  <r>
    <x v="25"/>
    <s v="Children out of school (% of primary school age)"/>
    <m/>
    <x v="16"/>
  </r>
  <r>
    <x v="26"/>
    <s v="Children out of school (% of primary school age)"/>
    <n v="19.5629692077637"/>
    <x v="16"/>
  </r>
  <r>
    <x v="27"/>
    <s v="Children out of school (% of primary school age)"/>
    <m/>
    <x v="16"/>
  </r>
  <r>
    <x v="0"/>
    <s v="Children out of school (% of primary school age)"/>
    <m/>
    <x v="17"/>
  </r>
  <r>
    <x v="1"/>
    <s v="Children out of school (% of primary school age)"/>
    <n v="33.590518951416001"/>
    <x v="17"/>
  </r>
  <r>
    <x v="2"/>
    <s v="Children out of school (% of primary school age)"/>
    <n v="75.2796630859375"/>
    <x v="17"/>
  </r>
  <r>
    <x v="3"/>
    <s v="Children out of school (% of primary school age)"/>
    <m/>
    <x v="17"/>
  </r>
  <r>
    <x v="4"/>
    <s v="Children out of school (% of primary school age)"/>
    <m/>
    <x v="17"/>
  </r>
  <r>
    <x v="5"/>
    <s v="Children out of school (% of primary school age)"/>
    <m/>
    <x v="17"/>
  </r>
  <r>
    <x v="6"/>
    <s v="Children out of school (% of primary school age)"/>
    <m/>
    <x v="17"/>
  </r>
  <r>
    <x v="7"/>
    <s v="Children out of school (% of primary school age)"/>
    <m/>
    <x v="17"/>
  </r>
  <r>
    <x v="8"/>
    <s v="Children out of school (% of primary school age)"/>
    <m/>
    <x v="17"/>
  </r>
  <r>
    <x v="9"/>
    <s v="Children out of school (% of primary school age)"/>
    <m/>
    <x v="17"/>
  </r>
  <r>
    <x v="10"/>
    <s v="Children out of school (% of primary school age)"/>
    <m/>
    <x v="17"/>
  </r>
  <r>
    <x v="11"/>
    <s v="Children out of school (% of primary school age)"/>
    <m/>
    <x v="17"/>
  </r>
  <r>
    <x v="12"/>
    <s v="Children out of school (% of primary school age)"/>
    <m/>
    <x v="17"/>
  </r>
  <r>
    <x v="13"/>
    <s v="Children out of school (% of primary school age)"/>
    <n v="79.328147888183494"/>
    <x v="17"/>
  </r>
  <r>
    <x v="14"/>
    <s v="Children out of school (% of primary school age)"/>
    <m/>
    <x v="17"/>
  </r>
  <r>
    <x v="15"/>
    <s v="Children out of school (% of primary school age)"/>
    <m/>
    <x v="17"/>
  </r>
  <r>
    <x v="16"/>
    <s v="Children out of school (% of primary school age)"/>
    <m/>
    <x v="17"/>
  </r>
  <r>
    <x v="17"/>
    <s v="Children out of school (% of primary school age)"/>
    <m/>
    <x v="17"/>
  </r>
  <r>
    <x v="18"/>
    <s v="Children out of school (% of primary school age)"/>
    <n v="42.178638458252003"/>
    <x v="17"/>
  </r>
  <r>
    <x v="19"/>
    <s v="Children out of school (% of primary school age)"/>
    <n v="84.874923706054702"/>
    <x v="17"/>
  </r>
  <r>
    <x v="20"/>
    <s v="Children out of school (% of primary school age)"/>
    <n v="45.729068756103501"/>
    <x v="17"/>
  </r>
  <r>
    <x v="21"/>
    <s v="Children out of school (% of primary school age)"/>
    <m/>
    <x v="17"/>
  </r>
  <r>
    <x v="22"/>
    <s v="Children out of school (% of primary school age)"/>
    <n v="21.5188999176025"/>
    <x v="17"/>
  </r>
  <r>
    <x v="23"/>
    <s v="Children out of school (% of primary school age)"/>
    <m/>
    <x v="17"/>
  </r>
  <r>
    <x v="24"/>
    <s v="Children out of school (% of primary school age)"/>
    <m/>
    <x v="17"/>
  </r>
  <r>
    <x v="25"/>
    <s v="Children out of school (% of primary school age)"/>
    <m/>
    <x v="17"/>
  </r>
  <r>
    <x v="26"/>
    <s v="Children out of school (% of primary school age)"/>
    <n v="19.696849822998001"/>
    <x v="17"/>
  </r>
  <r>
    <x v="27"/>
    <s v="Children out of school (% of primary school age)"/>
    <m/>
    <x v="17"/>
  </r>
  <r>
    <x v="0"/>
    <s v="Children out of school (% of primary school age)"/>
    <n v="82.583038330078097"/>
    <x v="18"/>
  </r>
  <r>
    <x v="1"/>
    <s v="Children out of school (% of primary school age)"/>
    <n v="32.2340698242188"/>
    <x v="18"/>
  </r>
  <r>
    <x v="2"/>
    <s v="Children out of school (% of primary school age)"/>
    <m/>
    <x v="18"/>
  </r>
  <r>
    <x v="3"/>
    <s v="Children out of school (% of primary school age)"/>
    <m/>
    <x v="18"/>
  </r>
  <r>
    <x v="4"/>
    <s v="Children out of school (% of primary school age)"/>
    <m/>
    <x v="18"/>
  </r>
  <r>
    <x v="5"/>
    <s v="Children out of school (% of primary school age)"/>
    <m/>
    <x v="18"/>
  </r>
  <r>
    <x v="6"/>
    <s v="Children out of school (% of primary school age)"/>
    <m/>
    <x v="18"/>
  </r>
  <r>
    <x v="7"/>
    <s v="Children out of school (% of primary school age)"/>
    <m/>
    <x v="18"/>
  </r>
  <r>
    <x v="8"/>
    <s v="Children out of school (% of primary school age)"/>
    <m/>
    <x v="18"/>
  </r>
  <r>
    <x v="9"/>
    <s v="Children out of school (% of primary school age)"/>
    <m/>
    <x v="18"/>
  </r>
  <r>
    <x v="10"/>
    <s v="Children out of school (% of primary school age)"/>
    <m/>
    <x v="18"/>
  </r>
  <r>
    <x v="11"/>
    <s v="Children out of school (% of primary school age)"/>
    <m/>
    <x v="18"/>
  </r>
  <r>
    <x v="12"/>
    <s v="Children out of school (% of primary school age)"/>
    <m/>
    <x v="18"/>
  </r>
  <r>
    <x v="13"/>
    <s v="Children out of school (% of primary school age)"/>
    <m/>
    <x v="18"/>
  </r>
  <r>
    <x v="14"/>
    <s v="Children out of school (% of primary school age)"/>
    <m/>
    <x v="18"/>
  </r>
  <r>
    <x v="15"/>
    <s v="Children out of school (% of primary school age)"/>
    <m/>
    <x v="18"/>
  </r>
  <r>
    <x v="16"/>
    <s v="Children out of school (% of primary school age)"/>
    <n v="32.810710906982401"/>
    <x v="18"/>
  </r>
  <r>
    <x v="17"/>
    <s v="Children out of school (% of primary school age)"/>
    <m/>
    <x v="18"/>
  </r>
  <r>
    <x v="18"/>
    <s v="Children out of school (% of primary school age)"/>
    <n v="44.210109710693402"/>
    <x v="18"/>
  </r>
  <r>
    <x v="19"/>
    <s v="Children out of school (% of primary school age)"/>
    <n v="83.855781555175795"/>
    <x v="18"/>
  </r>
  <r>
    <x v="20"/>
    <s v="Children out of school (% of primary school age)"/>
    <n v="43.492321014404197"/>
    <x v="18"/>
  </r>
  <r>
    <x v="21"/>
    <s v="Children out of school (% of primary school age)"/>
    <m/>
    <x v="18"/>
  </r>
  <r>
    <x v="22"/>
    <s v="Children out of school (% of primary school age)"/>
    <m/>
    <x v="18"/>
  </r>
  <r>
    <x v="23"/>
    <s v="Children out of school (% of primary school age)"/>
    <m/>
    <x v="18"/>
  </r>
  <r>
    <x v="24"/>
    <s v="Children out of school (% of primary school age)"/>
    <m/>
    <x v="18"/>
  </r>
  <r>
    <x v="25"/>
    <s v="Children out of school (% of primary school age)"/>
    <m/>
    <x v="18"/>
  </r>
  <r>
    <x v="26"/>
    <s v="Children out of school (% of primary school age)"/>
    <n v="20.880020141601602"/>
    <x v="18"/>
  </r>
  <r>
    <x v="27"/>
    <s v="Children out of school (% of primary school age)"/>
    <m/>
    <x v="18"/>
  </r>
  <r>
    <x v="0"/>
    <s v="Children out of school (% of primary school age)"/>
    <m/>
    <x v="19"/>
  </r>
  <r>
    <x v="1"/>
    <s v="Children out of school (% of primary school age)"/>
    <n v="31.284490585327099"/>
    <x v="19"/>
  </r>
  <r>
    <x v="2"/>
    <s v="Children out of school (% of primary school age)"/>
    <m/>
    <x v="19"/>
  </r>
  <r>
    <x v="3"/>
    <s v="Children out of school (% of primary school age)"/>
    <m/>
    <x v="19"/>
  </r>
  <r>
    <x v="4"/>
    <s v="Children out of school (% of primary school age)"/>
    <m/>
    <x v="19"/>
  </r>
  <r>
    <x v="5"/>
    <s v="Children out of school (% of primary school age)"/>
    <m/>
    <x v="19"/>
  </r>
  <r>
    <x v="6"/>
    <s v="Children out of school (% of primary school age)"/>
    <m/>
    <x v="19"/>
  </r>
  <r>
    <x v="7"/>
    <s v="Children out of school (% of primary school age)"/>
    <m/>
    <x v="19"/>
  </r>
  <r>
    <x v="8"/>
    <s v="Children out of school (% of primary school age)"/>
    <m/>
    <x v="19"/>
  </r>
  <r>
    <x v="9"/>
    <s v="Children out of school (% of primary school age)"/>
    <m/>
    <x v="19"/>
  </r>
  <r>
    <x v="10"/>
    <s v="Children out of school (% of primary school age)"/>
    <m/>
    <x v="19"/>
  </r>
  <r>
    <x v="11"/>
    <s v="Children out of school (% of primary school age)"/>
    <m/>
    <x v="19"/>
  </r>
  <r>
    <x v="12"/>
    <s v="Children out of school (% of primary school age)"/>
    <m/>
    <x v="19"/>
  </r>
  <r>
    <x v="13"/>
    <s v="Children out of school (% of primary school age)"/>
    <m/>
    <x v="19"/>
  </r>
  <r>
    <x v="14"/>
    <s v="Children out of school (% of primary school age)"/>
    <m/>
    <x v="19"/>
  </r>
  <r>
    <x v="15"/>
    <s v="Children out of school (% of primary school age)"/>
    <n v="62.916191101074197"/>
    <x v="19"/>
  </r>
  <r>
    <x v="16"/>
    <s v="Children out of school (% of primary school age)"/>
    <m/>
    <x v="19"/>
  </r>
  <r>
    <x v="17"/>
    <s v="Children out of school (% of primary school age)"/>
    <m/>
    <x v="19"/>
  </r>
  <r>
    <x v="18"/>
    <s v="Children out of school (% of primary school age)"/>
    <m/>
    <x v="19"/>
  </r>
  <r>
    <x v="19"/>
    <s v="Children out of school (% of primary school age)"/>
    <m/>
    <x v="19"/>
  </r>
  <r>
    <x v="20"/>
    <s v="Children out of school (% of primary school age)"/>
    <m/>
    <x v="19"/>
  </r>
  <r>
    <x v="21"/>
    <s v="Children out of school (% of primary school age)"/>
    <m/>
    <x v="19"/>
  </r>
  <r>
    <x v="22"/>
    <s v="Children out of school (% of primary school age)"/>
    <m/>
    <x v="19"/>
  </r>
  <r>
    <x v="23"/>
    <s v="Children out of school (% of primary school age)"/>
    <m/>
    <x v="19"/>
  </r>
  <r>
    <x v="24"/>
    <s v="Children out of school (% of primary school age)"/>
    <m/>
    <x v="19"/>
  </r>
  <r>
    <x v="25"/>
    <s v="Children out of school (% of primary school age)"/>
    <n v="62.786598205566399"/>
    <x v="19"/>
  </r>
  <r>
    <x v="26"/>
    <s v="Children out of school (% of primary school age)"/>
    <n v="21.405370712280298"/>
    <x v="19"/>
  </r>
  <r>
    <x v="27"/>
    <s v="Children out of school (% of primary school age)"/>
    <m/>
    <x v="19"/>
  </r>
  <r>
    <x v="0"/>
    <s v="Children out of school (% of primary school age)"/>
    <n v="80.837600708007798"/>
    <x v="20"/>
  </r>
  <r>
    <x v="1"/>
    <s v="Children out of school (% of primary school age)"/>
    <n v="31.043220520019499"/>
    <x v="20"/>
  </r>
  <r>
    <x v="2"/>
    <s v="Children out of school (% of primary school age)"/>
    <m/>
    <x v="20"/>
  </r>
  <r>
    <x v="3"/>
    <s v="Children out of school (% of primary school age)"/>
    <m/>
    <x v="20"/>
  </r>
  <r>
    <x v="4"/>
    <s v="Children out of school (% of primary school age)"/>
    <m/>
    <x v="20"/>
  </r>
  <r>
    <x v="5"/>
    <s v="Children out of school (% of primary school age)"/>
    <m/>
    <x v="20"/>
  </r>
  <r>
    <x v="6"/>
    <s v="Children out of school (% of primary school age)"/>
    <m/>
    <x v="20"/>
  </r>
  <r>
    <x v="7"/>
    <s v="Children out of school (% of primary school age)"/>
    <n v="64.101707458495994"/>
    <x v="20"/>
  </r>
  <r>
    <x v="8"/>
    <s v="Children out of school (% of primary school age)"/>
    <m/>
    <x v="20"/>
  </r>
  <r>
    <x v="9"/>
    <s v="Children out of school (% of primary school age)"/>
    <m/>
    <x v="20"/>
  </r>
  <r>
    <x v="10"/>
    <s v="Children out of school (% of primary school age)"/>
    <m/>
    <x v="20"/>
  </r>
  <r>
    <x v="11"/>
    <s v="Children out of school (% of primary school age)"/>
    <m/>
    <x v="20"/>
  </r>
  <r>
    <x v="12"/>
    <s v="Children out of school (% of primary school age)"/>
    <m/>
    <x v="20"/>
  </r>
  <r>
    <x v="13"/>
    <s v="Children out of school (% of primary school age)"/>
    <m/>
    <x v="20"/>
  </r>
  <r>
    <x v="14"/>
    <s v="Children out of school (% of primary school age)"/>
    <m/>
    <x v="20"/>
  </r>
  <r>
    <x v="15"/>
    <s v="Children out of school (% of primary school age)"/>
    <m/>
    <x v="20"/>
  </r>
  <r>
    <x v="16"/>
    <s v="Children out of school (% of primary school age)"/>
    <m/>
    <x v="20"/>
  </r>
  <r>
    <x v="17"/>
    <s v="Children out of school (% of primary school age)"/>
    <m/>
    <x v="20"/>
  </r>
  <r>
    <x v="18"/>
    <s v="Children out of school (% of primary school age)"/>
    <n v="35.602939605712898"/>
    <x v="20"/>
  </r>
  <r>
    <x v="19"/>
    <s v="Children out of school (% of primary school age)"/>
    <m/>
    <x v="20"/>
  </r>
  <r>
    <x v="20"/>
    <s v="Children out of school (% of primary school age)"/>
    <m/>
    <x v="20"/>
  </r>
  <r>
    <x v="21"/>
    <s v="Children out of school (% of primary school age)"/>
    <m/>
    <x v="20"/>
  </r>
  <r>
    <x v="22"/>
    <s v="Children out of school (% of primary school age)"/>
    <m/>
    <x v="20"/>
  </r>
  <r>
    <x v="23"/>
    <s v="Children out of school (% of primary school age)"/>
    <m/>
    <x v="20"/>
  </r>
  <r>
    <x v="24"/>
    <s v="Children out of school (% of primary school age)"/>
    <n v="30.131679534912099"/>
    <x v="20"/>
  </r>
  <r>
    <x v="25"/>
    <s v="Children out of school (% of primary school age)"/>
    <m/>
    <x v="20"/>
  </r>
  <r>
    <x v="26"/>
    <s v="Children out of school (% of primary school age)"/>
    <n v="21.401889801025401"/>
    <x v="20"/>
  </r>
  <r>
    <x v="27"/>
    <s v="Children out of school (% of primary school age)"/>
    <m/>
    <x v="20"/>
  </r>
  <r>
    <x v="0"/>
    <s v="Children out of school (% of primary school age)"/>
    <n v="78.840316772460895"/>
    <x v="21"/>
  </r>
  <r>
    <x v="1"/>
    <s v="Children out of school (% of primary school age)"/>
    <m/>
    <x v="21"/>
  </r>
  <r>
    <x v="2"/>
    <s v="Children out of school (% of primary school age)"/>
    <m/>
    <x v="21"/>
  </r>
  <r>
    <x v="3"/>
    <s v="Children out of school (% of primary school age)"/>
    <m/>
    <x v="21"/>
  </r>
  <r>
    <x v="4"/>
    <s v="Children out of school (% of primary school age)"/>
    <m/>
    <x v="21"/>
  </r>
  <r>
    <x v="5"/>
    <s v="Children out of school (% of primary school age)"/>
    <m/>
    <x v="21"/>
  </r>
  <r>
    <x v="6"/>
    <s v="Children out of school (% of primary school age)"/>
    <m/>
    <x v="21"/>
  </r>
  <r>
    <x v="7"/>
    <s v="Children out of school (% of primary school age)"/>
    <n v="63.043209075927699"/>
    <x v="21"/>
  </r>
  <r>
    <x v="8"/>
    <s v="Children out of school (% of primary school age)"/>
    <m/>
    <x v="21"/>
  </r>
  <r>
    <x v="9"/>
    <s v="Children out of school (% of primary school age)"/>
    <m/>
    <x v="21"/>
  </r>
  <r>
    <x v="10"/>
    <s v="Children out of school (% of primary school age)"/>
    <m/>
    <x v="21"/>
  </r>
  <r>
    <x v="11"/>
    <s v="Children out of school (% of primary school age)"/>
    <m/>
    <x v="21"/>
  </r>
  <r>
    <x v="12"/>
    <s v="Children out of school (% of primary school age)"/>
    <m/>
    <x v="21"/>
  </r>
  <r>
    <x v="13"/>
    <s v="Children out of school (% of primary school age)"/>
    <m/>
    <x v="21"/>
  </r>
  <r>
    <x v="14"/>
    <s v="Children out of school (% of primary school age)"/>
    <m/>
    <x v="21"/>
  </r>
  <r>
    <x v="15"/>
    <s v="Children out of school (% of primary school age)"/>
    <n v="65.215606689453097"/>
    <x v="21"/>
  </r>
  <r>
    <x v="16"/>
    <s v="Children out of school (% of primary school age)"/>
    <m/>
    <x v="21"/>
  </r>
  <r>
    <x v="17"/>
    <s v="Children out of school (% of primary school age)"/>
    <m/>
    <x v="21"/>
  </r>
  <r>
    <x v="18"/>
    <s v="Children out of school (% of primary school age)"/>
    <m/>
    <x v="21"/>
  </r>
  <r>
    <x v="19"/>
    <s v="Children out of school (% of primary school age)"/>
    <n v="80.795867919921903"/>
    <x v="21"/>
  </r>
  <r>
    <x v="20"/>
    <s v="Children out of school (% of primary school age)"/>
    <m/>
    <x v="21"/>
  </r>
  <r>
    <x v="21"/>
    <s v="Children out of school (% of primary school age)"/>
    <m/>
    <x v="21"/>
  </r>
  <r>
    <x v="22"/>
    <s v="Children out of school (% of primary school age)"/>
    <m/>
    <x v="21"/>
  </r>
  <r>
    <x v="23"/>
    <s v="Children out of school (% of primary school age)"/>
    <m/>
    <x v="21"/>
  </r>
  <r>
    <x v="24"/>
    <s v="Children out of school (% of primary school age)"/>
    <n v="31.4073295593262"/>
    <x v="21"/>
  </r>
  <r>
    <x v="25"/>
    <s v="Children out of school (% of primary school age)"/>
    <n v="59.207511901855497"/>
    <x v="21"/>
  </r>
  <r>
    <x v="26"/>
    <s v="Children out of school (% of primary school age)"/>
    <n v="21.379459381103501"/>
    <x v="21"/>
  </r>
  <r>
    <x v="27"/>
    <s v="Children out of school (% of primary school age)"/>
    <m/>
    <x v="21"/>
  </r>
  <r>
    <x v="0"/>
    <s v="Children out of school (% of primary school age)"/>
    <n v="75.389266967773395"/>
    <x v="22"/>
  </r>
  <r>
    <x v="1"/>
    <s v="Children out of school (% of primary school age)"/>
    <m/>
    <x v="22"/>
  </r>
  <r>
    <x v="2"/>
    <s v="Children out of school (% of primary school age)"/>
    <m/>
    <x v="22"/>
  </r>
  <r>
    <x v="3"/>
    <s v="Children out of school (% of primary school age)"/>
    <m/>
    <x v="22"/>
  </r>
  <r>
    <x v="4"/>
    <s v="Children out of school (% of primary school age)"/>
    <m/>
    <x v="22"/>
  </r>
  <r>
    <x v="5"/>
    <s v="Children out of school (% of primary school age)"/>
    <m/>
    <x v="22"/>
  </r>
  <r>
    <x v="6"/>
    <s v="Children out of school (% of primary school age)"/>
    <m/>
    <x v="22"/>
  </r>
  <r>
    <x v="7"/>
    <s v="Children out of school (% of primary school age)"/>
    <n v="57.552120208740199"/>
    <x v="22"/>
  </r>
  <r>
    <x v="8"/>
    <s v="Children out of school (% of primary school age)"/>
    <m/>
    <x v="22"/>
  </r>
  <r>
    <x v="9"/>
    <s v="Children out of school (% of primary school age)"/>
    <m/>
    <x v="22"/>
  </r>
  <r>
    <x v="10"/>
    <s v="Children out of school (% of primary school age)"/>
    <m/>
    <x v="22"/>
  </r>
  <r>
    <x v="11"/>
    <s v="Children out of school (% of primary school age)"/>
    <m/>
    <x v="22"/>
  </r>
  <r>
    <x v="12"/>
    <s v="Children out of school (% of primary school age)"/>
    <m/>
    <x v="22"/>
  </r>
  <r>
    <x v="13"/>
    <s v="Children out of school (% of primary school age)"/>
    <m/>
    <x v="22"/>
  </r>
  <r>
    <x v="14"/>
    <s v="Children out of school (% of primary school age)"/>
    <m/>
    <x v="22"/>
  </r>
  <r>
    <x v="15"/>
    <s v="Children out of school (% of primary school age)"/>
    <n v="65.536087036132798"/>
    <x v="22"/>
  </r>
  <r>
    <x v="16"/>
    <s v="Children out of school (% of primary school age)"/>
    <m/>
    <x v="22"/>
  </r>
  <r>
    <x v="17"/>
    <s v="Children out of school (% of primary school age)"/>
    <m/>
    <x v="22"/>
  </r>
  <r>
    <x v="18"/>
    <s v="Children out of school (% of primary school age)"/>
    <n v="37.004581451416001"/>
    <x v="22"/>
  </r>
  <r>
    <x v="19"/>
    <s v="Children out of school (% of primary school age)"/>
    <m/>
    <x v="22"/>
  </r>
  <r>
    <x v="20"/>
    <s v="Children out of school (% of primary school age)"/>
    <m/>
    <x v="22"/>
  </r>
  <r>
    <x v="21"/>
    <s v="Children out of school (% of primary school age)"/>
    <m/>
    <x v="22"/>
  </r>
  <r>
    <x v="22"/>
    <s v="Children out of school (% of primary school age)"/>
    <m/>
    <x v="22"/>
  </r>
  <r>
    <x v="23"/>
    <s v="Children out of school (% of primary school age)"/>
    <m/>
    <x v="22"/>
  </r>
  <r>
    <x v="24"/>
    <s v="Children out of school (% of primary school age)"/>
    <n v="36.282138824462898"/>
    <x v="22"/>
  </r>
  <r>
    <x v="25"/>
    <s v="Children out of school (% of primary school age)"/>
    <n v="57.413581848144503"/>
    <x v="22"/>
  </r>
  <r>
    <x v="26"/>
    <s v="Children out of school (% of primary school age)"/>
    <n v="21.510700225830099"/>
    <x v="22"/>
  </r>
  <r>
    <x v="27"/>
    <s v="Children out of school (% of primary school age)"/>
    <n v="2.3729898929595898"/>
    <x v="22"/>
  </r>
  <r>
    <x v="0"/>
    <s v="Children out of school (% of primary school age)"/>
    <n v="69.008720397949205"/>
    <x v="23"/>
  </r>
  <r>
    <x v="1"/>
    <s v="Children out of school (% of primary school age)"/>
    <m/>
    <x v="23"/>
  </r>
  <r>
    <x v="2"/>
    <s v="Children out of school (% of primary school age)"/>
    <m/>
    <x v="23"/>
  </r>
  <r>
    <x v="3"/>
    <s v="Children out of school (% of primary school age)"/>
    <n v="12.6695098876953"/>
    <x v="23"/>
  </r>
  <r>
    <x v="4"/>
    <s v="Children out of school (% of primary school age)"/>
    <m/>
    <x v="23"/>
  </r>
  <r>
    <x v="5"/>
    <s v="Children out of school (% of primary school age)"/>
    <m/>
    <x v="23"/>
  </r>
  <r>
    <x v="6"/>
    <s v="Children out of school (% of primary school age)"/>
    <m/>
    <x v="23"/>
  </r>
  <r>
    <x v="7"/>
    <s v="Children out of school (% of primary school age)"/>
    <n v="53.200218200683601"/>
    <x v="23"/>
  </r>
  <r>
    <x v="8"/>
    <s v="Children out of school (% of primary school age)"/>
    <m/>
    <x v="23"/>
  </r>
  <r>
    <x v="9"/>
    <s v="Children out of school (% of primary school age)"/>
    <m/>
    <x v="23"/>
  </r>
  <r>
    <x v="10"/>
    <s v="Children out of school (% of primary school age)"/>
    <m/>
    <x v="23"/>
  </r>
  <r>
    <x v="11"/>
    <s v="Children out of school (% of primary school age)"/>
    <m/>
    <x v="23"/>
  </r>
  <r>
    <x v="12"/>
    <s v="Children out of school (% of primary school age)"/>
    <m/>
    <x v="23"/>
  </r>
  <r>
    <x v="13"/>
    <s v="Children out of school (% of primary school age)"/>
    <m/>
    <x v="23"/>
  </r>
  <r>
    <x v="14"/>
    <s v="Children out of school (% of primary school age)"/>
    <m/>
    <x v="23"/>
  </r>
  <r>
    <x v="15"/>
    <s v="Children out of school (% of primary school age)"/>
    <n v="52.081871032714801"/>
    <x v="23"/>
  </r>
  <r>
    <x v="16"/>
    <s v="Children out of school (% of primary school age)"/>
    <m/>
    <x v="23"/>
  </r>
  <r>
    <x v="17"/>
    <s v="Children out of school (% of primary school age)"/>
    <n v="40.593311309814503"/>
    <x v="23"/>
  </r>
  <r>
    <x v="18"/>
    <s v="Children out of school (% of primary school age)"/>
    <n v="36.545539855957003"/>
    <x v="23"/>
  </r>
  <r>
    <x v="19"/>
    <s v="Children out of school (% of primary school age)"/>
    <m/>
    <x v="23"/>
  </r>
  <r>
    <x v="20"/>
    <s v="Children out of school (% of primary school age)"/>
    <m/>
    <x v="23"/>
  </r>
  <r>
    <x v="21"/>
    <s v="Children out of school (% of primary school age)"/>
    <n v="3.86089992523193"/>
    <x v="23"/>
  </r>
  <r>
    <x v="22"/>
    <s v="Children out of school (% of primary school age)"/>
    <m/>
    <x v="23"/>
  </r>
  <r>
    <x v="23"/>
    <s v="Children out of school (% of primary school age)"/>
    <m/>
    <x v="23"/>
  </r>
  <r>
    <x v="24"/>
    <s v="Children out of school (% of primary school age)"/>
    <n v="37.522140502929702"/>
    <x v="23"/>
  </r>
  <r>
    <x v="25"/>
    <s v="Children out of school (% of primary school age)"/>
    <m/>
    <x v="23"/>
  </r>
  <r>
    <x v="26"/>
    <s v="Children out of school (% of primary school age)"/>
    <n v="19.928409576416001"/>
    <x v="23"/>
  </r>
  <r>
    <x v="27"/>
    <s v="Children out of school (% of primary school age)"/>
    <m/>
    <x v="23"/>
  </r>
  <r>
    <x v="0"/>
    <s v="Children out of school (% of primary school age)"/>
    <n v="64.124259948730497"/>
    <x v="24"/>
  </r>
  <r>
    <x v="1"/>
    <s v="Children out of school (% of primary school age)"/>
    <m/>
    <x v="24"/>
  </r>
  <r>
    <x v="2"/>
    <s v="Children out of school (% of primary school age)"/>
    <m/>
    <x v="24"/>
  </r>
  <r>
    <x v="3"/>
    <s v="Children out of school (% of primary school age)"/>
    <m/>
    <x v="24"/>
  </r>
  <r>
    <x v="4"/>
    <s v="Children out of school (% of primary school age)"/>
    <m/>
    <x v="24"/>
  </r>
  <r>
    <x v="5"/>
    <s v="Children out of school (% of primary school age)"/>
    <m/>
    <x v="24"/>
  </r>
  <r>
    <x v="6"/>
    <s v="Children out of school (% of primary school age)"/>
    <n v="72.063758850097699"/>
    <x v="24"/>
  </r>
  <r>
    <x v="7"/>
    <s v="Children out of school (% of primary school age)"/>
    <n v="56.420368194580099"/>
    <x v="24"/>
  </r>
  <r>
    <x v="8"/>
    <s v="Children out of school (% of primary school age)"/>
    <m/>
    <x v="24"/>
  </r>
  <r>
    <x v="9"/>
    <s v="Children out of school (% of primary school age)"/>
    <m/>
    <x v="24"/>
  </r>
  <r>
    <x v="10"/>
    <s v="Children out of school (% of primary school age)"/>
    <m/>
    <x v="24"/>
  </r>
  <r>
    <x v="11"/>
    <s v="Children out of school (% of primary school age)"/>
    <m/>
    <x v="24"/>
  </r>
  <r>
    <x v="12"/>
    <s v="Children out of school (% of primary school age)"/>
    <m/>
    <x v="24"/>
  </r>
  <r>
    <x v="13"/>
    <s v="Children out of school (% of primary school age)"/>
    <m/>
    <x v="24"/>
  </r>
  <r>
    <x v="14"/>
    <s v="Children out of school (% of primary school age)"/>
    <m/>
    <x v="24"/>
  </r>
  <r>
    <x v="15"/>
    <s v="Children out of school (% of primary school age)"/>
    <m/>
    <x v="24"/>
  </r>
  <r>
    <x v="16"/>
    <s v="Children out of school (% of primary school age)"/>
    <m/>
    <x v="24"/>
  </r>
  <r>
    <x v="17"/>
    <s v="Children out of school (% of primary school age)"/>
    <n v="39.385410308837898"/>
    <x v="24"/>
  </r>
  <r>
    <x v="18"/>
    <s v="Children out of school (% of primary school age)"/>
    <n v="38.048618316650398"/>
    <x v="24"/>
  </r>
  <r>
    <x v="19"/>
    <s v="Children out of school (% of primary school age)"/>
    <m/>
    <x v="24"/>
  </r>
  <r>
    <x v="20"/>
    <s v="Children out of school (% of primary school age)"/>
    <m/>
    <x v="24"/>
  </r>
  <r>
    <x v="21"/>
    <s v="Children out of school (% of primary school age)"/>
    <n v="3.8819100856781001"/>
    <x v="24"/>
  </r>
  <r>
    <x v="22"/>
    <s v="Children out of school (% of primary school age)"/>
    <m/>
    <x v="24"/>
  </r>
  <r>
    <x v="23"/>
    <s v="Children out of school (% of primary school age)"/>
    <m/>
    <x v="24"/>
  </r>
  <r>
    <x v="24"/>
    <s v="Children out of school (% of primary school age)"/>
    <n v="40.708988189697301"/>
    <x v="24"/>
  </r>
  <r>
    <x v="25"/>
    <s v="Children out of school (% of primary school age)"/>
    <m/>
    <x v="24"/>
  </r>
  <r>
    <x v="26"/>
    <s v="Children out of school (% of primary school age)"/>
    <n v="18.813640594482401"/>
    <x v="24"/>
  </r>
  <r>
    <x v="27"/>
    <s v="Children out of school (% of primary school age)"/>
    <n v="1.11114001274109"/>
    <x v="24"/>
  </r>
  <r>
    <x v="0"/>
    <s v="Children out of school (% of primary school age)"/>
    <n v="59.773941040039098"/>
    <x v="25"/>
  </r>
  <r>
    <x v="1"/>
    <s v="Children out of school (% of primary school age)"/>
    <m/>
    <x v="25"/>
  </r>
  <r>
    <x v="2"/>
    <s v="Children out of school (% of primary school age)"/>
    <m/>
    <x v="25"/>
  </r>
  <r>
    <x v="3"/>
    <s v="Children out of school (% of primary school age)"/>
    <m/>
    <x v="25"/>
  </r>
  <r>
    <x v="4"/>
    <s v="Children out of school (% of primary school age)"/>
    <n v="74.861091613769503"/>
    <x v="25"/>
  </r>
  <r>
    <x v="5"/>
    <s v="Children out of school (% of primary school age)"/>
    <m/>
    <x v="25"/>
  </r>
  <r>
    <x v="6"/>
    <s v="Children out of school (% of primary school age)"/>
    <n v="69.0511474609375"/>
    <x v="25"/>
  </r>
  <r>
    <x v="7"/>
    <s v="Children out of school (% of primary school age)"/>
    <n v="51.208549499511697"/>
    <x v="25"/>
  </r>
  <r>
    <x v="8"/>
    <s v="Children out of school (% of primary school age)"/>
    <m/>
    <x v="25"/>
  </r>
  <r>
    <x v="9"/>
    <s v="Children out of school (% of primary school age)"/>
    <m/>
    <x v="25"/>
  </r>
  <r>
    <x v="10"/>
    <s v="Children out of school (% of primary school age)"/>
    <m/>
    <x v="25"/>
  </r>
  <r>
    <x v="11"/>
    <s v="Children out of school (% of primary school age)"/>
    <m/>
    <x v="25"/>
  </r>
  <r>
    <x v="12"/>
    <s v="Children out of school (% of primary school age)"/>
    <m/>
    <x v="25"/>
  </r>
  <r>
    <x v="13"/>
    <s v="Children out of school (% of primary school age)"/>
    <m/>
    <x v="25"/>
  </r>
  <r>
    <x v="14"/>
    <s v="Children out of school (% of primary school age)"/>
    <m/>
    <x v="25"/>
  </r>
  <r>
    <x v="15"/>
    <s v="Children out of school (% of primary school age)"/>
    <n v="49.310539245605497"/>
    <x v="25"/>
  </r>
  <r>
    <x v="16"/>
    <s v="Children out of school (% of primary school age)"/>
    <m/>
    <x v="25"/>
  </r>
  <r>
    <x v="17"/>
    <s v="Children out of school (% of primary school age)"/>
    <m/>
    <x v="25"/>
  </r>
  <r>
    <x v="18"/>
    <s v="Children out of school (% of primary school age)"/>
    <n v="33.930568695068402"/>
    <x v="25"/>
  </r>
  <r>
    <x v="19"/>
    <s v="Children out of school (% of primary school age)"/>
    <m/>
    <x v="25"/>
  </r>
  <r>
    <x v="20"/>
    <s v="Children out of school (% of primary school age)"/>
    <m/>
    <x v="25"/>
  </r>
  <r>
    <x v="21"/>
    <s v="Children out of school (% of primary school age)"/>
    <m/>
    <x v="25"/>
  </r>
  <r>
    <x v="22"/>
    <s v="Children out of school (% of primary school age)"/>
    <m/>
    <x v="25"/>
  </r>
  <r>
    <x v="23"/>
    <s v="Children out of school (% of primary school age)"/>
    <m/>
    <x v="25"/>
  </r>
  <r>
    <x v="24"/>
    <s v="Children out of school (% of primary school age)"/>
    <n v="43.537868499755902"/>
    <x v="25"/>
  </r>
  <r>
    <x v="25"/>
    <s v="Children out of school (% of primary school age)"/>
    <m/>
    <x v="25"/>
  </r>
  <r>
    <x v="26"/>
    <s v="Children out of school (% of primary school age)"/>
    <m/>
    <x v="25"/>
  </r>
  <r>
    <x v="27"/>
    <s v="Children out of school (% of primary school age)"/>
    <m/>
    <x v="25"/>
  </r>
  <r>
    <x v="0"/>
    <s v="Children out of school (% of primary school age)"/>
    <n v="57.314220428466697"/>
    <x v="26"/>
  </r>
  <r>
    <x v="1"/>
    <s v="Children out of school (% of primary school age)"/>
    <m/>
    <x v="26"/>
  </r>
  <r>
    <x v="2"/>
    <s v="Children out of school (% of primary school age)"/>
    <m/>
    <x v="26"/>
  </r>
  <r>
    <x v="3"/>
    <s v="Children out of school (% of primary school age)"/>
    <n v="16.5177192687988"/>
    <x v="26"/>
  </r>
  <r>
    <x v="4"/>
    <s v="Children out of school (% of primary school age)"/>
    <n v="73.289642333984403"/>
    <x v="26"/>
  </r>
  <r>
    <x v="5"/>
    <s v="Children out of school (% of primary school age)"/>
    <m/>
    <x v="26"/>
  </r>
  <r>
    <x v="6"/>
    <s v="Children out of school (% of primary school age)"/>
    <n v="71.427261352539105"/>
    <x v="26"/>
  </r>
  <r>
    <x v="7"/>
    <s v="Children out of school (% of primary school age)"/>
    <n v="48.896419525146499"/>
    <x v="26"/>
  </r>
  <r>
    <x v="8"/>
    <s v="Children out of school (% of primary school age)"/>
    <m/>
    <x v="26"/>
  </r>
  <r>
    <x v="9"/>
    <s v="Children out of school (% of primary school age)"/>
    <m/>
    <x v="26"/>
  </r>
  <r>
    <x v="10"/>
    <s v="Children out of school (% of primary school age)"/>
    <m/>
    <x v="26"/>
  </r>
  <r>
    <x v="11"/>
    <s v="Children out of school (% of primary school age)"/>
    <m/>
    <x v="26"/>
  </r>
  <r>
    <x v="12"/>
    <s v="Children out of school (% of primary school age)"/>
    <m/>
    <x v="26"/>
  </r>
  <r>
    <x v="13"/>
    <s v="Children out of school (% of primary school age)"/>
    <m/>
    <x v="26"/>
  </r>
  <r>
    <x v="14"/>
    <s v="Children out of school (% of primary school age)"/>
    <m/>
    <x v="26"/>
  </r>
  <r>
    <x v="15"/>
    <s v="Children out of school (% of primary school age)"/>
    <n v="50.107311248779197"/>
    <x v="26"/>
  </r>
  <r>
    <x v="16"/>
    <s v="Children out of school (% of primary school age)"/>
    <m/>
    <x v="26"/>
  </r>
  <r>
    <x v="17"/>
    <s v="Children out of school (% of primary school age)"/>
    <m/>
    <x v="26"/>
  </r>
  <r>
    <x v="18"/>
    <s v="Children out of school (% of primary school age)"/>
    <n v="35.0548095703125"/>
    <x v="26"/>
  </r>
  <r>
    <x v="19"/>
    <s v="Children out of school (% of primary school age)"/>
    <n v="76.660079956054702"/>
    <x v="26"/>
  </r>
  <r>
    <x v="20"/>
    <s v="Children out of school (% of primary school age)"/>
    <m/>
    <x v="26"/>
  </r>
  <r>
    <x v="21"/>
    <s v="Children out of school (% of primary school age)"/>
    <m/>
    <x v="26"/>
  </r>
  <r>
    <x v="22"/>
    <s v="Children out of school (% of primary school age)"/>
    <n v="1.6838899850845299"/>
    <x v="26"/>
  </r>
  <r>
    <x v="23"/>
    <s v="Children out of school (% of primary school age)"/>
    <m/>
    <x v="26"/>
  </r>
  <r>
    <x v="24"/>
    <s v="Children out of school (% of primary school age)"/>
    <n v="44.836101531982401"/>
    <x v="26"/>
  </r>
  <r>
    <x v="25"/>
    <s v="Children out of school (% of primary school age)"/>
    <n v="43.179008483886697"/>
    <x v="26"/>
  </r>
  <r>
    <x v="26"/>
    <s v="Children out of school (% of primary school age)"/>
    <n v="17.495130538940401"/>
    <x v="26"/>
  </r>
  <r>
    <x v="27"/>
    <s v="Children out of school (% of primary school age)"/>
    <n v="1.6568399667739899"/>
    <x v="26"/>
  </r>
  <r>
    <x v="0"/>
    <s v="Children out of school (% of primary school age)"/>
    <n v="52.312461853027301"/>
    <x v="27"/>
  </r>
  <r>
    <x v="1"/>
    <s v="Children out of school (% of primary school age)"/>
    <m/>
    <x v="27"/>
  </r>
  <r>
    <x v="2"/>
    <s v="Children out of school (% of primary school age)"/>
    <m/>
    <x v="27"/>
  </r>
  <r>
    <x v="3"/>
    <s v="Children out of school (% of primary school age)"/>
    <n v="24.3714809417725"/>
    <x v="27"/>
  </r>
  <r>
    <x v="4"/>
    <s v="Children out of school (% of primary school age)"/>
    <n v="73.106208801269503"/>
    <x v="27"/>
  </r>
  <r>
    <x v="5"/>
    <s v="Children out of school (% of primary school age)"/>
    <n v="70.650466918945298"/>
    <x v="27"/>
  </r>
  <r>
    <x v="6"/>
    <s v="Children out of school (% of primary school age)"/>
    <n v="73.640213012695298"/>
    <x v="27"/>
  </r>
  <r>
    <x v="7"/>
    <s v="Children out of school (% of primary school age)"/>
    <n v="57.564651489257798"/>
    <x v="27"/>
  </r>
  <r>
    <x v="8"/>
    <s v="Children out of school (% of primary school age)"/>
    <m/>
    <x v="27"/>
  </r>
  <r>
    <x v="9"/>
    <s v="Children out of school (% of primary school age)"/>
    <m/>
    <x v="27"/>
  </r>
  <r>
    <x v="10"/>
    <s v="Children out of school (% of primary school age)"/>
    <m/>
    <x v="27"/>
  </r>
  <r>
    <x v="11"/>
    <s v="Children out of school (% of primary school age)"/>
    <m/>
    <x v="27"/>
  </r>
  <r>
    <x v="12"/>
    <s v="Children out of school (% of primary school age)"/>
    <m/>
    <x v="27"/>
  </r>
  <r>
    <x v="13"/>
    <s v="Children out of school (% of primary school age)"/>
    <m/>
    <x v="27"/>
  </r>
  <r>
    <x v="14"/>
    <s v="Children out of school (% of primary school age)"/>
    <m/>
    <x v="27"/>
  </r>
  <r>
    <x v="15"/>
    <s v="Children out of school (% of primary school age)"/>
    <n v="53.472179412841697"/>
    <x v="27"/>
  </r>
  <r>
    <x v="16"/>
    <s v="Children out of school (% of primary school age)"/>
    <m/>
    <x v="27"/>
  </r>
  <r>
    <x v="17"/>
    <s v="Children out of school (% of primary school age)"/>
    <m/>
    <x v="27"/>
  </r>
  <r>
    <x v="18"/>
    <s v="Children out of school (% of primary school age)"/>
    <n v="33.445320129394503"/>
    <x v="27"/>
  </r>
  <r>
    <x v="19"/>
    <s v="Children out of school (% of primary school age)"/>
    <m/>
    <x v="27"/>
  </r>
  <r>
    <x v="20"/>
    <s v="Children out of school (% of primary school age)"/>
    <m/>
    <x v="27"/>
  </r>
  <r>
    <x v="21"/>
    <s v="Children out of school (% of primary school age)"/>
    <n v="10.1930704116821"/>
    <x v="27"/>
  </r>
  <r>
    <x v="22"/>
    <s v="Children out of school (% of primary school age)"/>
    <m/>
    <x v="27"/>
  </r>
  <r>
    <x v="23"/>
    <s v="Children out of school (% of primary school age)"/>
    <m/>
    <x v="27"/>
  </r>
  <r>
    <x v="24"/>
    <s v="Children out of school (% of primary school age)"/>
    <n v="46.283748626708999"/>
    <x v="27"/>
  </r>
  <r>
    <x v="25"/>
    <s v="Children out of school (% of primary school age)"/>
    <m/>
    <x v="27"/>
  </r>
  <r>
    <x v="26"/>
    <s v="Children out of school (% of primary school age)"/>
    <m/>
    <x v="27"/>
  </r>
  <r>
    <x v="27"/>
    <s v="Children out of school (% of primary school age)"/>
    <m/>
    <x v="27"/>
  </r>
  <r>
    <x v="0"/>
    <s v="Children out of school (% of primary school age)"/>
    <n v="49.840511322021499"/>
    <x v="28"/>
  </r>
  <r>
    <x v="1"/>
    <s v="Children out of school (% of primary school age)"/>
    <n v="25.159620285034201"/>
    <x v="28"/>
  </r>
  <r>
    <x v="2"/>
    <s v="Children out of school (% of primary school age)"/>
    <n v="66.616020202636705"/>
    <x v="28"/>
  </r>
  <r>
    <x v="3"/>
    <s v="Children out of school (% of primary school age)"/>
    <m/>
    <x v="28"/>
  </r>
  <r>
    <x v="4"/>
    <s v="Children out of school (% of primary school age)"/>
    <n v="73.229537963867202"/>
    <x v="28"/>
  </r>
  <r>
    <x v="5"/>
    <s v="Children out of school (% of primary school age)"/>
    <n v="70.094741821289105"/>
    <x v="28"/>
  </r>
  <r>
    <x v="6"/>
    <s v="Children out of school (% of primary school age)"/>
    <n v="72.715408325195298"/>
    <x v="28"/>
  </r>
  <r>
    <x v="7"/>
    <s v="Children out of school (% of primary school age)"/>
    <m/>
    <x v="28"/>
  </r>
  <r>
    <x v="8"/>
    <s v="Children out of school (% of primary school age)"/>
    <m/>
    <x v="28"/>
  </r>
  <r>
    <x v="9"/>
    <s v="Children out of school (% of primary school age)"/>
    <m/>
    <x v="28"/>
  </r>
  <r>
    <x v="10"/>
    <s v="Children out of school (% of primary school age)"/>
    <m/>
    <x v="28"/>
  </r>
  <r>
    <x v="11"/>
    <s v="Children out of school (% of primary school age)"/>
    <m/>
    <x v="28"/>
  </r>
  <r>
    <x v="12"/>
    <s v="Children out of school (% of primary school age)"/>
    <m/>
    <x v="28"/>
  </r>
  <r>
    <x v="13"/>
    <s v="Children out of school (% of primary school age)"/>
    <m/>
    <x v="28"/>
  </r>
  <r>
    <x v="14"/>
    <s v="Children out of school (% of primary school age)"/>
    <m/>
    <x v="28"/>
  </r>
  <r>
    <x v="15"/>
    <s v="Children out of school (% of primary school age)"/>
    <n v="57.178581237792997"/>
    <x v="28"/>
  </r>
  <r>
    <x v="16"/>
    <s v="Children out of school (% of primary school age)"/>
    <m/>
    <x v="28"/>
  </r>
  <r>
    <x v="17"/>
    <s v="Children out of school (% of primary school age)"/>
    <n v="33.372161865234403"/>
    <x v="28"/>
  </r>
  <r>
    <x v="18"/>
    <s v="Children out of school (% of primary school age)"/>
    <n v="33.228271484375"/>
    <x v="28"/>
  </r>
  <r>
    <x v="19"/>
    <s v="Children out of school (% of primary school age)"/>
    <m/>
    <x v="28"/>
  </r>
  <r>
    <x v="20"/>
    <s v="Children out of school (% of primary school age)"/>
    <m/>
    <x v="28"/>
  </r>
  <r>
    <x v="21"/>
    <s v="Children out of school (% of primary school age)"/>
    <n v="7.95626020431519"/>
    <x v="28"/>
  </r>
  <r>
    <x v="22"/>
    <s v="Children out of school (% of primary school age)"/>
    <m/>
    <x v="28"/>
  </r>
  <r>
    <x v="23"/>
    <s v="Children out of school (% of primary school age)"/>
    <m/>
    <x v="28"/>
  </r>
  <r>
    <x v="24"/>
    <s v="Children out of school (% of primary school age)"/>
    <n v="47.924098968505902"/>
    <x v="28"/>
  </r>
  <r>
    <x v="25"/>
    <s v="Children out of school (% of primary school age)"/>
    <m/>
    <x v="28"/>
  </r>
  <r>
    <x v="26"/>
    <s v="Children out of school (% of primary school age)"/>
    <n v="19.5672798156738"/>
    <x v="28"/>
  </r>
  <r>
    <x v="27"/>
    <s v="Children out of school (% of primary school age)"/>
    <m/>
    <x v="28"/>
  </r>
  <r>
    <x v="0"/>
    <s v="Children out of school (% of primary school age)"/>
    <m/>
    <x v="29"/>
  </r>
  <r>
    <x v="1"/>
    <s v="Children out of school (% of primary school age)"/>
    <m/>
    <x v="29"/>
  </r>
  <r>
    <x v="2"/>
    <s v="Children out of school (% of primary school age)"/>
    <m/>
    <x v="29"/>
  </r>
  <r>
    <x v="3"/>
    <s v="Children out of school (% of primary school age)"/>
    <m/>
    <x v="29"/>
  </r>
  <r>
    <x v="4"/>
    <s v="Children out of school (% of primary school age)"/>
    <n v="73.266143798828097"/>
    <x v="29"/>
  </r>
  <r>
    <x v="5"/>
    <s v="Children out of school (% of primary school age)"/>
    <n v="71.365493774414105"/>
    <x v="29"/>
  </r>
  <r>
    <x v="6"/>
    <s v="Children out of school (% of primary school age)"/>
    <n v="72.972717285156307"/>
    <x v="29"/>
  </r>
  <r>
    <x v="7"/>
    <s v="Children out of school (% of primary school age)"/>
    <m/>
    <x v="29"/>
  </r>
  <r>
    <x v="8"/>
    <s v="Children out of school (% of primary school age)"/>
    <m/>
    <x v="29"/>
  </r>
  <r>
    <x v="9"/>
    <s v="Children out of school (% of primary school age)"/>
    <m/>
    <x v="29"/>
  </r>
  <r>
    <x v="10"/>
    <s v="Children out of school (% of primary school age)"/>
    <m/>
    <x v="29"/>
  </r>
  <r>
    <x v="11"/>
    <s v="Children out of school (% of primary school age)"/>
    <n v="34.293659210205099"/>
    <x v="29"/>
  </r>
  <r>
    <x v="12"/>
    <s v="Children out of school (% of primary school age)"/>
    <m/>
    <x v="29"/>
  </r>
  <r>
    <x v="13"/>
    <s v="Children out of school (% of primary school age)"/>
    <m/>
    <x v="29"/>
  </r>
  <r>
    <x v="14"/>
    <s v="Children out of school (% of primary school age)"/>
    <m/>
    <x v="29"/>
  </r>
  <r>
    <x v="15"/>
    <s v="Children out of school (% of primary school age)"/>
    <n v="56.6938285827637"/>
    <x v="29"/>
  </r>
  <r>
    <x v="16"/>
    <s v="Children out of school (% of primary school age)"/>
    <m/>
    <x v="29"/>
  </r>
  <r>
    <x v="17"/>
    <s v="Children out of school (% of primary school age)"/>
    <m/>
    <x v="29"/>
  </r>
  <r>
    <x v="18"/>
    <s v="Children out of school (% of primary school age)"/>
    <n v="34.956161499023402"/>
    <x v="29"/>
  </r>
  <r>
    <x v="19"/>
    <s v="Children out of school (% of primary school age)"/>
    <n v="77.431503295898395"/>
    <x v="29"/>
  </r>
  <r>
    <x v="20"/>
    <s v="Children out of school (% of primary school age)"/>
    <m/>
    <x v="29"/>
  </r>
  <r>
    <x v="21"/>
    <s v="Children out of school (% of primary school age)"/>
    <m/>
    <x v="29"/>
  </r>
  <r>
    <x v="22"/>
    <s v="Children out of school (% of primary school age)"/>
    <m/>
    <x v="29"/>
  </r>
  <r>
    <x v="23"/>
    <s v="Children out of school (% of primary school age)"/>
    <m/>
    <x v="29"/>
  </r>
  <r>
    <x v="24"/>
    <s v="Children out of school (% of primary school age)"/>
    <n v="48.017688751220703"/>
    <x v="29"/>
  </r>
  <r>
    <x v="25"/>
    <s v="Children out of school (% of primary school age)"/>
    <m/>
    <x v="29"/>
  </r>
  <r>
    <x v="26"/>
    <s v="Children out of school (% of primary school age)"/>
    <m/>
    <x v="29"/>
  </r>
  <r>
    <x v="27"/>
    <s v="Children out of school (% of primary school age)"/>
    <m/>
    <x v="29"/>
  </r>
  <r>
    <x v="0"/>
    <s v="Children out of school (% of primary school age)"/>
    <m/>
    <x v="30"/>
  </r>
  <r>
    <x v="1"/>
    <s v="Children out of school (% of primary school age)"/>
    <n v="26.0283603668213"/>
    <x v="30"/>
  </r>
  <r>
    <x v="2"/>
    <s v="Children out of school (% of primary school age)"/>
    <m/>
    <x v="30"/>
  </r>
  <r>
    <x v="3"/>
    <s v="Children out of school (% of primary school age)"/>
    <m/>
    <x v="30"/>
  </r>
  <r>
    <x v="4"/>
    <s v="Children out of school (% of primary school age)"/>
    <n v="72.802810668945298"/>
    <x v="30"/>
  </r>
  <r>
    <x v="5"/>
    <s v="Children out of school (% of primary school age)"/>
    <m/>
    <x v="30"/>
  </r>
  <r>
    <x v="6"/>
    <s v="Children out of school (% of primary school age)"/>
    <n v="73.973457336425795"/>
    <x v="30"/>
  </r>
  <r>
    <x v="7"/>
    <s v="Children out of school (% of primary school age)"/>
    <m/>
    <x v="30"/>
  </r>
  <r>
    <x v="8"/>
    <s v="Children out of school (% of primary school age)"/>
    <m/>
    <x v="30"/>
  </r>
  <r>
    <x v="9"/>
    <s v="Children out of school (% of primary school age)"/>
    <m/>
    <x v="30"/>
  </r>
  <r>
    <x v="10"/>
    <s v="Children out of school (% of primary school age)"/>
    <m/>
    <x v="30"/>
  </r>
  <r>
    <x v="11"/>
    <s v="Children out of school (% of primary school age)"/>
    <n v="35.745109558105497"/>
    <x v="30"/>
  </r>
  <r>
    <x v="12"/>
    <s v="Children out of school (% of primary school age)"/>
    <m/>
    <x v="30"/>
  </r>
  <r>
    <x v="13"/>
    <s v="Children out of school (% of primary school age)"/>
    <m/>
    <x v="30"/>
  </r>
  <r>
    <x v="14"/>
    <s v="Children out of school (% of primary school age)"/>
    <m/>
    <x v="30"/>
  </r>
  <r>
    <x v="15"/>
    <s v="Children out of school (% of primary school age)"/>
    <n v="54.905448913574197"/>
    <x v="30"/>
  </r>
  <r>
    <x v="16"/>
    <s v="Children out of school (% of primary school age)"/>
    <m/>
    <x v="30"/>
  </r>
  <r>
    <x v="17"/>
    <s v="Children out of school (% of primary school age)"/>
    <m/>
    <x v="30"/>
  </r>
  <r>
    <x v="18"/>
    <s v="Children out of school (% of primary school age)"/>
    <n v="32.483100891113303"/>
    <x v="30"/>
  </r>
  <r>
    <x v="19"/>
    <s v="Children out of school (% of primary school age)"/>
    <n v="77.114929199218807"/>
    <x v="30"/>
  </r>
  <r>
    <x v="20"/>
    <s v="Children out of school (% of primary school age)"/>
    <m/>
    <x v="30"/>
  </r>
  <r>
    <x v="21"/>
    <s v="Children out of school (% of primary school age)"/>
    <n v="3.31122994422913"/>
    <x v="30"/>
  </r>
  <r>
    <x v="22"/>
    <s v="Children out of school (% of primary school age)"/>
    <m/>
    <x v="30"/>
  </r>
  <r>
    <x v="23"/>
    <s v="Children out of school (% of primary school age)"/>
    <m/>
    <x v="30"/>
  </r>
  <r>
    <x v="24"/>
    <s v="Children out of school (% of primary school age)"/>
    <n v="48.674369812011697"/>
    <x v="30"/>
  </r>
  <r>
    <x v="25"/>
    <s v="Children out of school (% of primary school age)"/>
    <m/>
    <x v="30"/>
  </r>
  <r>
    <x v="26"/>
    <s v="Children out of school (% of primary school age)"/>
    <m/>
    <x v="30"/>
  </r>
  <r>
    <x v="27"/>
    <s v="Children out of school (% of primary school age)"/>
    <m/>
    <x v="30"/>
  </r>
  <r>
    <x v="0"/>
    <s v="Children out of school (% of primary school age)"/>
    <m/>
    <x v="31"/>
  </r>
  <r>
    <x v="1"/>
    <s v="Children out of school (% of primary school age)"/>
    <n v="27.931259155273398"/>
    <x v="31"/>
  </r>
  <r>
    <x v="2"/>
    <s v="Children out of school (% of primary school age)"/>
    <m/>
    <x v="31"/>
  </r>
  <r>
    <x v="3"/>
    <s v="Children out of school (% of primary school age)"/>
    <m/>
    <x v="31"/>
  </r>
  <r>
    <x v="4"/>
    <s v="Children out of school (% of primary school age)"/>
    <n v="72.738098144531307"/>
    <x v="31"/>
  </r>
  <r>
    <x v="5"/>
    <s v="Children out of school (% of primary school age)"/>
    <m/>
    <x v="31"/>
  </r>
  <r>
    <x v="6"/>
    <s v="Children out of school (% of primary school age)"/>
    <n v="72.208793640136705"/>
    <x v="31"/>
  </r>
  <r>
    <x v="7"/>
    <s v="Children out of school (% of primary school age)"/>
    <m/>
    <x v="31"/>
  </r>
  <r>
    <x v="8"/>
    <s v="Children out of school (% of primary school age)"/>
    <m/>
    <x v="31"/>
  </r>
  <r>
    <x v="9"/>
    <s v="Children out of school (% of primary school age)"/>
    <m/>
    <x v="31"/>
  </r>
  <r>
    <x v="10"/>
    <s v="Children out of school (% of primary school age)"/>
    <m/>
    <x v="31"/>
  </r>
  <r>
    <x v="11"/>
    <s v="Children out of school (% of primary school age)"/>
    <m/>
    <x v="31"/>
  </r>
  <r>
    <x v="12"/>
    <s v="Children out of school (% of primary school age)"/>
    <m/>
    <x v="31"/>
  </r>
  <r>
    <x v="13"/>
    <s v="Children out of school (% of primary school age)"/>
    <m/>
    <x v="31"/>
  </r>
  <r>
    <x v="14"/>
    <s v="Children out of school (% of primary school age)"/>
    <m/>
    <x v="31"/>
  </r>
  <r>
    <x v="15"/>
    <s v="Children out of school (% of primary school age)"/>
    <n v="56.557201385497997"/>
    <x v="31"/>
  </r>
  <r>
    <x v="16"/>
    <s v="Children out of school (% of primary school age)"/>
    <m/>
    <x v="31"/>
  </r>
  <r>
    <x v="17"/>
    <s v="Children out of school (% of primary school age)"/>
    <m/>
    <x v="31"/>
  </r>
  <r>
    <x v="18"/>
    <s v="Children out of school (% of primary school age)"/>
    <n v="29.837619781494102"/>
    <x v="31"/>
  </r>
  <r>
    <x v="19"/>
    <s v="Children out of school (% of primary school age)"/>
    <n v="76.530891418457003"/>
    <x v="31"/>
  </r>
  <r>
    <x v="20"/>
    <s v="Children out of school (% of primary school age)"/>
    <m/>
    <x v="31"/>
  </r>
  <r>
    <x v="21"/>
    <s v="Children out of school (% of primary school age)"/>
    <m/>
    <x v="31"/>
  </r>
  <r>
    <x v="22"/>
    <s v="Children out of school (% of primary school age)"/>
    <m/>
    <x v="31"/>
  </r>
  <r>
    <x v="23"/>
    <s v="Children out of school (% of primary school age)"/>
    <m/>
    <x v="31"/>
  </r>
  <r>
    <x v="24"/>
    <s v="Children out of school (% of primary school age)"/>
    <n v="49.374458312988303"/>
    <x v="31"/>
  </r>
  <r>
    <x v="25"/>
    <s v="Children out of school (% of primary school age)"/>
    <m/>
    <x v="31"/>
  </r>
  <r>
    <x v="26"/>
    <s v="Children out of school (% of primary school age)"/>
    <m/>
    <x v="31"/>
  </r>
  <r>
    <x v="27"/>
    <s v="Children out of school (% of primary school age)"/>
    <m/>
    <x v="31"/>
  </r>
  <r>
    <x v="0"/>
    <s v="Children out of school (% of primary school age)"/>
    <m/>
    <x v="32"/>
  </r>
  <r>
    <x v="1"/>
    <s v="Children out of school (% of primary school age)"/>
    <m/>
    <x v="32"/>
  </r>
  <r>
    <x v="2"/>
    <s v="Children out of school (% of primary school age)"/>
    <m/>
    <x v="32"/>
  </r>
  <r>
    <x v="3"/>
    <s v="Children out of school (% of primary school age)"/>
    <m/>
    <x v="32"/>
  </r>
  <r>
    <x v="4"/>
    <s v="Children out of school (% of primary school age)"/>
    <n v="71.538856506347699"/>
    <x v="32"/>
  </r>
  <r>
    <x v="5"/>
    <s v="Children out of school (% of primary school age)"/>
    <m/>
    <x v="32"/>
  </r>
  <r>
    <x v="6"/>
    <s v="Children out of school (% of primary school age)"/>
    <m/>
    <x v="32"/>
  </r>
  <r>
    <x v="7"/>
    <s v="Children out of school (% of primary school age)"/>
    <m/>
    <x v="32"/>
  </r>
  <r>
    <x v="8"/>
    <s v="Children out of school (% of primary school age)"/>
    <m/>
    <x v="32"/>
  </r>
  <r>
    <x v="9"/>
    <s v="Children out of school (% of primary school age)"/>
    <m/>
    <x v="32"/>
  </r>
  <r>
    <x v="10"/>
    <s v="Children out of school (% of primary school age)"/>
    <m/>
    <x v="32"/>
  </r>
  <r>
    <x v="11"/>
    <s v="Children out of school (% of primary school age)"/>
    <m/>
    <x v="32"/>
  </r>
  <r>
    <x v="12"/>
    <s v="Children out of school (% of primary school age)"/>
    <m/>
    <x v="32"/>
  </r>
  <r>
    <x v="13"/>
    <s v="Children out of school (% of primary school age)"/>
    <m/>
    <x v="32"/>
  </r>
  <r>
    <x v="14"/>
    <s v="Children out of school (% of primary school age)"/>
    <m/>
    <x v="32"/>
  </r>
  <r>
    <x v="15"/>
    <s v="Children out of school (% of primary school age)"/>
    <n v="58.254520416259801"/>
    <x v="32"/>
  </r>
  <r>
    <x v="16"/>
    <s v="Children out of school (% of primary school age)"/>
    <m/>
    <x v="32"/>
  </r>
  <r>
    <x v="17"/>
    <s v="Children out of school (% of primary school age)"/>
    <m/>
    <x v="32"/>
  </r>
  <r>
    <x v="18"/>
    <s v="Children out of school (% of primary school age)"/>
    <n v="26.4221096038818"/>
    <x v="32"/>
  </r>
  <r>
    <x v="19"/>
    <s v="Children out of school (% of primary school age)"/>
    <n v="78.590217590332003"/>
    <x v="32"/>
  </r>
  <r>
    <x v="20"/>
    <s v="Children out of school (% of primary school age)"/>
    <m/>
    <x v="32"/>
  </r>
  <r>
    <x v="21"/>
    <s v="Children out of school (% of primary school age)"/>
    <m/>
    <x v="32"/>
  </r>
  <r>
    <x v="22"/>
    <s v="Children out of school (% of primary school age)"/>
    <m/>
    <x v="32"/>
  </r>
  <r>
    <x v="23"/>
    <s v="Children out of school (% of primary school age)"/>
    <m/>
    <x v="32"/>
  </r>
  <r>
    <x v="24"/>
    <s v="Children out of school (% of primary school age)"/>
    <n v="49.296058654785199"/>
    <x v="32"/>
  </r>
  <r>
    <x v="25"/>
    <s v="Children out of school (% of primary school age)"/>
    <m/>
    <x v="32"/>
  </r>
  <r>
    <x v="26"/>
    <s v="Children out of school (% of primary school age)"/>
    <m/>
    <x v="32"/>
  </r>
  <r>
    <x v="27"/>
    <s v="Children out of school (% of primary school age)"/>
    <m/>
    <x v="32"/>
  </r>
  <r>
    <x v="0"/>
    <s v="Children out of school (% of primary school age)"/>
    <n v="49.805229187011697"/>
    <x v="33"/>
  </r>
  <r>
    <x v="1"/>
    <s v="Children out of school (% of primary school age)"/>
    <m/>
    <x v="33"/>
  </r>
  <r>
    <x v="2"/>
    <s v="Children out of school (% of primary school age)"/>
    <m/>
    <x v="33"/>
  </r>
  <r>
    <x v="3"/>
    <s v="Children out of school (% of primary school age)"/>
    <m/>
    <x v="33"/>
  </r>
  <r>
    <x v="4"/>
    <s v="Children out of school (% of primary school age)"/>
    <n v="73.789291381835895"/>
    <x v="33"/>
  </r>
  <r>
    <x v="5"/>
    <s v="Children out of school (% of primary school age)"/>
    <m/>
    <x v="33"/>
  </r>
  <r>
    <x v="6"/>
    <s v="Children out of school (% of primary school age)"/>
    <m/>
    <x v="33"/>
  </r>
  <r>
    <x v="7"/>
    <s v="Children out of school (% of primary school age)"/>
    <m/>
    <x v="33"/>
  </r>
  <r>
    <x v="8"/>
    <s v="Children out of school (% of primary school age)"/>
    <m/>
    <x v="33"/>
  </r>
  <r>
    <x v="9"/>
    <s v="Children out of school (% of primary school age)"/>
    <m/>
    <x v="33"/>
  </r>
  <r>
    <x v="10"/>
    <s v="Children out of school (% of primary school age)"/>
    <m/>
    <x v="33"/>
  </r>
  <r>
    <x v="11"/>
    <s v="Children out of school (% of primary school age)"/>
    <m/>
    <x v="33"/>
  </r>
  <r>
    <x v="12"/>
    <s v="Children out of school (% of primary school age)"/>
    <m/>
    <x v="33"/>
  </r>
  <r>
    <x v="13"/>
    <s v="Children out of school (% of primary school age)"/>
    <m/>
    <x v="33"/>
  </r>
  <r>
    <x v="14"/>
    <s v="Children out of school (% of primary school age)"/>
    <m/>
    <x v="33"/>
  </r>
  <r>
    <x v="15"/>
    <s v="Children out of school (% of primary school age)"/>
    <n v="59.304420471191399"/>
    <x v="33"/>
  </r>
  <r>
    <x v="16"/>
    <s v="Children out of school (% of primary school age)"/>
    <m/>
    <x v="33"/>
  </r>
  <r>
    <x v="17"/>
    <s v="Children out of school (% of primary school age)"/>
    <m/>
    <x v="33"/>
  </r>
  <r>
    <x v="18"/>
    <s v="Children out of school (% of primary school age)"/>
    <n v="25.676509857177699"/>
    <x v="33"/>
  </r>
  <r>
    <x v="19"/>
    <s v="Children out of school (% of primary school age)"/>
    <m/>
    <x v="33"/>
  </r>
  <r>
    <x v="20"/>
    <s v="Children out of school (% of primary school age)"/>
    <m/>
    <x v="33"/>
  </r>
  <r>
    <x v="21"/>
    <s v="Children out of school (% of primary school age)"/>
    <m/>
    <x v="33"/>
  </r>
  <r>
    <x v="22"/>
    <s v="Children out of school (% of primary school age)"/>
    <m/>
    <x v="33"/>
  </r>
  <r>
    <x v="23"/>
    <s v="Children out of school (% of primary school age)"/>
    <m/>
    <x v="33"/>
  </r>
  <r>
    <x v="24"/>
    <s v="Children out of school (% of primary school age)"/>
    <n v="50.079971313476598"/>
    <x v="33"/>
  </r>
  <r>
    <x v="25"/>
    <s v="Children out of school (% of primary school age)"/>
    <m/>
    <x v="33"/>
  </r>
  <r>
    <x v="26"/>
    <s v="Children out of school (% of primary school age)"/>
    <m/>
    <x v="33"/>
  </r>
  <r>
    <x v="27"/>
    <s v="Children out of school (% of primary school age)"/>
    <m/>
    <x v="33"/>
  </r>
  <r>
    <x v="0"/>
    <s v="Children out of school (% of primary school age)"/>
    <m/>
    <x v="34"/>
  </r>
  <r>
    <x v="1"/>
    <s v="Children out of school (% of primary school age)"/>
    <m/>
    <x v="34"/>
  </r>
  <r>
    <x v="2"/>
    <s v="Children out of school (% of primary school age)"/>
    <m/>
    <x v="34"/>
  </r>
  <r>
    <x v="3"/>
    <s v="Children out of school (% of primary school age)"/>
    <n v="30.777809143066399"/>
    <x v="34"/>
  </r>
  <r>
    <x v="4"/>
    <s v="Children out of school (% of primary school age)"/>
    <n v="72.914169311523395"/>
    <x v="34"/>
  </r>
  <r>
    <x v="5"/>
    <s v="Children out of school (% of primary school age)"/>
    <n v="80.894607543945298"/>
    <x v="34"/>
  </r>
  <r>
    <x v="6"/>
    <s v="Children out of school (% of primary school age)"/>
    <m/>
    <x v="34"/>
  </r>
  <r>
    <x v="7"/>
    <s v="Children out of school (% of primary school age)"/>
    <m/>
    <x v="34"/>
  </r>
  <r>
    <x v="8"/>
    <s v="Children out of school (% of primary school age)"/>
    <m/>
    <x v="34"/>
  </r>
  <r>
    <x v="9"/>
    <s v="Children out of school (% of primary school age)"/>
    <m/>
    <x v="34"/>
  </r>
  <r>
    <x v="10"/>
    <s v="Children out of school (% of primary school age)"/>
    <m/>
    <x v="34"/>
  </r>
  <r>
    <x v="11"/>
    <s v="Children out of school (% of primary school age)"/>
    <m/>
    <x v="34"/>
  </r>
  <r>
    <x v="12"/>
    <s v="Children out of school (% of primary school age)"/>
    <m/>
    <x v="34"/>
  </r>
  <r>
    <x v="13"/>
    <s v="Children out of school (% of primary school age)"/>
    <m/>
    <x v="34"/>
  </r>
  <r>
    <x v="14"/>
    <s v="Children out of school (% of primary school age)"/>
    <m/>
    <x v="34"/>
  </r>
  <r>
    <x v="15"/>
    <s v="Children out of school (% of primary school age)"/>
    <n v="58.193599700927699"/>
    <x v="34"/>
  </r>
  <r>
    <x v="16"/>
    <s v="Children out of school (% of primary school age)"/>
    <m/>
    <x v="34"/>
  </r>
  <r>
    <x v="17"/>
    <s v="Children out of school (% of primary school age)"/>
    <m/>
    <x v="34"/>
  </r>
  <r>
    <x v="18"/>
    <s v="Children out of school (% of primary school age)"/>
    <n v="24.776649475097699"/>
    <x v="34"/>
  </r>
  <r>
    <x v="19"/>
    <s v="Children out of school (% of primary school age)"/>
    <m/>
    <x v="34"/>
  </r>
  <r>
    <x v="20"/>
    <s v="Children out of school (% of primary school age)"/>
    <m/>
    <x v="34"/>
  </r>
  <r>
    <x v="21"/>
    <s v="Children out of school (% of primary school age)"/>
    <m/>
    <x v="34"/>
  </r>
  <r>
    <x v="22"/>
    <s v="Children out of school (% of primary school age)"/>
    <m/>
    <x v="34"/>
  </r>
  <r>
    <x v="23"/>
    <s v="Children out of school (% of primary school age)"/>
    <m/>
    <x v="34"/>
  </r>
  <r>
    <x v="24"/>
    <s v="Children out of school (% of primary school age)"/>
    <n v="51.287368774414098"/>
    <x v="34"/>
  </r>
  <r>
    <x v="25"/>
    <s v="Children out of school (% of primary school age)"/>
    <m/>
    <x v="34"/>
  </r>
  <r>
    <x v="26"/>
    <s v="Children out of school (% of primary school age)"/>
    <n v="26.592319488525401"/>
    <x v="34"/>
  </r>
  <r>
    <x v="27"/>
    <s v="Children out of school (% of primary school age)"/>
    <m/>
    <x v="34"/>
  </r>
  <r>
    <x v="0"/>
    <s v="Children out of school (% of primary school age)"/>
    <m/>
    <x v="35"/>
  </r>
  <r>
    <x v="1"/>
    <s v="Children out of school (% of primary school age)"/>
    <m/>
    <x v="35"/>
  </r>
  <r>
    <x v="2"/>
    <s v="Children out of school (% of primary school age)"/>
    <m/>
    <x v="35"/>
  </r>
  <r>
    <x v="3"/>
    <s v="Children out of school (% of primary school age)"/>
    <m/>
    <x v="35"/>
  </r>
  <r>
    <x v="4"/>
    <s v="Children out of school (% of primary school age)"/>
    <n v="71.857337951660199"/>
    <x v="35"/>
  </r>
  <r>
    <x v="5"/>
    <s v="Children out of school (% of primary school age)"/>
    <n v="78.1546630859375"/>
    <x v="35"/>
  </r>
  <r>
    <x v="6"/>
    <s v="Children out of school (% of primary school age)"/>
    <m/>
    <x v="35"/>
  </r>
  <r>
    <x v="7"/>
    <s v="Children out of school (% of primary school age)"/>
    <m/>
    <x v="35"/>
  </r>
  <r>
    <x v="8"/>
    <s v="Children out of school (% of primary school age)"/>
    <m/>
    <x v="35"/>
  </r>
  <r>
    <x v="9"/>
    <s v="Children out of school (% of primary school age)"/>
    <m/>
    <x v="35"/>
  </r>
  <r>
    <x v="10"/>
    <s v="Children out of school (% of primary school age)"/>
    <m/>
    <x v="35"/>
  </r>
  <r>
    <x v="11"/>
    <s v="Children out of school (% of primary school age)"/>
    <n v="45.289051055908203"/>
    <x v="35"/>
  </r>
  <r>
    <x v="12"/>
    <s v="Children out of school (% of primary school age)"/>
    <m/>
    <x v="35"/>
  </r>
  <r>
    <x v="13"/>
    <s v="Children out of school (% of primary school age)"/>
    <m/>
    <x v="35"/>
  </r>
  <r>
    <x v="14"/>
    <s v="Children out of school (% of primary school age)"/>
    <m/>
    <x v="35"/>
  </r>
  <r>
    <x v="15"/>
    <s v="Children out of school (% of primary school age)"/>
    <n v="55.930450439453097"/>
    <x v="35"/>
  </r>
  <r>
    <x v="16"/>
    <s v="Children out of school (% of primary school age)"/>
    <m/>
    <x v="35"/>
  </r>
  <r>
    <x v="17"/>
    <s v="Children out of school (% of primary school age)"/>
    <m/>
    <x v="35"/>
  </r>
  <r>
    <x v="18"/>
    <s v="Children out of school (% of primary school age)"/>
    <n v="26.565580368041999"/>
    <x v="35"/>
  </r>
  <r>
    <x v="19"/>
    <s v="Children out of school (% of primary school age)"/>
    <m/>
    <x v="35"/>
  </r>
  <r>
    <x v="20"/>
    <s v="Children out of school (% of primary school age)"/>
    <m/>
    <x v="35"/>
  </r>
  <r>
    <x v="21"/>
    <s v="Children out of school (% of primary school age)"/>
    <m/>
    <x v="35"/>
  </r>
  <r>
    <x v="22"/>
    <s v="Children out of school (% of primary school age)"/>
    <m/>
    <x v="35"/>
  </r>
  <r>
    <x v="23"/>
    <s v="Children out of school (% of primary school age)"/>
    <m/>
    <x v="35"/>
  </r>
  <r>
    <x v="24"/>
    <s v="Children out of school (% of primary school age)"/>
    <n v="51.397579193115199"/>
    <x v="35"/>
  </r>
  <r>
    <x v="25"/>
    <s v="Children out of school (% of primary school age)"/>
    <m/>
    <x v="35"/>
  </r>
  <r>
    <x v="26"/>
    <s v="Children out of school (% of primary school age)"/>
    <n v="28.4888801574707"/>
    <x v="35"/>
  </r>
  <r>
    <x v="27"/>
    <s v="Children out of school (% of primary school age)"/>
    <m/>
    <x v="35"/>
  </r>
  <r>
    <x v="0"/>
    <s v="Children out of school (% of primary school age)"/>
    <m/>
    <x v="36"/>
  </r>
  <r>
    <x v="1"/>
    <s v="Children out of school (% of primary school age)"/>
    <m/>
    <x v="36"/>
  </r>
  <r>
    <x v="2"/>
    <s v="Children out of school (% of primary school age)"/>
    <n v="62.633609771728501"/>
    <x v="36"/>
  </r>
  <r>
    <x v="3"/>
    <s v="Children out of school (% of primary school age)"/>
    <m/>
    <x v="36"/>
  </r>
  <r>
    <x v="4"/>
    <s v="Children out of school (% of primary school age)"/>
    <n v="71.887290954589801"/>
    <x v="36"/>
  </r>
  <r>
    <x v="5"/>
    <s v="Children out of school (% of primary school age)"/>
    <n v="73.933761596679702"/>
    <x v="36"/>
  </r>
  <r>
    <x v="6"/>
    <s v="Children out of school (% of primary school age)"/>
    <m/>
    <x v="36"/>
  </r>
  <r>
    <x v="7"/>
    <s v="Children out of school (% of primary school age)"/>
    <m/>
    <x v="36"/>
  </r>
  <r>
    <x v="8"/>
    <s v="Children out of school (% of primary school age)"/>
    <m/>
    <x v="36"/>
  </r>
  <r>
    <x v="9"/>
    <s v="Children out of school (% of primary school age)"/>
    <m/>
    <x v="36"/>
  </r>
  <r>
    <x v="10"/>
    <s v="Children out of school (% of primary school age)"/>
    <m/>
    <x v="36"/>
  </r>
  <r>
    <x v="11"/>
    <s v="Children out of school (% of primary school age)"/>
    <n v="43.080238342285199"/>
    <x v="36"/>
  </r>
  <r>
    <x v="12"/>
    <s v="Children out of school (% of primary school age)"/>
    <m/>
    <x v="36"/>
  </r>
  <r>
    <x v="13"/>
    <s v="Children out of school (% of primary school age)"/>
    <m/>
    <x v="36"/>
  </r>
  <r>
    <x v="14"/>
    <s v="Children out of school (% of primary school age)"/>
    <m/>
    <x v="36"/>
  </r>
  <r>
    <x v="15"/>
    <s v="Children out of school (% of primary school age)"/>
    <m/>
    <x v="36"/>
  </r>
  <r>
    <x v="16"/>
    <s v="Children out of school (% of primary school age)"/>
    <m/>
    <x v="36"/>
  </r>
  <r>
    <x v="17"/>
    <s v="Children out of school (% of primary school age)"/>
    <m/>
    <x v="36"/>
  </r>
  <r>
    <x v="18"/>
    <s v="Children out of school (% of primary school age)"/>
    <n v="27.286939620971701"/>
    <x v="36"/>
  </r>
  <r>
    <x v="19"/>
    <s v="Children out of school (% of primary school age)"/>
    <m/>
    <x v="36"/>
  </r>
  <r>
    <x v="20"/>
    <s v="Children out of school (% of primary school age)"/>
    <m/>
    <x v="36"/>
  </r>
  <r>
    <x v="21"/>
    <s v="Children out of school (% of primary school age)"/>
    <m/>
    <x v="36"/>
  </r>
  <r>
    <x v="22"/>
    <s v="Children out of school (% of primary school age)"/>
    <m/>
    <x v="36"/>
  </r>
  <r>
    <x v="23"/>
    <s v="Children out of school (% of primary school age)"/>
    <m/>
    <x v="36"/>
  </r>
  <r>
    <x v="24"/>
    <s v="Children out of school (% of primary school age)"/>
    <n v="51.290081024169901"/>
    <x v="36"/>
  </r>
  <r>
    <x v="25"/>
    <s v="Children out of school (% of primary school age)"/>
    <m/>
    <x v="36"/>
  </r>
  <r>
    <x v="26"/>
    <s v="Children out of school (% of primary school age)"/>
    <m/>
    <x v="36"/>
  </r>
  <r>
    <x v="27"/>
    <s v="Children out of school (% of primary school age)"/>
    <m/>
    <x v="36"/>
  </r>
  <r>
    <x v="0"/>
    <s v="Children out of school (% of primary school age)"/>
    <m/>
    <x v="37"/>
  </r>
  <r>
    <x v="1"/>
    <s v="Children out of school (% of primary school age)"/>
    <m/>
    <x v="37"/>
  </r>
  <r>
    <x v="2"/>
    <s v="Children out of school (% of primary school age)"/>
    <n v="57.276290893554702"/>
    <x v="37"/>
  </r>
  <r>
    <x v="3"/>
    <s v="Children out of school (% of primary school age)"/>
    <m/>
    <x v="37"/>
  </r>
  <r>
    <x v="4"/>
    <s v="Children out of school (% of primary school age)"/>
    <n v="72.962631225585895"/>
    <x v="37"/>
  </r>
  <r>
    <x v="5"/>
    <s v="Children out of school (% of primary school age)"/>
    <m/>
    <x v="37"/>
  </r>
  <r>
    <x v="6"/>
    <s v="Children out of school (% of primary school age)"/>
    <m/>
    <x v="37"/>
  </r>
  <r>
    <x v="7"/>
    <s v="Children out of school (% of primary school age)"/>
    <n v="42.662651062011697"/>
    <x v="37"/>
  </r>
  <r>
    <x v="8"/>
    <s v="Children out of school (% of primary school age)"/>
    <m/>
    <x v="37"/>
  </r>
  <r>
    <x v="9"/>
    <s v="Children out of school (% of primary school age)"/>
    <m/>
    <x v="37"/>
  </r>
  <r>
    <x v="10"/>
    <s v="Children out of school (% of primary school age)"/>
    <m/>
    <x v="37"/>
  </r>
  <r>
    <x v="11"/>
    <s v="Children out of school (% of primary school age)"/>
    <m/>
    <x v="37"/>
  </r>
  <r>
    <x v="12"/>
    <s v="Children out of school (% of primary school age)"/>
    <m/>
    <x v="37"/>
  </r>
  <r>
    <x v="13"/>
    <s v="Children out of school (% of primary school age)"/>
    <m/>
    <x v="37"/>
  </r>
  <r>
    <x v="14"/>
    <s v="Children out of school (% of primary school age)"/>
    <m/>
    <x v="37"/>
  </r>
  <r>
    <x v="15"/>
    <s v="Children out of school (% of primary school age)"/>
    <m/>
    <x v="37"/>
  </r>
  <r>
    <x v="16"/>
    <s v="Children out of school (% of primary school age)"/>
    <m/>
    <x v="37"/>
  </r>
  <r>
    <x v="17"/>
    <s v="Children out of school (% of primary school age)"/>
    <m/>
    <x v="37"/>
  </r>
  <r>
    <x v="18"/>
    <s v="Children out of school (% of primary school age)"/>
    <m/>
    <x v="37"/>
  </r>
  <r>
    <x v="19"/>
    <s v="Children out of school (% of primary school age)"/>
    <n v="75.948181152343807"/>
    <x v="37"/>
  </r>
  <r>
    <x v="20"/>
    <s v="Children out of school (% of primary school age)"/>
    <m/>
    <x v="37"/>
  </r>
  <r>
    <x v="21"/>
    <s v="Children out of school (% of primary school age)"/>
    <m/>
    <x v="37"/>
  </r>
  <r>
    <x v="22"/>
    <s v="Children out of school (% of primary school age)"/>
    <m/>
    <x v="37"/>
  </r>
  <r>
    <x v="23"/>
    <s v="Children out of school (% of primary school age)"/>
    <m/>
    <x v="37"/>
  </r>
  <r>
    <x v="24"/>
    <s v="Children out of school (% of primary school age)"/>
    <n v="50.906990051269503"/>
    <x v="37"/>
  </r>
  <r>
    <x v="25"/>
    <s v="Children out of school (% of primary school age)"/>
    <m/>
    <x v="37"/>
  </r>
  <r>
    <x v="26"/>
    <s v="Children out of school (% of primary school age)"/>
    <m/>
    <x v="37"/>
  </r>
  <r>
    <x v="27"/>
    <s v="Children out of school (% of primary school age)"/>
    <m/>
    <x v="37"/>
  </r>
  <r>
    <x v="0"/>
    <s v="Children out of school (% of primary school age)"/>
    <m/>
    <x v="38"/>
  </r>
  <r>
    <x v="1"/>
    <s v="Children out of school (% of primary school age)"/>
    <m/>
    <x v="38"/>
  </r>
  <r>
    <x v="2"/>
    <s v="Children out of school (% of primary school age)"/>
    <n v="52.109439849853501"/>
    <x v="38"/>
  </r>
  <r>
    <x v="3"/>
    <s v="Children out of school (% of primary school age)"/>
    <m/>
    <x v="38"/>
  </r>
  <r>
    <x v="4"/>
    <s v="Children out of school (% of primary school age)"/>
    <m/>
    <x v="38"/>
  </r>
  <r>
    <x v="5"/>
    <s v="Children out of school (% of primary school age)"/>
    <n v="66.499549865722699"/>
    <x v="38"/>
  </r>
  <r>
    <x v="6"/>
    <s v="Children out of school (% of primary school age)"/>
    <n v="60.631038665771499"/>
    <x v="38"/>
  </r>
  <r>
    <x v="7"/>
    <s v="Children out of school (% of primary school age)"/>
    <m/>
    <x v="38"/>
  </r>
  <r>
    <x v="8"/>
    <s v="Children out of school (% of primary school age)"/>
    <m/>
    <x v="38"/>
  </r>
  <r>
    <x v="9"/>
    <s v="Children out of school (% of primary school age)"/>
    <m/>
    <x v="38"/>
  </r>
  <r>
    <x v="10"/>
    <s v="Children out of school (% of primary school age)"/>
    <m/>
    <x v="38"/>
  </r>
  <r>
    <x v="11"/>
    <s v="Children out of school (% of primary school age)"/>
    <m/>
    <x v="38"/>
  </r>
  <r>
    <x v="12"/>
    <s v="Children out of school (% of primary school age)"/>
    <m/>
    <x v="38"/>
  </r>
  <r>
    <x v="13"/>
    <s v="Children out of school (% of primary school age)"/>
    <m/>
    <x v="38"/>
  </r>
  <r>
    <x v="14"/>
    <s v="Children out of school (% of primary school age)"/>
    <m/>
    <x v="38"/>
  </r>
  <r>
    <x v="15"/>
    <s v="Children out of school (% of primary school age)"/>
    <n v="51.415740966796903"/>
    <x v="38"/>
  </r>
  <r>
    <x v="16"/>
    <s v="Children out of school (% of primary school age)"/>
    <m/>
    <x v="38"/>
  </r>
  <r>
    <x v="17"/>
    <s v="Children out of school (% of primary school age)"/>
    <m/>
    <x v="38"/>
  </r>
  <r>
    <x v="18"/>
    <s v="Children out of school (% of primary school age)"/>
    <m/>
    <x v="38"/>
  </r>
  <r>
    <x v="19"/>
    <s v="Children out of school (% of primary school age)"/>
    <n v="75.609619140625"/>
    <x v="38"/>
  </r>
  <r>
    <x v="20"/>
    <s v="Children out of school (% of primary school age)"/>
    <m/>
    <x v="38"/>
  </r>
  <r>
    <x v="21"/>
    <s v="Children out of school (% of primary school age)"/>
    <m/>
    <x v="38"/>
  </r>
  <r>
    <x v="22"/>
    <s v="Children out of school (% of primary school age)"/>
    <m/>
    <x v="38"/>
  </r>
  <r>
    <x v="23"/>
    <s v="Children out of school (% of primary school age)"/>
    <m/>
    <x v="38"/>
  </r>
  <r>
    <x v="24"/>
    <s v="Children out of school (% of primary school age)"/>
    <n v="51.429401397705099"/>
    <x v="38"/>
  </r>
  <r>
    <x v="25"/>
    <s v="Children out of school (% of primary school age)"/>
    <m/>
    <x v="38"/>
  </r>
  <r>
    <x v="26"/>
    <s v="Children out of school (% of primary school age)"/>
    <n v="31.653469085693398"/>
    <x v="38"/>
  </r>
  <r>
    <x v="27"/>
    <s v="Children out of school (% of primary school age)"/>
    <n v="15.9026899337769"/>
    <x v="38"/>
  </r>
  <r>
    <x v="0"/>
    <s v="Children out of school (% of primary school age)"/>
    <m/>
    <x v="39"/>
  </r>
  <r>
    <x v="1"/>
    <s v="Children out of school (% of primary school age)"/>
    <m/>
    <x v="39"/>
  </r>
  <r>
    <x v="2"/>
    <s v="Children out of school (% of primary school age)"/>
    <n v="50.200038909912102"/>
    <x v="39"/>
  </r>
  <r>
    <x v="3"/>
    <s v="Children out of school (% of primary school age)"/>
    <n v="39.206039428710902"/>
    <x v="39"/>
  </r>
  <r>
    <x v="4"/>
    <s v="Children out of school (% of primary school age)"/>
    <n v="73.140609741210895"/>
    <x v="39"/>
  </r>
  <r>
    <x v="5"/>
    <s v="Children out of school (% of primary school age)"/>
    <n v="64.007720947265597"/>
    <x v="39"/>
  </r>
  <r>
    <x v="6"/>
    <s v="Children out of school (% of primary school age)"/>
    <n v="58.165779113769503"/>
    <x v="39"/>
  </r>
  <r>
    <x v="7"/>
    <s v="Children out of school (% of primary school age)"/>
    <m/>
    <x v="39"/>
  </r>
  <r>
    <x v="8"/>
    <s v="Children out of school (% of primary school age)"/>
    <n v="37.345001220703097"/>
    <x v="39"/>
  </r>
  <r>
    <x v="9"/>
    <s v="Children out of school (% of primary school age)"/>
    <m/>
    <x v="39"/>
  </r>
  <r>
    <x v="10"/>
    <s v="Children out of school (% of primary school age)"/>
    <n v="53.237331390380902"/>
    <x v="39"/>
  </r>
  <r>
    <x v="11"/>
    <s v="Children out of school (% of primary school age)"/>
    <n v="35.077560424804702"/>
    <x v="39"/>
  </r>
  <r>
    <x v="12"/>
    <s v="Children out of school (% of primary school age)"/>
    <n v="4.5210299491882298"/>
    <x v="39"/>
  </r>
  <r>
    <x v="13"/>
    <s v="Children out of school (% of primary school age)"/>
    <n v="56.035129547119098"/>
    <x v="39"/>
  </r>
  <r>
    <x v="14"/>
    <s v="Children out of school (% of primary school age)"/>
    <m/>
    <x v="39"/>
  </r>
  <r>
    <x v="15"/>
    <s v="Children out of school (% of primary school age)"/>
    <n v="47.957569122314503"/>
    <x v="39"/>
  </r>
  <r>
    <x v="16"/>
    <s v="Children out of school (% of primary school age)"/>
    <m/>
    <x v="39"/>
  </r>
  <r>
    <x v="17"/>
    <s v="Children out of school (% of primary school age)"/>
    <n v="33.607231140136697"/>
    <x v="39"/>
  </r>
  <r>
    <x v="18"/>
    <s v="Children out of school (% of primary school age)"/>
    <n v="17.341089248657202"/>
    <x v="39"/>
  </r>
  <r>
    <x v="19"/>
    <s v="Children out of school (% of primary school age)"/>
    <n v="73.876441955566406"/>
    <x v="39"/>
  </r>
  <r>
    <x v="20"/>
    <s v="Children out of school (% of primary school age)"/>
    <n v="19.062320709228501"/>
    <x v="39"/>
  </r>
  <r>
    <x v="21"/>
    <s v="Children out of school (% of primary school age)"/>
    <n v="18.595270156860401"/>
    <x v="39"/>
  </r>
  <r>
    <x v="22"/>
    <s v="Children out of school (% of primary school age)"/>
    <m/>
    <x v="39"/>
  </r>
  <r>
    <x v="23"/>
    <s v="Children out of school (% of primary school age)"/>
    <m/>
    <x v="39"/>
  </r>
  <r>
    <x v="24"/>
    <s v="Children out of school (% of primary school age)"/>
    <n v="51.0243110656738"/>
    <x v="39"/>
  </r>
  <r>
    <x v="25"/>
    <s v="Children out of school (% of primary school age)"/>
    <m/>
    <x v="39"/>
  </r>
  <r>
    <x v="26"/>
    <s v="Children out of school (% of primary school age)"/>
    <n v="33.147121429443402"/>
    <x v="39"/>
  </r>
  <r>
    <x v="27"/>
    <s v="Children out of school (% of primary school age)"/>
    <n v="13.7190599441528"/>
    <x v="39"/>
  </r>
  <r>
    <x v="0"/>
    <s v="Children out of school (% of primary school age)"/>
    <n v="57.698318481445298"/>
    <x v="40"/>
  </r>
  <r>
    <x v="1"/>
    <s v="Children out of school (% of primary school age)"/>
    <m/>
    <x v="40"/>
  </r>
  <r>
    <x v="2"/>
    <s v="Children out of school (% of primary school age)"/>
    <n v="48.530559539794901"/>
    <x v="40"/>
  </r>
  <r>
    <x v="3"/>
    <s v="Children out of school (% of primary school age)"/>
    <n v="32.5052680969238"/>
    <x v="40"/>
  </r>
  <r>
    <x v="4"/>
    <s v="Children out of school (% of primary school age)"/>
    <n v="72.966667175292997"/>
    <x v="40"/>
  </r>
  <r>
    <x v="5"/>
    <s v="Children out of school (% of primary school age)"/>
    <n v="59.9315795898438"/>
    <x v="40"/>
  </r>
  <r>
    <x v="6"/>
    <s v="Children out of school (% of primary school age)"/>
    <n v="55.057781219482401"/>
    <x v="40"/>
  </r>
  <r>
    <x v="7"/>
    <s v="Children out of school (% of primary school age)"/>
    <m/>
    <x v="40"/>
  </r>
  <r>
    <x v="8"/>
    <s v="Children out of school (% of primary school age)"/>
    <n v="34.523269653320298"/>
    <x v="40"/>
  </r>
  <r>
    <x v="9"/>
    <s v="Children out of school (% of primary school age)"/>
    <m/>
    <x v="40"/>
  </r>
  <r>
    <x v="10"/>
    <s v="Children out of school (% of primary school age)"/>
    <m/>
    <x v="40"/>
  </r>
  <r>
    <x v="11"/>
    <s v="Children out of school (% of primary school age)"/>
    <n v="33.608871459960902"/>
    <x v="40"/>
  </r>
  <r>
    <x v="12"/>
    <s v="Children out of school (% of primary school age)"/>
    <m/>
    <x v="40"/>
  </r>
  <r>
    <x v="13"/>
    <s v="Children out of school (% of primary school age)"/>
    <m/>
    <x v="40"/>
  </r>
  <r>
    <x v="14"/>
    <s v="Children out of school (% of primary school age)"/>
    <n v="7.4392600059509304"/>
    <x v="40"/>
  </r>
  <r>
    <x v="15"/>
    <s v="Children out of school (% of primary school age)"/>
    <n v="44.403099060058601"/>
    <x v="40"/>
  </r>
  <r>
    <x v="16"/>
    <s v="Children out of school (% of primary school age)"/>
    <n v="7.80748987197875"/>
    <x v="40"/>
  </r>
  <r>
    <x v="17"/>
    <s v="Children out of school (% of primary school age)"/>
    <n v="27.319429397583001"/>
    <x v="40"/>
  </r>
  <r>
    <x v="18"/>
    <s v="Children out of school (% of primary school age)"/>
    <n v="14.0674600601196"/>
    <x v="40"/>
  </r>
  <r>
    <x v="19"/>
    <s v="Children out of school (% of primary school age)"/>
    <n v="73.133239746093807"/>
    <x v="40"/>
  </r>
  <r>
    <x v="20"/>
    <s v="Children out of school (% of primary school age)"/>
    <m/>
    <x v="40"/>
  </r>
  <r>
    <x v="21"/>
    <s v="Children out of school (% of primary school age)"/>
    <m/>
    <x v="40"/>
  </r>
  <r>
    <x v="22"/>
    <s v="Children out of school (% of primary school age)"/>
    <m/>
    <x v="40"/>
  </r>
  <r>
    <x v="23"/>
    <s v="Children out of school (% of primary school age)"/>
    <n v="4.3193202018737802"/>
    <x v="40"/>
  </r>
  <r>
    <x v="24"/>
    <s v="Children out of school (% of primary school age)"/>
    <n v="47.498111724853501"/>
    <x v="40"/>
  </r>
  <r>
    <x v="25"/>
    <s v="Children out of school (% of primary school age)"/>
    <m/>
    <x v="40"/>
  </r>
  <r>
    <x v="26"/>
    <s v="Children out of school (% of primary school age)"/>
    <n v="33.359779357910199"/>
    <x v="40"/>
  </r>
  <r>
    <x v="27"/>
    <s v="Children out of school (% of primary school age)"/>
    <n v="12.972049713134799"/>
    <x v="40"/>
  </r>
  <r>
    <x v="0"/>
    <s v="Children out of school (% of primary school age)"/>
    <n v="48.765731811523402"/>
    <x v="41"/>
  </r>
  <r>
    <x v="1"/>
    <s v="Children out of school (% of primary school age)"/>
    <m/>
    <x v="41"/>
  </r>
  <r>
    <x v="2"/>
    <s v="Children out of school (% of primary school age)"/>
    <n v="47.320880889892599"/>
    <x v="41"/>
  </r>
  <r>
    <x v="3"/>
    <s v="Children out of school (% of primary school age)"/>
    <m/>
    <x v="41"/>
  </r>
  <r>
    <x v="4"/>
    <s v="Children out of school (% of primary school age)"/>
    <n v="70.286453247070298"/>
    <x v="41"/>
  </r>
  <r>
    <x v="5"/>
    <s v="Children out of school (% of primary school age)"/>
    <n v="55.669109344482401"/>
    <x v="41"/>
  </r>
  <r>
    <x v="6"/>
    <s v="Children out of school (% of primary school age)"/>
    <n v="51.607719421386697"/>
    <x v="41"/>
  </r>
  <r>
    <x v="7"/>
    <s v="Children out of school (% of primary school age)"/>
    <m/>
    <x v="41"/>
  </r>
  <r>
    <x v="8"/>
    <s v="Children out of school (% of primary school age)"/>
    <n v="33.348579406738303"/>
    <x v="41"/>
  </r>
  <r>
    <x v="9"/>
    <s v="Children out of school (% of primary school age)"/>
    <m/>
    <x v="41"/>
  </r>
  <r>
    <x v="10"/>
    <s v="Children out of school (% of primary school age)"/>
    <m/>
    <x v="41"/>
  </r>
  <r>
    <x v="11"/>
    <s v="Children out of school (% of primary school age)"/>
    <n v="32.344928741455099"/>
    <x v="41"/>
  </r>
  <r>
    <x v="12"/>
    <s v="Children out of school (% of primary school age)"/>
    <m/>
    <x v="41"/>
  </r>
  <r>
    <x v="13"/>
    <s v="Children out of school (% of primary school age)"/>
    <m/>
    <x v="41"/>
  </r>
  <r>
    <x v="14"/>
    <s v="Children out of school (% of primary school age)"/>
    <n v="4.4134497642517099"/>
    <x v="41"/>
  </r>
  <r>
    <x v="15"/>
    <s v="Children out of school (% of primary school age)"/>
    <n v="40.165569305419901"/>
    <x v="41"/>
  </r>
  <r>
    <x v="16"/>
    <s v="Children out of school (% of primary school age)"/>
    <n v="6.5382199287414604"/>
    <x v="41"/>
  </r>
  <r>
    <x v="17"/>
    <s v="Children out of school (% of primary school age)"/>
    <m/>
    <x v="41"/>
  </r>
  <r>
    <x v="18"/>
    <s v="Children out of school (% of primary school age)"/>
    <n v="9.8171796798706108"/>
    <x v="41"/>
  </r>
  <r>
    <x v="19"/>
    <s v="Children out of school (% of primary school age)"/>
    <n v="69.509712219238295"/>
    <x v="41"/>
  </r>
  <r>
    <x v="20"/>
    <s v="Children out of school (% of primary school age)"/>
    <m/>
    <x v="41"/>
  </r>
  <r>
    <x v="21"/>
    <s v="Children out of school (% of primary school age)"/>
    <m/>
    <x v="41"/>
  </r>
  <r>
    <x v="22"/>
    <s v="Children out of school (% of primary school age)"/>
    <n v="0.118830002844334"/>
    <x v="41"/>
  </r>
  <r>
    <x v="23"/>
    <s v="Children out of school (% of primary school age)"/>
    <n v="4.8157401084899902"/>
    <x v="41"/>
  </r>
  <r>
    <x v="24"/>
    <s v="Children out of school (% of primary school age)"/>
    <n v="42.947921752929702"/>
    <x v="41"/>
  </r>
  <r>
    <x v="25"/>
    <s v="Children out of school (% of primary school age)"/>
    <m/>
    <x v="41"/>
  </r>
  <r>
    <x v="26"/>
    <s v="Children out of school (% of primary school age)"/>
    <n v="33.744598388671903"/>
    <x v="41"/>
  </r>
  <r>
    <x v="27"/>
    <s v="Children out of school (% of primary school age)"/>
    <n v="10.9549503326416"/>
    <x v="41"/>
  </r>
  <r>
    <x v="0"/>
    <s v="Children out of school (% of primary school age)"/>
    <n v="49.418758392333999"/>
    <x v="42"/>
  </r>
  <r>
    <x v="1"/>
    <s v="Children out of school (% of primary school age)"/>
    <m/>
    <x v="42"/>
  </r>
  <r>
    <x v="2"/>
    <s v="Children out of school (% of primary school age)"/>
    <n v="43.823219299316399"/>
    <x v="42"/>
  </r>
  <r>
    <x v="3"/>
    <s v="Children out of school (% of primary school age)"/>
    <m/>
    <x v="42"/>
  </r>
  <r>
    <x v="4"/>
    <s v="Children out of school (% of primary school age)"/>
    <n v="68.647277832031307"/>
    <x v="42"/>
  </r>
  <r>
    <x v="5"/>
    <s v="Children out of school (% of primary school age)"/>
    <n v="53.435169219970703"/>
    <x v="42"/>
  </r>
  <r>
    <x v="6"/>
    <s v="Children out of school (% of primary school age)"/>
    <n v="44.285671234130902"/>
    <x v="42"/>
  </r>
  <r>
    <x v="7"/>
    <s v="Children out of school (% of primary school age)"/>
    <m/>
    <x v="42"/>
  </r>
  <r>
    <x v="8"/>
    <s v="Children out of school (% of primary school age)"/>
    <n v="38.686729431152301"/>
    <x v="42"/>
  </r>
  <r>
    <x v="9"/>
    <s v="Children out of school (% of primary school age)"/>
    <m/>
    <x v="42"/>
  </r>
  <r>
    <x v="10"/>
    <s v="Children out of school (% of primary school age)"/>
    <m/>
    <x v="42"/>
  </r>
  <r>
    <x v="11"/>
    <s v="Children out of school (% of primary school age)"/>
    <n v="31.582109451293899"/>
    <x v="42"/>
  </r>
  <r>
    <x v="12"/>
    <s v="Children out of school (% of primary school age)"/>
    <n v="1.4927999973297099"/>
    <x v="42"/>
  </r>
  <r>
    <x v="13"/>
    <s v="Children out of school (% of primary school age)"/>
    <n v="48.495311737060497"/>
    <x v="42"/>
  </r>
  <r>
    <x v="14"/>
    <s v="Children out of school (% of primary school age)"/>
    <n v="4.0360698699951199"/>
    <x v="42"/>
  </r>
  <r>
    <x v="15"/>
    <s v="Children out of school (% of primary school age)"/>
    <n v="44.5908393859863"/>
    <x v="42"/>
  </r>
  <r>
    <x v="16"/>
    <s v="Children out of school (% of primary school age)"/>
    <n v="8.6542301177978498"/>
    <x v="42"/>
  </r>
  <r>
    <x v="17"/>
    <s v="Children out of school (% of primary school age)"/>
    <m/>
    <x v="42"/>
  </r>
  <r>
    <x v="18"/>
    <s v="Children out of school (% of primary school age)"/>
    <n v="2.5727300643920801"/>
    <x v="42"/>
  </r>
  <r>
    <x v="19"/>
    <s v="Children out of school (% of primary school age)"/>
    <n v="65.904190063476605"/>
    <x v="42"/>
  </r>
  <r>
    <x v="20"/>
    <s v="Children out of school (% of primary school age)"/>
    <n v="17.048650741577099"/>
    <x v="42"/>
  </r>
  <r>
    <x v="21"/>
    <s v="Children out of school (% of primary school age)"/>
    <n v="3.5364899635314901"/>
    <x v="42"/>
  </r>
  <r>
    <x v="22"/>
    <s v="Children out of school (% of primary school age)"/>
    <n v="7.5290001928806305E-2"/>
    <x v="42"/>
  </r>
  <r>
    <x v="23"/>
    <s v="Children out of school (% of primary school age)"/>
    <n v="3.14098000526428"/>
    <x v="42"/>
  </r>
  <r>
    <x v="24"/>
    <s v="Children out of school (% of primary school age)"/>
    <n v="28.294319152831999"/>
    <x v="42"/>
  </r>
  <r>
    <x v="25"/>
    <s v="Children out of school (% of primary school age)"/>
    <m/>
    <x v="42"/>
  </r>
  <r>
    <x v="26"/>
    <s v="Children out of school (% of primary school age)"/>
    <n v="30.949649810791001"/>
    <x v="42"/>
  </r>
  <r>
    <x v="27"/>
    <s v="Children out of school (% of primary school age)"/>
    <n v="14.493659973144499"/>
    <x v="42"/>
  </r>
  <r>
    <x v="0"/>
    <s v="Children out of school (% of primary school age)"/>
    <n v="45.889209747314503"/>
    <x v="43"/>
  </r>
  <r>
    <x v="1"/>
    <s v="Children out of school (% of primary school age)"/>
    <m/>
    <x v="43"/>
  </r>
  <r>
    <x v="2"/>
    <s v="Children out of school (% of primary school age)"/>
    <n v="42.282550811767599"/>
    <x v="43"/>
  </r>
  <r>
    <x v="3"/>
    <s v="Children out of school (% of primary school age)"/>
    <m/>
    <x v="43"/>
  </r>
  <r>
    <x v="4"/>
    <s v="Children out of school (% of primary school age)"/>
    <m/>
    <x v="43"/>
  </r>
  <r>
    <x v="5"/>
    <s v="Children out of school (% of primary school age)"/>
    <n v="52.647491455078097"/>
    <x v="43"/>
  </r>
  <r>
    <x v="6"/>
    <s v="Children out of school (% of primary school age)"/>
    <n v="40.805339813232401"/>
    <x v="43"/>
  </r>
  <r>
    <x v="7"/>
    <s v="Children out of school (% of primary school age)"/>
    <m/>
    <x v="43"/>
  </r>
  <r>
    <x v="8"/>
    <s v="Children out of school (% of primary school age)"/>
    <n v="27.344160079956101"/>
    <x v="43"/>
  </r>
  <r>
    <x v="9"/>
    <s v="Children out of school (% of primary school age)"/>
    <m/>
    <x v="43"/>
  </r>
  <r>
    <x v="10"/>
    <s v="Children out of school (% of primary school age)"/>
    <m/>
    <x v="43"/>
  </r>
  <r>
    <x v="11"/>
    <s v="Children out of school (% of primary school age)"/>
    <n v="21.911869049072301"/>
    <x v="43"/>
  </r>
  <r>
    <x v="12"/>
    <s v="Children out of school (% of primary school age)"/>
    <m/>
    <x v="43"/>
  </r>
  <r>
    <x v="13"/>
    <s v="Children out of school (% of primary school age)"/>
    <n v="48.521919250488303"/>
    <x v="43"/>
  </r>
  <r>
    <x v="14"/>
    <s v="Children out of school (% of primary school age)"/>
    <n v="3.3611199855804399"/>
    <x v="43"/>
  </r>
  <r>
    <x v="15"/>
    <s v="Children out of school (% of primary school age)"/>
    <m/>
    <x v="43"/>
  </r>
  <r>
    <x v="16"/>
    <s v="Children out of school (% of primary school age)"/>
    <n v="6.7411298751831099"/>
    <x v="43"/>
  </r>
  <r>
    <x v="17"/>
    <s v="Children out of school (% of primary school age)"/>
    <n v="19.5440998077393"/>
    <x v="43"/>
  </r>
  <r>
    <x v="18"/>
    <s v="Children out of school (% of primary school age)"/>
    <m/>
    <x v="43"/>
  </r>
  <r>
    <x v="19"/>
    <s v="Children out of school (% of primary school age)"/>
    <n v="62.183609008789098"/>
    <x v="43"/>
  </r>
  <r>
    <x v="20"/>
    <s v="Children out of school (% of primary school age)"/>
    <n v="10.976770401001"/>
    <x v="43"/>
  </r>
  <r>
    <x v="21"/>
    <s v="Children out of school (% of primary school age)"/>
    <n v="2.2063500881195099"/>
    <x v="43"/>
  </r>
  <r>
    <x v="22"/>
    <s v="Children out of school (% of primary school age)"/>
    <n v="0.38258999586105302"/>
    <x v="43"/>
  </r>
  <r>
    <x v="23"/>
    <s v="Children out of school (% of primary school age)"/>
    <n v="3.0766301155090301"/>
    <x v="43"/>
  </r>
  <r>
    <x v="24"/>
    <s v="Children out of school (% of primary school age)"/>
    <n v="20.0743598937988"/>
    <x v="43"/>
  </r>
  <r>
    <x v="25"/>
    <s v="Children out of school (% of primary school age)"/>
    <m/>
    <x v="43"/>
  </r>
  <r>
    <x v="26"/>
    <s v="Children out of school (% of primary school age)"/>
    <m/>
    <x v="43"/>
  </r>
  <r>
    <x v="27"/>
    <s v="Children out of school (% of primary school age)"/>
    <n v="15.8625497817993"/>
    <x v="43"/>
  </r>
  <r>
    <x v="0"/>
    <s v="Children out of school (% of primary school age)"/>
    <n v="44.272411346435497"/>
    <x v="44"/>
  </r>
  <r>
    <x v="1"/>
    <s v="Children out of school (% of primary school age)"/>
    <m/>
    <x v="44"/>
  </r>
  <r>
    <x v="2"/>
    <s v="Children out of school (% of primary school age)"/>
    <m/>
    <x v="44"/>
  </r>
  <r>
    <x v="3"/>
    <s v="Children out of school (% of primary school age)"/>
    <m/>
    <x v="44"/>
  </r>
  <r>
    <x v="4"/>
    <s v="Children out of school (% of primary school age)"/>
    <n v="64.669677734375"/>
    <x v="44"/>
  </r>
  <r>
    <x v="5"/>
    <s v="Children out of school (% of primary school age)"/>
    <n v="49.771209716796903"/>
    <x v="44"/>
  </r>
  <r>
    <x v="6"/>
    <s v="Children out of school (% of primary school age)"/>
    <n v="37.753261566162102"/>
    <x v="44"/>
  </r>
  <r>
    <x v="7"/>
    <s v="Children out of school (% of primary school age)"/>
    <m/>
    <x v="44"/>
  </r>
  <r>
    <x v="8"/>
    <s v="Children out of school (% of primary school age)"/>
    <n v="29.110919952392599"/>
    <x v="44"/>
  </r>
  <r>
    <x v="9"/>
    <s v="Children out of school (% of primary school age)"/>
    <m/>
    <x v="44"/>
  </r>
  <r>
    <x v="10"/>
    <s v="Children out of school (% of primary school age)"/>
    <m/>
    <x v="44"/>
  </r>
  <r>
    <x v="11"/>
    <s v="Children out of school (% of primary school age)"/>
    <m/>
    <x v="44"/>
  </r>
  <r>
    <x v="12"/>
    <s v="Children out of school (% of primary school age)"/>
    <n v="2.7415599822997998"/>
    <x v="44"/>
  </r>
  <r>
    <x v="13"/>
    <s v="Children out of school (% of primary school age)"/>
    <n v="48.512989044189503"/>
    <x v="44"/>
  </r>
  <r>
    <x v="14"/>
    <s v="Children out of school (% of primary school age)"/>
    <n v="3.37089991569519"/>
    <x v="44"/>
  </r>
  <r>
    <x v="15"/>
    <s v="Children out of school (% of primary school age)"/>
    <n v="31.928390502929702"/>
    <x v="44"/>
  </r>
  <r>
    <x v="16"/>
    <s v="Children out of school (% of primary school age)"/>
    <n v="8.2099704742431605"/>
    <x v="44"/>
  </r>
  <r>
    <x v="17"/>
    <s v="Children out of school (% of primary school age)"/>
    <n v="18.853000640869102"/>
    <x v="44"/>
  </r>
  <r>
    <x v="18"/>
    <s v="Children out of school (% of primary school age)"/>
    <n v="0.82656002044677701"/>
    <x v="44"/>
  </r>
  <r>
    <x v="19"/>
    <s v="Children out of school (% of primary school age)"/>
    <n v="58.685768127441399"/>
    <x v="44"/>
  </r>
  <r>
    <x v="20"/>
    <s v="Children out of school (% of primary school age)"/>
    <m/>
    <x v="44"/>
  </r>
  <r>
    <x v="21"/>
    <s v="Children out of school (% of primary school age)"/>
    <n v="1.0130900144577"/>
    <x v="44"/>
  </r>
  <r>
    <x v="22"/>
    <s v="Children out of school (% of primary school age)"/>
    <n v="3.1516599655151398"/>
    <x v="44"/>
  </r>
  <r>
    <x v="23"/>
    <s v="Children out of school (% of primary school age)"/>
    <n v="2.6197800636291499"/>
    <x v="44"/>
  </r>
  <r>
    <x v="24"/>
    <s v="Children out of school (% of primary school age)"/>
    <n v="15.914380073547401"/>
    <x v="44"/>
  </r>
  <r>
    <x v="25"/>
    <s v="Children out of school (% of primary school age)"/>
    <m/>
    <x v="44"/>
  </r>
  <r>
    <x v="26"/>
    <s v="Children out of school (% of primary school age)"/>
    <n v="18.759649276733299"/>
    <x v="44"/>
  </r>
  <r>
    <x v="27"/>
    <s v="Children out of school (% of primary school age)"/>
    <m/>
    <x v="44"/>
  </r>
  <r>
    <x v="0"/>
    <s v="Children out of school (% of primary school age)"/>
    <n v="41.088539123535199"/>
    <x v="45"/>
  </r>
  <r>
    <x v="1"/>
    <s v="Children out of school (% of primary school age)"/>
    <m/>
    <x v="45"/>
  </r>
  <r>
    <x v="2"/>
    <s v="Children out of school (% of primary school age)"/>
    <m/>
    <x v="45"/>
  </r>
  <r>
    <x v="3"/>
    <s v="Children out of school (% of primary school age)"/>
    <m/>
    <x v="45"/>
  </r>
  <r>
    <x v="4"/>
    <s v="Children out of school (% of primary school age)"/>
    <n v="63.121898651122997"/>
    <x v="45"/>
  </r>
  <r>
    <x v="5"/>
    <s v="Children out of school (% of primary school age)"/>
    <n v="38.842800140380902"/>
    <x v="45"/>
  </r>
  <r>
    <x v="6"/>
    <s v="Children out of school (% of primary school age)"/>
    <n v="35.709609985351598"/>
    <x v="45"/>
  </r>
  <r>
    <x v="7"/>
    <s v="Children out of school (% of primary school age)"/>
    <m/>
    <x v="45"/>
  </r>
  <r>
    <x v="8"/>
    <s v="Children out of school (% of primary school age)"/>
    <n v="28.304969787597699"/>
    <x v="45"/>
  </r>
  <r>
    <x v="9"/>
    <s v="Children out of school (% of primary school age)"/>
    <m/>
    <x v="45"/>
  </r>
  <r>
    <x v="10"/>
    <s v="Children out of school (% of primary school age)"/>
    <m/>
    <x v="45"/>
  </r>
  <r>
    <x v="11"/>
    <s v="Children out of school (% of primary school age)"/>
    <m/>
    <x v="45"/>
  </r>
  <r>
    <x v="12"/>
    <s v="Children out of school (% of primary school age)"/>
    <n v="3.28424000740051"/>
    <x v="45"/>
  </r>
  <r>
    <x v="13"/>
    <s v="Children out of school (% of primary school age)"/>
    <n v="43.473918914794901"/>
    <x v="45"/>
  </r>
  <r>
    <x v="14"/>
    <s v="Children out of school (% of primary school age)"/>
    <n v="6.6279997825622603"/>
    <x v="45"/>
  </r>
  <r>
    <x v="15"/>
    <s v="Children out of school (% of primary school age)"/>
    <n v="26.9279899597168"/>
    <x v="45"/>
  </r>
  <r>
    <x v="16"/>
    <s v="Children out of school (% of primary school age)"/>
    <n v="8.4961595535278303"/>
    <x v="45"/>
  </r>
  <r>
    <x v="17"/>
    <s v="Children out of school (% of primary school age)"/>
    <m/>
    <x v="45"/>
  </r>
  <r>
    <x v="18"/>
    <s v="Children out of school (% of primary school age)"/>
    <n v="0.63739997148513805"/>
    <x v="45"/>
  </r>
  <r>
    <x v="19"/>
    <s v="Children out of school (% of primary school age)"/>
    <n v="58.688549041747997"/>
    <x v="45"/>
  </r>
  <r>
    <x v="20"/>
    <s v="Children out of school (% of primary school age)"/>
    <m/>
    <x v="45"/>
  </r>
  <r>
    <x v="21"/>
    <s v="Children out of school (% of primary school age)"/>
    <n v="1.2040200233459499"/>
    <x v="45"/>
  </r>
  <r>
    <x v="22"/>
    <s v="Children out of school (% of primary school age)"/>
    <n v="2.7466700077056898"/>
    <x v="45"/>
  </r>
  <r>
    <x v="23"/>
    <s v="Children out of school (% of primary school age)"/>
    <n v="2.9452600479125999"/>
    <x v="45"/>
  </r>
  <r>
    <x v="24"/>
    <s v="Children out of school (% of primary school age)"/>
    <n v="11.7364196777344"/>
    <x v="45"/>
  </r>
  <r>
    <x v="25"/>
    <s v="Children out of school (% of primary school age)"/>
    <m/>
    <x v="45"/>
  </r>
  <r>
    <x v="26"/>
    <s v="Children out of school (% of primary school age)"/>
    <n v="10.800539970397899"/>
    <x v="45"/>
  </r>
  <r>
    <x v="27"/>
    <s v="Children out of school (% of primary school age)"/>
    <m/>
    <x v="45"/>
  </r>
  <r>
    <x v="0"/>
    <s v="Children out of school (% of primary school age)"/>
    <n v="24.300609588623001"/>
    <x v="46"/>
  </r>
  <r>
    <x v="1"/>
    <s v="Children out of school (% of primary school age)"/>
    <m/>
    <x v="46"/>
  </r>
  <r>
    <x v="2"/>
    <s v="Children out of school (% of primary school age)"/>
    <m/>
    <x v="46"/>
  </r>
  <r>
    <x v="3"/>
    <s v="Children out of school (% of primary school age)"/>
    <m/>
    <x v="46"/>
  </r>
  <r>
    <x v="4"/>
    <s v="Children out of school (% of primary school age)"/>
    <n v="60.1103515625"/>
    <x v="46"/>
  </r>
  <r>
    <x v="5"/>
    <s v="Children out of school (% of primary school age)"/>
    <n v="34.163490295410199"/>
    <x v="46"/>
  </r>
  <r>
    <x v="6"/>
    <s v="Children out of school (% of primary school age)"/>
    <n v="33.434120178222699"/>
    <x v="46"/>
  </r>
  <r>
    <x v="7"/>
    <s v="Children out of school (% of primary school age)"/>
    <m/>
    <x v="46"/>
  </r>
  <r>
    <x v="8"/>
    <s v="Children out of school (% of primary school age)"/>
    <n v="29.1061496734619"/>
    <x v="46"/>
  </r>
  <r>
    <x v="9"/>
    <s v="Children out of school (% of primary school age)"/>
    <m/>
    <x v="46"/>
  </r>
  <r>
    <x v="10"/>
    <s v="Children out of school (% of primary school age)"/>
    <n v="64.798683166503906"/>
    <x v="46"/>
  </r>
  <r>
    <x v="11"/>
    <s v="Children out of school (% of primary school age)"/>
    <m/>
    <x v="46"/>
  </r>
  <r>
    <x v="12"/>
    <s v="Children out of school (% of primary school age)"/>
    <n v="4.77695989608765"/>
    <x v="46"/>
  </r>
  <r>
    <x v="13"/>
    <s v="Children out of school (% of primary school age)"/>
    <n v="42.152050018310497"/>
    <x v="46"/>
  </r>
  <r>
    <x v="14"/>
    <s v="Children out of school (% of primary school age)"/>
    <n v="9.3655195236206108"/>
    <x v="46"/>
  </r>
  <r>
    <x v="15"/>
    <s v="Children out of school (% of primary school age)"/>
    <n v="23.123500823974599"/>
    <x v="46"/>
  </r>
  <r>
    <x v="16"/>
    <s v="Children out of school (% of primary school age)"/>
    <n v="8.8251600265502894"/>
    <x v="46"/>
  </r>
  <r>
    <x v="17"/>
    <s v="Children out of school (% of primary school age)"/>
    <m/>
    <x v="46"/>
  </r>
  <r>
    <x v="18"/>
    <s v="Children out of school (% of primary school age)"/>
    <n v="1.6350500583648699"/>
    <x v="46"/>
  </r>
  <r>
    <x v="19"/>
    <s v="Children out of school (% of primary school age)"/>
    <n v="57.372848510742202"/>
    <x v="46"/>
  </r>
  <r>
    <x v="20"/>
    <s v="Children out of school (% of primary school age)"/>
    <m/>
    <x v="46"/>
  </r>
  <r>
    <x v="21"/>
    <s v="Children out of school (% of primary school age)"/>
    <m/>
    <x v="46"/>
  </r>
  <r>
    <x v="22"/>
    <s v="Children out of school (% of primary school age)"/>
    <n v="3.26867008209229"/>
    <x v="46"/>
  </r>
  <r>
    <x v="23"/>
    <s v="Children out of school (% of primary school age)"/>
    <n v="3.3806600570678702"/>
    <x v="46"/>
  </r>
  <r>
    <x v="24"/>
    <s v="Children out of school (% of primary school age)"/>
    <n v="6.5613098144531303"/>
    <x v="46"/>
  </r>
  <r>
    <x v="25"/>
    <s v="Children out of school (% of primary school age)"/>
    <m/>
    <x v="46"/>
  </r>
  <r>
    <x v="26"/>
    <s v="Children out of school (% of primary school age)"/>
    <n v="12.7350397109985"/>
    <x v="46"/>
  </r>
  <r>
    <x v="27"/>
    <s v="Children out of school (% of primary school age)"/>
    <m/>
    <x v="46"/>
  </r>
  <r>
    <x v="0"/>
    <s v="Children out of school (% of primary school age)"/>
    <n v="17.243190765380898"/>
    <x v="47"/>
  </r>
  <r>
    <x v="1"/>
    <s v="Children out of school (% of primary school age)"/>
    <m/>
    <x v="47"/>
  </r>
  <r>
    <x v="2"/>
    <s v="Children out of school (% of primary school age)"/>
    <m/>
    <x v="47"/>
  </r>
  <r>
    <x v="3"/>
    <s v="Children out of school (% of primary school age)"/>
    <n v="20.825870513916001"/>
    <x v="47"/>
  </r>
  <r>
    <x v="4"/>
    <s v="Children out of school (% of primary school age)"/>
    <n v="56.7195014953613"/>
    <x v="47"/>
  </r>
  <r>
    <x v="5"/>
    <s v="Children out of school (% of primary school age)"/>
    <n v="28.994960784912099"/>
    <x v="47"/>
  </r>
  <r>
    <x v="6"/>
    <s v="Children out of school (% of primary school age)"/>
    <n v="31.366130828857401"/>
    <x v="47"/>
  </r>
  <r>
    <x v="7"/>
    <s v="Children out of school (% of primary school age)"/>
    <m/>
    <x v="47"/>
  </r>
  <r>
    <x v="8"/>
    <s v="Children out of school (% of primary school age)"/>
    <n v="18.991039276123001"/>
    <x v="47"/>
  </r>
  <r>
    <x v="9"/>
    <s v="Children out of school (% of primary school age)"/>
    <m/>
    <x v="47"/>
  </r>
  <r>
    <x v="10"/>
    <s v="Children out of school (% of primary school age)"/>
    <m/>
    <x v="47"/>
  </r>
  <r>
    <x v="11"/>
    <s v="Children out of school (% of primary school age)"/>
    <m/>
    <x v="47"/>
  </r>
  <r>
    <x v="12"/>
    <s v="Children out of school (% of primary school age)"/>
    <n v="9.2419795989990199"/>
    <x v="47"/>
  </r>
  <r>
    <x v="13"/>
    <s v="Children out of school (% of primary school age)"/>
    <n v="40.001541137695298"/>
    <x v="47"/>
  </r>
  <r>
    <x v="14"/>
    <s v="Children out of school (% of primary school age)"/>
    <n v="9.9883003234863299"/>
    <x v="47"/>
  </r>
  <r>
    <x v="15"/>
    <s v="Children out of school (% of primary school age)"/>
    <n v="18.029689788818398"/>
    <x v="47"/>
  </r>
  <r>
    <x v="16"/>
    <s v="Children out of school (% of primary school age)"/>
    <n v="8.7265901565551793"/>
    <x v="47"/>
  </r>
  <r>
    <x v="17"/>
    <s v="Children out of school (% of primary school age)"/>
    <m/>
    <x v="47"/>
  </r>
  <r>
    <x v="18"/>
    <s v="Children out of school (% of primary school age)"/>
    <n v="1.8926700353622401"/>
    <x v="47"/>
  </r>
  <r>
    <x v="19"/>
    <s v="Children out of school (% of primary school age)"/>
    <n v="56.132408142089801"/>
    <x v="47"/>
  </r>
  <r>
    <x v="20"/>
    <s v="Children out of school (% of primary school age)"/>
    <m/>
    <x v="47"/>
  </r>
  <r>
    <x v="21"/>
    <s v="Children out of school (% of primary school age)"/>
    <n v="10.4357404708862"/>
    <x v="47"/>
  </r>
  <r>
    <x v="22"/>
    <s v="Children out of school (% of primary school age)"/>
    <n v="3.6277799606323198"/>
    <x v="47"/>
  </r>
  <r>
    <x v="23"/>
    <s v="Children out of school (% of primary school age)"/>
    <n v="4.4862198829650897"/>
    <x v="47"/>
  </r>
  <r>
    <x v="24"/>
    <s v="Children out of school (% of primary school age)"/>
    <m/>
    <x v="47"/>
  </r>
  <r>
    <x v="25"/>
    <s v="Children out of school (% of primary school age)"/>
    <m/>
    <x v="47"/>
  </r>
  <r>
    <x v="26"/>
    <s v="Children out of school (% of primary school age)"/>
    <n v="10.4042301177979"/>
    <x v="47"/>
  </r>
  <r>
    <x v="27"/>
    <s v="Children out of school (% of primary school age)"/>
    <m/>
    <x v="47"/>
  </r>
  <r>
    <x v="0"/>
    <s v="Children out of school (% of primary school age)"/>
    <n v="6.6481699943542498"/>
    <x v="48"/>
  </r>
  <r>
    <x v="1"/>
    <s v="Children out of school (% of primary school age)"/>
    <n v="13.4756498336791"/>
    <x v="48"/>
  </r>
  <r>
    <x v="2"/>
    <s v="Children out of school (% of primary school age)"/>
    <m/>
    <x v="48"/>
  </r>
  <r>
    <x v="3"/>
    <s v="Children out of school (% of primary school age)"/>
    <m/>
    <x v="48"/>
  </r>
  <r>
    <x v="4"/>
    <s v="Children out of school (% of primary school age)"/>
    <n v="53.440601348877003"/>
    <x v="48"/>
  </r>
  <r>
    <x v="5"/>
    <s v="Children out of school (% of primary school age)"/>
    <n v="23.365360260009801"/>
    <x v="48"/>
  </r>
  <r>
    <x v="6"/>
    <s v="Children out of school (% of primary school age)"/>
    <n v="32.245361328125"/>
    <x v="48"/>
  </r>
  <r>
    <x v="7"/>
    <s v="Children out of school (% of primary school age)"/>
    <m/>
    <x v="48"/>
  </r>
  <r>
    <x v="8"/>
    <s v="Children out of school (% of primary school age)"/>
    <n v="22.746309280395501"/>
    <x v="48"/>
  </r>
  <r>
    <x v="9"/>
    <s v="Children out of school (% of primary school age)"/>
    <m/>
    <x v="48"/>
  </r>
  <r>
    <x v="10"/>
    <s v="Children out of school (% of primary school age)"/>
    <n v="57.264259338378899"/>
    <x v="48"/>
  </r>
  <r>
    <x v="11"/>
    <s v="Children out of school (% of primary school age)"/>
    <m/>
    <x v="48"/>
  </r>
  <r>
    <x v="12"/>
    <s v="Children out of school (% of primary school age)"/>
    <n v="3.03306007385254"/>
    <x v="48"/>
  </r>
  <r>
    <x v="13"/>
    <s v="Children out of school (% of primary school age)"/>
    <m/>
    <x v="48"/>
  </r>
  <r>
    <x v="14"/>
    <s v="Children out of school (% of primary school age)"/>
    <n v="9.5364704132080096"/>
    <x v="48"/>
  </r>
  <r>
    <x v="15"/>
    <s v="Children out of school (% of primary school age)"/>
    <n v="14.666210174560501"/>
    <x v="48"/>
  </r>
  <r>
    <x v="16"/>
    <s v="Children out of school (% of primary school age)"/>
    <n v="8.3024101257324201"/>
    <x v="48"/>
  </r>
  <r>
    <x v="17"/>
    <s v="Children out of school (% of primary school age)"/>
    <m/>
    <x v="48"/>
  </r>
  <r>
    <x v="18"/>
    <s v="Children out of school (% of primary school age)"/>
    <n v="1.02866995334625"/>
    <x v="48"/>
  </r>
  <r>
    <x v="19"/>
    <s v="Children out of school (% of primary school age)"/>
    <n v="52.713249206542997"/>
    <x v="48"/>
  </r>
  <r>
    <x v="20"/>
    <s v="Children out of school (% of primary school age)"/>
    <m/>
    <x v="48"/>
  </r>
  <r>
    <x v="21"/>
    <s v="Children out of school (% of primary school age)"/>
    <n v="9.5101299285888707"/>
    <x v="48"/>
  </r>
  <r>
    <x v="22"/>
    <s v="Children out of school (% of primary school age)"/>
    <n v="4.45060014724731"/>
    <x v="48"/>
  </r>
  <r>
    <x v="23"/>
    <s v="Children out of school (% of primary school age)"/>
    <n v="2.2767000198364298"/>
    <x v="48"/>
  </r>
  <r>
    <x v="24"/>
    <s v="Children out of school (% of primary school age)"/>
    <n v="5.6284298896789604"/>
    <x v="48"/>
  </r>
  <r>
    <x v="25"/>
    <s v="Children out of school (% of primary school age)"/>
    <m/>
    <x v="48"/>
  </r>
  <r>
    <x v="26"/>
    <s v="Children out of school (% of primary school age)"/>
    <n v="9.9375801086425799"/>
    <x v="48"/>
  </r>
  <r>
    <x v="27"/>
    <s v="Children out of school (% of primary school age)"/>
    <m/>
    <x v="48"/>
  </r>
  <r>
    <x v="0"/>
    <s v="Children out of school (% of primary school age)"/>
    <n v="8.3535299301147496"/>
    <x v="49"/>
  </r>
  <r>
    <x v="1"/>
    <s v="Children out of school (% of primary school age)"/>
    <n v="10.778710365295399"/>
    <x v="49"/>
  </r>
  <r>
    <x v="2"/>
    <s v="Children out of school (% of primary school age)"/>
    <m/>
    <x v="49"/>
  </r>
  <r>
    <x v="3"/>
    <s v="Children out of school (% of primary school age)"/>
    <m/>
    <x v="49"/>
  </r>
  <r>
    <x v="4"/>
    <s v="Children out of school (% of primary school age)"/>
    <n v="54.2069091796875"/>
    <x v="49"/>
  </r>
  <r>
    <x v="5"/>
    <s v="Children out of school (% of primary school age)"/>
    <n v="23.799770355224599"/>
    <x v="49"/>
  </r>
  <r>
    <x v="6"/>
    <s v="Children out of school (% of primary school age)"/>
    <n v="30.773939132690401"/>
    <x v="49"/>
  </r>
  <r>
    <x v="7"/>
    <s v="Children out of school (% of primary school age)"/>
    <m/>
    <x v="49"/>
  </r>
  <r>
    <x v="8"/>
    <s v="Children out of school (% of primary school age)"/>
    <n v="21.1285591125488"/>
    <x v="49"/>
  </r>
  <r>
    <x v="9"/>
    <s v="Children out of school (% of primary school age)"/>
    <m/>
    <x v="49"/>
  </r>
  <r>
    <x v="10"/>
    <s v="Children out of school (% of primary school age)"/>
    <n v="59.731590270996101"/>
    <x v="49"/>
  </r>
  <r>
    <x v="11"/>
    <s v="Children out of school (% of primary school age)"/>
    <m/>
    <x v="49"/>
  </r>
  <r>
    <x v="12"/>
    <s v="Children out of school (% of primary school age)"/>
    <n v="3.1748099327087398"/>
    <x v="49"/>
  </r>
  <r>
    <x v="13"/>
    <s v="Children out of school (% of primary school age)"/>
    <n v="32.890579223632798"/>
    <x v="49"/>
  </r>
  <r>
    <x v="14"/>
    <s v="Children out of school (% of primary school age)"/>
    <n v="9.9661397933959996"/>
    <x v="49"/>
  </r>
  <r>
    <x v="15"/>
    <s v="Children out of school (% of primary school age)"/>
    <n v="13.4407796859741"/>
    <x v="49"/>
  </r>
  <r>
    <x v="16"/>
    <s v="Children out of school (% of primary school age)"/>
    <n v="9.8562803268432599"/>
    <x v="49"/>
  </r>
  <r>
    <x v="17"/>
    <s v="Children out of school (% of primary school age)"/>
    <m/>
    <x v="49"/>
  </r>
  <r>
    <x v="18"/>
    <s v="Children out of school (% of primary school age)"/>
    <m/>
    <x v="49"/>
  </r>
  <r>
    <x v="19"/>
    <s v="Children out of school (% of primary school age)"/>
    <n v="48.938838958740199"/>
    <x v="49"/>
  </r>
  <r>
    <x v="20"/>
    <s v="Children out of school (% of primary school age)"/>
    <m/>
    <x v="49"/>
  </r>
  <r>
    <x v="21"/>
    <s v="Children out of school (% of primary school age)"/>
    <n v="8.4685297012329102"/>
    <x v="49"/>
  </r>
  <r>
    <x v="22"/>
    <s v="Children out of school (% of primary school age)"/>
    <n v="6.6213698387145898"/>
    <x v="49"/>
  </r>
  <r>
    <x v="23"/>
    <s v="Children out of school (% of primary school age)"/>
    <n v="1.83575999736786"/>
    <x v="49"/>
  </r>
  <r>
    <x v="24"/>
    <s v="Children out of school (% of primary school age)"/>
    <m/>
    <x v="49"/>
  </r>
  <r>
    <x v="25"/>
    <s v="Children out of school (% of primary school age)"/>
    <n v="9.0893898010253906"/>
    <x v="49"/>
  </r>
  <r>
    <x v="26"/>
    <s v="Children out of school (% of primary school age)"/>
    <n v="12.8829498291016"/>
    <x v="49"/>
  </r>
  <r>
    <x v="27"/>
    <s v="Children out of school (% of primary school age)"/>
    <m/>
    <x v="49"/>
  </r>
  <r>
    <x v="0"/>
    <s v="Children out of school (% of primary school age)"/>
    <n v="2.9864799976348899"/>
    <x v="50"/>
  </r>
  <r>
    <x v="1"/>
    <s v="Children out of school (% of primary school age)"/>
    <m/>
    <x v="50"/>
  </r>
  <r>
    <x v="2"/>
    <s v="Children out of school (% of primary school age)"/>
    <m/>
    <x v="50"/>
  </r>
  <r>
    <x v="3"/>
    <s v="Children out of school (% of primary school age)"/>
    <m/>
    <x v="50"/>
  </r>
  <r>
    <x v="4"/>
    <s v="Children out of school (% of primary school age)"/>
    <m/>
    <x v="50"/>
  </r>
  <r>
    <x v="5"/>
    <s v="Children out of school (% of primary school age)"/>
    <n v="25.711769104003899"/>
    <x v="50"/>
  </r>
  <r>
    <x v="6"/>
    <s v="Children out of school (% of primary school age)"/>
    <n v="28.332450866699201"/>
    <x v="50"/>
  </r>
  <r>
    <x v="7"/>
    <s v="Children out of school (% of primary school age)"/>
    <m/>
    <x v="50"/>
  </r>
  <r>
    <x v="8"/>
    <s v="Children out of school (% of primary school age)"/>
    <m/>
    <x v="50"/>
  </r>
  <r>
    <x v="9"/>
    <s v="Children out of school (% of primary school age)"/>
    <m/>
    <x v="50"/>
  </r>
  <r>
    <x v="10"/>
    <s v="Children out of school (% of primary school age)"/>
    <m/>
    <x v="50"/>
  </r>
  <r>
    <x v="11"/>
    <s v="Children out of school (% of primary school age)"/>
    <m/>
    <x v="50"/>
  </r>
  <r>
    <x v="12"/>
    <s v="Children out of school (% of primary school age)"/>
    <m/>
    <x v="50"/>
  </r>
  <r>
    <x v="13"/>
    <s v="Children out of school (% of primary school age)"/>
    <n v="31.8207893371582"/>
    <x v="50"/>
  </r>
  <r>
    <x v="14"/>
    <s v="Children out of school (% of primary school age)"/>
    <n v="9.8948602676391602"/>
    <x v="50"/>
  </r>
  <r>
    <x v="15"/>
    <s v="Children out of school (% of primary school age)"/>
    <n v="11.9551696777344"/>
    <x v="50"/>
  </r>
  <r>
    <x v="16"/>
    <s v="Children out of school (% of primary school age)"/>
    <n v="10.424400329589799"/>
    <x v="50"/>
  </r>
  <r>
    <x v="17"/>
    <s v="Children out of school (% of primary school age)"/>
    <m/>
    <x v="50"/>
  </r>
  <r>
    <x v="18"/>
    <s v="Children out of school (% of primary school age)"/>
    <n v="1.5897300243377701"/>
    <x v="50"/>
  </r>
  <r>
    <x v="19"/>
    <s v="Children out of school (% of primary school age)"/>
    <n v="44.883289337158203"/>
    <x v="50"/>
  </r>
  <r>
    <x v="20"/>
    <s v="Children out of school (% of primary school age)"/>
    <m/>
    <x v="50"/>
  </r>
  <r>
    <x v="21"/>
    <s v="Children out of school (% of primary school age)"/>
    <n v="8.4313697814941406"/>
    <x v="50"/>
  </r>
  <r>
    <x v="22"/>
    <s v="Children out of school (% of primary school age)"/>
    <n v="4.9565601348876998"/>
    <x v="50"/>
  </r>
  <r>
    <x v="23"/>
    <s v="Children out of school (% of primary school age)"/>
    <n v="1.62732005119324"/>
    <x v="50"/>
  </r>
  <r>
    <x v="24"/>
    <s v="Children out of school (% of primary school age)"/>
    <n v="12.285229682922401"/>
    <x v="50"/>
  </r>
  <r>
    <x v="25"/>
    <s v="Children out of school (% of primary school age)"/>
    <n v="12.2800703048706"/>
    <x v="50"/>
  </r>
  <r>
    <x v="26"/>
    <s v="Children out of school (% of primary school age)"/>
    <n v="15.4248199462891"/>
    <x v="50"/>
  </r>
  <r>
    <x v="27"/>
    <s v="Children out of school (% of primary school age)"/>
    <m/>
    <x v="50"/>
  </r>
  <r>
    <x v="0"/>
    <s v="Children out of school (% of primary school age)"/>
    <m/>
    <x v="51"/>
  </r>
  <r>
    <x v="1"/>
    <s v="Children out of school (% of primary school age)"/>
    <n v="8.9086999893188494"/>
    <x v="51"/>
  </r>
  <r>
    <x v="2"/>
    <s v="Children out of school (% of primary school age)"/>
    <n v="37.141361236572301"/>
    <x v="51"/>
  </r>
  <r>
    <x v="3"/>
    <s v="Children out of school (% of primary school age)"/>
    <m/>
    <x v="51"/>
  </r>
  <r>
    <x v="4"/>
    <s v="Children out of school (% of primary school age)"/>
    <n v="45.988048553466697"/>
    <x v="51"/>
  </r>
  <r>
    <x v="5"/>
    <s v="Children out of school (% of primary school age)"/>
    <n v="21.749940872192401"/>
    <x v="51"/>
  </r>
  <r>
    <x v="6"/>
    <s v="Children out of school (% of primary school age)"/>
    <n v="24.164869308471701"/>
    <x v="51"/>
  </r>
  <r>
    <x v="7"/>
    <s v="Children out of school (% of primary school age)"/>
    <m/>
    <x v="51"/>
  </r>
  <r>
    <x v="8"/>
    <s v="Children out of school (% of primary school age)"/>
    <m/>
    <x v="51"/>
  </r>
  <r>
    <x v="9"/>
    <s v="Children out of school (% of primary school age)"/>
    <m/>
    <x v="51"/>
  </r>
  <r>
    <x v="10"/>
    <s v="Children out of school (% of primary school age)"/>
    <n v="58.981521606445298"/>
    <x v="51"/>
  </r>
  <r>
    <x v="11"/>
    <s v="Children out of school (% of primary school age)"/>
    <m/>
    <x v="51"/>
  </r>
  <r>
    <x v="12"/>
    <s v="Children out of school (% of primary school age)"/>
    <m/>
    <x v="51"/>
  </r>
  <r>
    <x v="13"/>
    <s v="Children out of school (% of primary school age)"/>
    <n v="30.825790405273398"/>
    <x v="51"/>
  </r>
  <r>
    <x v="14"/>
    <s v="Children out of school (% of primary school age)"/>
    <n v="9.4221000671386701"/>
    <x v="51"/>
  </r>
  <r>
    <x v="15"/>
    <s v="Children out of school (% of primary school age)"/>
    <n v="13.989560127258301"/>
    <x v="51"/>
  </r>
  <r>
    <x v="16"/>
    <s v="Children out of school (% of primary school age)"/>
    <m/>
    <x v="51"/>
  </r>
  <r>
    <x v="17"/>
    <s v="Children out of school (% of primary school age)"/>
    <n v="1.55472004413605"/>
    <x v="51"/>
  </r>
  <r>
    <x v="18"/>
    <s v="Children out of school (% of primary school age)"/>
    <m/>
    <x v="51"/>
  </r>
  <r>
    <x v="19"/>
    <s v="Children out of school (% of primary school age)"/>
    <n v="40.140998840332003"/>
    <x v="51"/>
  </r>
  <r>
    <x v="20"/>
    <s v="Children out of school (% of primary school age)"/>
    <m/>
    <x v="51"/>
  </r>
  <r>
    <x v="21"/>
    <s v="Children out of school (% of primary school age)"/>
    <m/>
    <x v="51"/>
  </r>
  <r>
    <x v="22"/>
    <s v="Children out of school (% of primary school age)"/>
    <n v="4.8200697898864702"/>
    <x v="51"/>
  </r>
  <r>
    <x v="23"/>
    <s v="Children out of school (% of primary school age)"/>
    <n v="1.82402002811432"/>
    <x v="51"/>
  </r>
  <r>
    <x v="24"/>
    <s v="Children out of school (% of primary school age)"/>
    <m/>
    <x v="51"/>
  </r>
  <r>
    <x v="25"/>
    <s v="Children out of school (% of primary school age)"/>
    <n v="9.5616397857665998"/>
    <x v="51"/>
  </r>
  <r>
    <x v="26"/>
    <s v="Children out of school (% of primary school age)"/>
    <n v="11.591420173645"/>
    <x v="51"/>
  </r>
  <r>
    <x v="27"/>
    <s v="Children out of school (% of primary school age)"/>
    <m/>
    <x v="51"/>
  </r>
  <r>
    <x v="0"/>
    <s v="Children out of school (% of primary school age)"/>
    <m/>
    <x v="52"/>
  </r>
  <r>
    <x v="1"/>
    <s v="Children out of school (% of primary school age)"/>
    <n v="5.8653697967529199"/>
    <x v="52"/>
  </r>
  <r>
    <x v="2"/>
    <s v="Children out of school (% of primary school age)"/>
    <m/>
    <x v="52"/>
  </r>
  <r>
    <x v="3"/>
    <s v="Children out of school (% of primary school age)"/>
    <m/>
    <x v="52"/>
  </r>
  <r>
    <x v="4"/>
    <s v="Children out of school (% of primary school age)"/>
    <m/>
    <x v="52"/>
  </r>
  <r>
    <x v="5"/>
    <s v="Children out of school (% of primary school age)"/>
    <n v="20.509889602661101"/>
    <x v="52"/>
  </r>
  <r>
    <x v="6"/>
    <s v="Children out of school (% of primary school age)"/>
    <n v="24.564069747924801"/>
    <x v="52"/>
  </r>
  <r>
    <x v="7"/>
    <s v="Children out of school (% of primary school age)"/>
    <m/>
    <x v="52"/>
  </r>
  <r>
    <x v="8"/>
    <s v="Children out of school (% of primary school age)"/>
    <n v="16.8809509277344"/>
    <x v="52"/>
  </r>
  <r>
    <x v="9"/>
    <s v="Children out of school (% of primary school age)"/>
    <m/>
    <x v="52"/>
  </r>
  <r>
    <x v="10"/>
    <s v="Children out of school (% of primary school age)"/>
    <m/>
    <x v="52"/>
  </r>
  <r>
    <x v="11"/>
    <s v="Children out of school (% of primary school age)"/>
    <m/>
    <x v="52"/>
  </r>
  <r>
    <x v="12"/>
    <s v="Children out of school (% of primary school age)"/>
    <m/>
    <x v="52"/>
  </r>
  <r>
    <x v="13"/>
    <s v="Children out of school (% of primary school age)"/>
    <n v="33.035469055175803"/>
    <x v="52"/>
  </r>
  <r>
    <x v="14"/>
    <s v="Children out of school (% of primary school age)"/>
    <n v="9.4718303680419904"/>
    <x v="52"/>
  </r>
  <r>
    <x v="15"/>
    <s v="Children out of school (% of primary school age)"/>
    <n v="13.666449546814"/>
    <x v="52"/>
  </r>
  <r>
    <x v="16"/>
    <s v="Children out of school (% of primary school age)"/>
    <m/>
    <x v="52"/>
  </r>
  <r>
    <x v="17"/>
    <s v="Children out of school (% of primary school age)"/>
    <n v="0.41460999846458402"/>
    <x v="52"/>
  </r>
  <r>
    <x v="18"/>
    <s v="Children out of school (% of primary school age)"/>
    <m/>
    <x v="52"/>
  </r>
  <r>
    <x v="19"/>
    <s v="Children out of school (% of primary school age)"/>
    <n v="38.712329864502003"/>
    <x v="52"/>
  </r>
  <r>
    <x v="20"/>
    <s v="Children out of school (% of primary school age)"/>
    <m/>
    <x v="52"/>
  </r>
  <r>
    <x v="21"/>
    <s v="Children out of school (% of primary school age)"/>
    <m/>
    <x v="52"/>
  </r>
  <r>
    <x v="22"/>
    <s v="Children out of school (% of primary school age)"/>
    <n v="4.64991998672485"/>
    <x v="52"/>
  </r>
  <r>
    <x v="23"/>
    <s v="Children out of school (% of primary school age)"/>
    <n v="1.87170994281769"/>
    <x v="52"/>
  </r>
  <r>
    <x v="24"/>
    <s v="Children out of school (% of primary school age)"/>
    <n v="16.413619995117202"/>
    <x v="52"/>
  </r>
  <r>
    <x v="25"/>
    <s v="Children out of school (% of primary school age)"/>
    <m/>
    <x v="52"/>
  </r>
  <r>
    <x v="26"/>
    <s v="Children out of school (% of primary school age)"/>
    <n v="9.8746900558471697"/>
    <x v="52"/>
  </r>
  <r>
    <x v="27"/>
    <s v="Children out of school (% of primary school age)"/>
    <n v="11.9365797042847"/>
    <x v="52"/>
  </r>
  <r>
    <x v="0"/>
    <s v="Children out of school (% of primary school age)"/>
    <m/>
    <x v="53"/>
  </r>
  <r>
    <x v="1"/>
    <s v="Children out of school (% of primary school age)"/>
    <m/>
    <x v="53"/>
  </r>
  <r>
    <x v="2"/>
    <s v="Children out of school (% of primary school age)"/>
    <n v="21.0815105438232"/>
    <x v="53"/>
  </r>
  <r>
    <x v="3"/>
    <s v="Children out of school (% of primary school age)"/>
    <n v="13.285240173339799"/>
    <x v="53"/>
  </r>
  <r>
    <x v="4"/>
    <s v="Children out of school (% of primary school age)"/>
    <n v="45.868419647216697"/>
    <x v="53"/>
  </r>
  <r>
    <x v="5"/>
    <s v="Children out of school (% of primary school age)"/>
    <m/>
    <x v="53"/>
  </r>
  <r>
    <x v="6"/>
    <s v="Children out of school (% of primary school age)"/>
    <n v="23.430049896240199"/>
    <x v="53"/>
  </r>
  <r>
    <x v="7"/>
    <s v="Children out of school (% of primary school age)"/>
    <m/>
    <x v="53"/>
  </r>
  <r>
    <x v="8"/>
    <s v="Children out of school (% of primary school age)"/>
    <m/>
    <x v="53"/>
  </r>
  <r>
    <x v="9"/>
    <s v="Children out of school (% of primary school age)"/>
    <m/>
    <x v="53"/>
  </r>
  <r>
    <x v="10"/>
    <s v="Children out of school (% of primary school age)"/>
    <m/>
    <x v="53"/>
  </r>
  <r>
    <x v="11"/>
    <s v="Children out of school (% of primary school age)"/>
    <m/>
    <x v="53"/>
  </r>
  <r>
    <x v="12"/>
    <s v="Children out of school (% of primary school age)"/>
    <m/>
    <x v="53"/>
  </r>
  <r>
    <x v="13"/>
    <s v="Children out of school (% of primary school age)"/>
    <n v="37.4722290039063"/>
    <x v="53"/>
  </r>
  <r>
    <x v="14"/>
    <s v="Children out of school (% of primary school age)"/>
    <n v="9.4200897216796893"/>
    <x v="53"/>
  </r>
  <r>
    <x v="15"/>
    <s v="Children out of school (% of primary school age)"/>
    <n v="12.5357303619385"/>
    <x v="53"/>
  </r>
  <r>
    <x v="16"/>
    <s v="Children out of school (% of primary school age)"/>
    <m/>
    <x v="53"/>
  </r>
  <r>
    <x v="17"/>
    <s v="Children out of school (% of primary school age)"/>
    <m/>
    <x v="53"/>
  </r>
  <r>
    <x v="18"/>
    <s v="Children out of school (% of primary school age)"/>
    <m/>
    <x v="53"/>
  </r>
  <r>
    <x v="19"/>
    <s v="Children out of school (% of primary school age)"/>
    <n v="38.989540100097699"/>
    <x v="53"/>
  </r>
  <r>
    <x v="20"/>
    <s v="Children out of school (% of primary school age)"/>
    <m/>
    <x v="53"/>
  </r>
  <r>
    <x v="21"/>
    <s v="Children out of school (% of primary school age)"/>
    <n v="9.1570701599121005"/>
    <x v="53"/>
  </r>
  <r>
    <x v="22"/>
    <s v="Children out of school (% of primary school age)"/>
    <n v="3.5185999870300302"/>
    <x v="53"/>
  </r>
  <r>
    <x v="23"/>
    <s v="Children out of school (% of primary school age)"/>
    <n v="2.4580700397491499"/>
    <x v="53"/>
  </r>
  <r>
    <x v="24"/>
    <s v="Children out of school (% of primary school age)"/>
    <n v="19.237550735473601"/>
    <x v="53"/>
  </r>
  <r>
    <x v="25"/>
    <s v="Children out of school (% of primary school age)"/>
    <n v="9.0020103454589808"/>
    <x v="53"/>
  </r>
  <r>
    <x v="26"/>
    <s v="Children out of school (% of primary school age)"/>
    <n v="12.0925903320313"/>
    <x v="53"/>
  </r>
  <r>
    <x v="27"/>
    <s v="Children out of school (% of primary school age)"/>
    <n v="14.770810127258301"/>
    <x v="53"/>
  </r>
  <r>
    <x v="0"/>
    <s v="Children out of school (% of primary school age)"/>
    <m/>
    <x v="54"/>
  </r>
  <r>
    <x v="1"/>
    <s v="Children out of school (% of primary school age)"/>
    <n v="5.20281982421875"/>
    <x v="54"/>
  </r>
  <r>
    <x v="2"/>
    <s v="Children out of school (% of primary school age)"/>
    <m/>
    <x v="54"/>
  </r>
  <r>
    <x v="3"/>
    <s v="Children out of school (% of primary school age)"/>
    <n v="17.282600402831999"/>
    <x v="54"/>
  </r>
  <r>
    <x v="4"/>
    <s v="Children out of school (% of primary school age)"/>
    <n v="38.056430816650398"/>
    <x v="54"/>
  </r>
  <r>
    <x v="5"/>
    <s v="Children out of school (% of primary school age)"/>
    <n v="13.6830501556396"/>
    <x v="54"/>
  </r>
  <r>
    <x v="6"/>
    <s v="Children out of school (% of primary school age)"/>
    <n v="19.7005100250244"/>
    <x v="54"/>
  </r>
  <r>
    <x v="7"/>
    <s v="Children out of school (% of primary school age)"/>
    <m/>
    <x v="54"/>
  </r>
  <r>
    <x v="8"/>
    <s v="Children out of school (% of primary school age)"/>
    <m/>
    <x v="54"/>
  </r>
  <r>
    <x v="9"/>
    <s v="Children out of school (% of primary school age)"/>
    <m/>
    <x v="54"/>
  </r>
  <r>
    <x v="10"/>
    <s v="Children out of school (% of primary school age)"/>
    <n v="61.788139343261697"/>
    <x v="54"/>
  </r>
  <r>
    <x v="11"/>
    <s v="Children out of school (% of primary school age)"/>
    <m/>
    <x v="54"/>
  </r>
  <r>
    <x v="12"/>
    <s v="Children out of school (% of primary school age)"/>
    <m/>
    <x v="54"/>
  </r>
  <r>
    <x v="13"/>
    <s v="Children out of school (% of primary school age)"/>
    <n v="36.606460571289098"/>
    <x v="54"/>
  </r>
  <r>
    <x v="14"/>
    <s v="Children out of school (% of primary school age)"/>
    <n v="9.9982500076293892"/>
    <x v="54"/>
  </r>
  <r>
    <x v="15"/>
    <s v="Children out of school (% of primary school age)"/>
    <n v="11.868029594421399"/>
    <x v="54"/>
  </r>
  <r>
    <x v="16"/>
    <s v="Children out of school (% of primary school age)"/>
    <n v="3.7886099815368701"/>
    <x v="54"/>
  </r>
  <r>
    <x v="17"/>
    <s v="Children out of school (% of primary school age)"/>
    <n v="5.6740198135376003"/>
    <x v="54"/>
  </r>
  <r>
    <x v="18"/>
    <s v="Children out of school (% of primary school age)"/>
    <m/>
    <x v="54"/>
  </r>
  <r>
    <x v="19"/>
    <s v="Children out of school (% of primary school age)"/>
    <n v="38.947891235351598"/>
    <x v="54"/>
  </r>
  <r>
    <x v="20"/>
    <s v="Children out of school (% of primary school age)"/>
    <m/>
    <x v="54"/>
  </r>
  <r>
    <x v="21"/>
    <s v="Children out of school (% of primary school age)"/>
    <n v="8.5932197570800799"/>
    <x v="54"/>
  </r>
  <r>
    <x v="22"/>
    <s v="Children out of school (% of primary school age)"/>
    <n v="2.6922700405120898"/>
    <x v="54"/>
  </r>
  <r>
    <x v="23"/>
    <s v="Children out of school (% of primary school age)"/>
    <n v="4.2259001731872603"/>
    <x v="54"/>
  </r>
  <r>
    <x v="24"/>
    <s v="Children out of school (% of primary school age)"/>
    <n v="20.9551696777344"/>
    <x v="54"/>
  </r>
  <r>
    <x v="25"/>
    <s v="Children out of school (% of primary school age)"/>
    <m/>
    <x v="54"/>
  </r>
  <r>
    <x v="26"/>
    <s v="Children out of school (% of primary school age)"/>
    <m/>
    <x v="54"/>
  </r>
  <r>
    <x v="27"/>
    <s v="Children out of school (% of primary school age)"/>
    <m/>
    <x v="54"/>
  </r>
  <r>
    <x v="0"/>
    <s v="Children out of school (% of primary school age)"/>
    <m/>
    <x v="55"/>
  </r>
  <r>
    <x v="1"/>
    <s v="Children out of school (% of primary school age)"/>
    <m/>
    <x v="55"/>
  </r>
  <r>
    <x v="2"/>
    <s v="Children out of school (% of primary school age)"/>
    <m/>
    <x v="55"/>
  </r>
  <r>
    <x v="3"/>
    <s v="Children out of school (% of primary school age)"/>
    <m/>
    <x v="55"/>
  </r>
  <r>
    <x v="4"/>
    <s v="Children out of school (% of primary school age)"/>
    <n v="44.407260894775398"/>
    <x v="55"/>
  </r>
  <r>
    <x v="5"/>
    <s v="Children out of school (% of primary school age)"/>
    <n v="13.980970382690399"/>
    <x v="55"/>
  </r>
  <r>
    <x v="6"/>
    <s v="Children out of school (% of primary school age)"/>
    <m/>
    <x v="55"/>
  </r>
  <r>
    <x v="7"/>
    <s v="Children out of school (% of primary school age)"/>
    <m/>
    <x v="55"/>
  </r>
  <r>
    <x v="8"/>
    <s v="Children out of school (% of primary school age)"/>
    <m/>
    <x v="55"/>
  </r>
  <r>
    <x v="9"/>
    <s v="Children out of school (% of primary school age)"/>
    <m/>
    <x v="55"/>
  </r>
  <r>
    <x v="10"/>
    <s v="Children out of school (% of primary school age)"/>
    <n v="62.316730499267599"/>
    <x v="55"/>
  </r>
  <r>
    <x v="11"/>
    <s v="Children out of school (% of primary school age)"/>
    <m/>
    <x v="55"/>
  </r>
  <r>
    <x v="12"/>
    <s v="Children out of school (% of primary school age)"/>
    <m/>
    <x v="55"/>
  </r>
  <r>
    <x v="13"/>
    <s v="Children out of school (% of primary school age)"/>
    <n v="39.432060241699197"/>
    <x v="55"/>
  </r>
  <r>
    <x v="14"/>
    <s v="Children out of school (% of primary school age)"/>
    <n v="10.0500297546387"/>
    <x v="55"/>
  </r>
  <r>
    <x v="15"/>
    <s v="Children out of school (% of primary school age)"/>
    <n v="10.4336996078491"/>
    <x v="55"/>
  </r>
  <r>
    <x v="16"/>
    <s v="Children out of school (% of primary school age)"/>
    <m/>
    <x v="55"/>
  </r>
  <r>
    <x v="17"/>
    <s v="Children out of school (% of primary school age)"/>
    <n v="3.2266199588775599"/>
    <x v="55"/>
  </r>
  <r>
    <x v="18"/>
    <s v="Children out of school (% of primary school age)"/>
    <m/>
    <x v="55"/>
  </r>
  <r>
    <x v="19"/>
    <s v="Children out of school (% of primary school age)"/>
    <n v="37.314300537109403"/>
    <x v="55"/>
  </r>
  <r>
    <x v="20"/>
    <s v="Children out of school (% of primary school age)"/>
    <m/>
    <x v="55"/>
  </r>
  <r>
    <x v="21"/>
    <s v="Children out of school (% of primary school age)"/>
    <n v="8.6431398391723597"/>
    <x v="55"/>
  </r>
  <r>
    <x v="22"/>
    <s v="Children out of school (% of primary school age)"/>
    <n v="0.918789982795715"/>
    <x v="55"/>
  </r>
  <r>
    <x v="23"/>
    <s v="Children out of school (% of primary school age)"/>
    <n v="4.8934798240661603"/>
    <x v="55"/>
  </r>
  <r>
    <x v="24"/>
    <s v="Children out of school (% of primary school age)"/>
    <m/>
    <x v="55"/>
  </r>
  <r>
    <x v="25"/>
    <s v="Children out of school (% of primary school age)"/>
    <m/>
    <x v="55"/>
  </r>
  <r>
    <x v="26"/>
    <s v="Children out of school (% of primary school age)"/>
    <m/>
    <x v="55"/>
  </r>
  <r>
    <x v="27"/>
    <s v="Children out of school (% of primary school age)"/>
    <m/>
    <x v="55"/>
  </r>
  <r>
    <x v="0"/>
    <s v="Children out of school (% of primary school age)"/>
    <m/>
    <x v="56"/>
  </r>
  <r>
    <x v="1"/>
    <s v="Children out of school (% of primary school age)"/>
    <n v="4.7259798049926802"/>
    <x v="56"/>
  </r>
  <r>
    <x v="2"/>
    <s v="Children out of school (% of primary school age)"/>
    <m/>
    <x v="56"/>
  </r>
  <r>
    <x v="3"/>
    <s v="Children out of school (% of primary school age)"/>
    <m/>
    <x v="56"/>
  </r>
  <r>
    <x v="4"/>
    <s v="Children out of school (% of primary school age)"/>
    <n v="47.578090667724602"/>
    <x v="56"/>
  </r>
  <r>
    <x v="5"/>
    <s v="Children out of school (% of primary school age)"/>
    <m/>
    <x v="56"/>
  </r>
  <r>
    <x v="6"/>
    <s v="Children out of school (% of primary school age)"/>
    <m/>
    <x v="56"/>
  </r>
  <r>
    <x v="7"/>
    <s v="Children out of school (% of primary school age)"/>
    <m/>
    <x v="56"/>
  </r>
  <r>
    <x v="8"/>
    <s v="Children out of school (% of primary school age)"/>
    <m/>
    <x v="56"/>
  </r>
  <r>
    <x v="9"/>
    <s v="Children out of school (% of primary school age)"/>
    <m/>
    <x v="56"/>
  </r>
  <r>
    <x v="10"/>
    <s v="Children out of school (% of primary school age)"/>
    <m/>
    <x v="56"/>
  </r>
  <r>
    <x v="11"/>
    <s v="Children out of school (% of primary school age)"/>
    <m/>
    <x v="56"/>
  </r>
  <r>
    <x v="12"/>
    <s v="Children out of school (% of primary school age)"/>
    <m/>
    <x v="56"/>
  </r>
  <r>
    <x v="13"/>
    <s v="Children out of school (% of primary school age)"/>
    <n v="37.934040069580099"/>
    <x v="56"/>
  </r>
  <r>
    <x v="14"/>
    <s v="Children out of school (% of primary school age)"/>
    <m/>
    <x v="56"/>
  </r>
  <r>
    <x v="15"/>
    <s v="Children out of school (% of primary school age)"/>
    <m/>
    <x v="56"/>
  </r>
  <r>
    <x v="16"/>
    <s v="Children out of school (% of primary school age)"/>
    <m/>
    <x v="56"/>
  </r>
  <r>
    <x v="17"/>
    <s v="Children out of school (% of primary school age)"/>
    <n v="3.2333800792694101"/>
    <x v="56"/>
  </r>
  <r>
    <x v="18"/>
    <s v="Children out of school (% of primary school age)"/>
    <m/>
    <x v="56"/>
  </r>
  <r>
    <x v="19"/>
    <s v="Children out of school (% of primary school age)"/>
    <n v="36.205238342285199"/>
    <x v="56"/>
  </r>
  <r>
    <x v="20"/>
    <s v="Children out of school (% of primary school age)"/>
    <n v="4.1380300521850604"/>
    <x v="56"/>
  </r>
  <r>
    <x v="21"/>
    <s v="Children out of school (% of primary school age)"/>
    <m/>
    <x v="56"/>
  </r>
  <r>
    <x v="22"/>
    <s v="Children out of school (% of primary school age)"/>
    <n v="0.91990000009536699"/>
    <x v="56"/>
  </r>
  <r>
    <x v="23"/>
    <s v="Children out of school (% of primary school age)"/>
    <n v="4.5274701118469203"/>
    <x v="56"/>
  </r>
  <r>
    <x v="24"/>
    <s v="Children out of school (% of primary school age)"/>
    <m/>
    <x v="56"/>
  </r>
  <r>
    <x v="25"/>
    <s v="Children out of school (% of primary school age)"/>
    <m/>
    <x v="56"/>
  </r>
  <r>
    <x v="26"/>
    <s v="Children out of school (% of primary school age)"/>
    <m/>
    <x v="56"/>
  </r>
  <r>
    <x v="27"/>
    <s v="Children out of school (% of primary school age)"/>
    <m/>
    <x v="56"/>
  </r>
  <r>
    <x v="0"/>
    <s v="Children out of school (% of primary school age)"/>
    <m/>
    <x v="57"/>
  </r>
  <r>
    <x v="1"/>
    <s v="Children out of school (% of primary school age)"/>
    <m/>
    <x v="57"/>
  </r>
  <r>
    <x v="2"/>
    <s v="Children out of school (% of primary school age)"/>
    <m/>
    <x v="57"/>
  </r>
  <r>
    <x v="3"/>
    <s v="Children out of school (% of primary school age)"/>
    <m/>
    <x v="57"/>
  </r>
  <r>
    <x v="4"/>
    <s v="Children out of school (% of primary school age)"/>
    <n v="40.927219390869098"/>
    <x v="57"/>
  </r>
  <r>
    <x v="5"/>
    <s v="Children out of school (% of primary school age)"/>
    <m/>
    <x v="57"/>
  </r>
  <r>
    <x v="6"/>
    <s v="Children out of school (% of primary school age)"/>
    <m/>
    <x v="57"/>
  </r>
  <r>
    <x v="7"/>
    <s v="Children out of school (% of primary school age)"/>
    <m/>
    <x v="57"/>
  </r>
  <r>
    <x v="8"/>
    <s v="Children out of school (% of primary school age)"/>
    <m/>
    <x v="57"/>
  </r>
  <r>
    <x v="9"/>
    <s v="Children out of school (% of primary school age)"/>
    <m/>
    <x v="57"/>
  </r>
  <r>
    <x v="10"/>
    <s v="Children out of school (% of primary school age)"/>
    <m/>
    <x v="57"/>
  </r>
  <r>
    <x v="11"/>
    <s v="Children out of school (% of primary school age)"/>
    <m/>
    <x v="57"/>
  </r>
  <r>
    <x v="12"/>
    <s v="Children out of school (% of primary school age)"/>
    <m/>
    <x v="57"/>
  </r>
  <r>
    <x v="13"/>
    <s v="Children out of school (% of primary school age)"/>
    <m/>
    <x v="57"/>
  </r>
  <r>
    <x v="14"/>
    <s v="Children out of school (% of primary school age)"/>
    <m/>
    <x v="57"/>
  </r>
  <r>
    <x v="15"/>
    <s v="Children out of school (% of primary school age)"/>
    <m/>
    <x v="57"/>
  </r>
  <r>
    <x v="16"/>
    <s v="Children out of school (% of primary school age)"/>
    <n v="0.45471000671386702"/>
    <x v="57"/>
  </r>
  <r>
    <x v="17"/>
    <s v="Children out of school (% of primary school age)"/>
    <n v="5.1637601852417001"/>
    <x v="57"/>
  </r>
  <r>
    <x v="18"/>
    <s v="Children out of school (% of primary school age)"/>
    <m/>
    <x v="57"/>
  </r>
  <r>
    <x v="19"/>
    <s v="Children out of school (% of primary school age)"/>
    <m/>
    <x v="57"/>
  </r>
  <r>
    <x v="20"/>
    <s v="Children out of school (% of primary school age)"/>
    <m/>
    <x v="57"/>
  </r>
  <r>
    <x v="21"/>
    <s v="Children out of school (% of primary school age)"/>
    <n v="3.0040600299835201"/>
    <x v="57"/>
  </r>
  <r>
    <x v="22"/>
    <s v="Children out of school (% of primary school age)"/>
    <m/>
    <x v="57"/>
  </r>
  <r>
    <x v="23"/>
    <s v="Children out of school (% of primary school age)"/>
    <n v="1.4653899669647199"/>
    <x v="57"/>
  </r>
  <r>
    <x v="24"/>
    <s v="Children out of school (% of primary school age)"/>
    <m/>
    <x v="57"/>
  </r>
  <r>
    <x v="25"/>
    <s v="Children out of school (% of primary school age)"/>
    <m/>
    <x v="57"/>
  </r>
  <r>
    <x v="26"/>
    <s v="Children out of school (% of primary school age)"/>
    <m/>
    <x v="57"/>
  </r>
  <r>
    <x v="27"/>
    <s v="Children out of school (% of primary school age)"/>
    <m/>
    <x v="5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24">
  <r>
    <x v="0"/>
    <s v="Government expenditure on education, total (% of government expenditure)"/>
    <m/>
    <x v="0"/>
  </r>
  <r>
    <x v="1"/>
    <s v="Government expenditure on education, total (% of government expenditure)"/>
    <m/>
    <x v="0"/>
  </r>
  <r>
    <x v="2"/>
    <s v="Government expenditure on education, total (% of government expenditure)"/>
    <m/>
    <x v="0"/>
  </r>
  <r>
    <x v="3"/>
    <s v="Government expenditure on education, total (% of government expenditure)"/>
    <m/>
    <x v="0"/>
  </r>
  <r>
    <x v="4"/>
    <s v="Government expenditure on education, total (% of government expenditure)"/>
    <m/>
    <x v="0"/>
  </r>
  <r>
    <x v="5"/>
    <s v="Government expenditure on education, total (% of government expenditure)"/>
    <m/>
    <x v="0"/>
  </r>
  <r>
    <x v="6"/>
    <s v="Government expenditure on education, total (% of government expenditure)"/>
    <m/>
    <x v="0"/>
  </r>
  <r>
    <x v="7"/>
    <s v="Government expenditure on education, total (% of government expenditure)"/>
    <m/>
    <x v="0"/>
  </r>
  <r>
    <x v="8"/>
    <s v="Government expenditure on education, total (% of government expenditure)"/>
    <m/>
    <x v="0"/>
  </r>
  <r>
    <x v="9"/>
    <s v="Government expenditure on education, total (% of government expenditure)"/>
    <m/>
    <x v="0"/>
  </r>
  <r>
    <x v="10"/>
    <s v="Government expenditure on education, total (% of government expenditure)"/>
    <m/>
    <x v="0"/>
  </r>
  <r>
    <x v="11"/>
    <s v="Government expenditure on education, total (% of government expenditure)"/>
    <m/>
    <x v="0"/>
  </r>
  <r>
    <x v="12"/>
    <s v="Government expenditure on education, total (% of government expenditure)"/>
    <m/>
    <x v="0"/>
  </r>
  <r>
    <x v="13"/>
    <s v="Government expenditure on education, total (% of government expenditure)"/>
    <m/>
    <x v="0"/>
  </r>
  <r>
    <x v="14"/>
    <s v="Government expenditure on education, total (% of government expenditure)"/>
    <m/>
    <x v="0"/>
  </r>
  <r>
    <x v="15"/>
    <s v="Government expenditure on education, total (% of government expenditure)"/>
    <m/>
    <x v="0"/>
  </r>
  <r>
    <x v="16"/>
    <s v="Government expenditure on education, total (% of government expenditure)"/>
    <m/>
    <x v="0"/>
  </r>
  <r>
    <x v="17"/>
    <s v="Government expenditure on education, total (% of government expenditure)"/>
    <m/>
    <x v="0"/>
  </r>
  <r>
    <x v="18"/>
    <s v="Government expenditure on education, total (% of government expenditure)"/>
    <m/>
    <x v="0"/>
  </r>
  <r>
    <x v="19"/>
    <s v="Government expenditure on education, total (% of government expenditure)"/>
    <m/>
    <x v="0"/>
  </r>
  <r>
    <x v="20"/>
    <s v="Government expenditure on education, total (% of government expenditure)"/>
    <m/>
    <x v="0"/>
  </r>
  <r>
    <x v="21"/>
    <s v="Government expenditure on education, total (% of government expenditure)"/>
    <m/>
    <x v="0"/>
  </r>
  <r>
    <x v="22"/>
    <s v="Government expenditure on education, total (% of government expenditure)"/>
    <m/>
    <x v="0"/>
  </r>
  <r>
    <x v="23"/>
    <s v="Government expenditure on education, total (% of government expenditure)"/>
    <m/>
    <x v="0"/>
  </r>
  <r>
    <x v="24"/>
    <s v="Government expenditure on education, total (% of government expenditure)"/>
    <m/>
    <x v="0"/>
  </r>
  <r>
    <x v="25"/>
    <s v="Government expenditure on education, total (% of government expenditure)"/>
    <m/>
    <x v="0"/>
  </r>
  <r>
    <x v="26"/>
    <s v="Government expenditure on education, total (% of government expenditure)"/>
    <m/>
    <x v="0"/>
  </r>
  <r>
    <x v="27"/>
    <s v="Government expenditure on education, total (% of government expenditure)"/>
    <m/>
    <x v="0"/>
  </r>
  <r>
    <x v="0"/>
    <s v="Government expenditure on education, total (% of government expenditure)"/>
    <m/>
    <x v="1"/>
  </r>
  <r>
    <x v="1"/>
    <s v="Government expenditure on education, total (% of government expenditure)"/>
    <m/>
    <x v="1"/>
  </r>
  <r>
    <x v="2"/>
    <s v="Government expenditure on education, total (% of government expenditure)"/>
    <m/>
    <x v="1"/>
  </r>
  <r>
    <x v="3"/>
    <s v="Government expenditure on education, total (% of government expenditure)"/>
    <m/>
    <x v="1"/>
  </r>
  <r>
    <x v="4"/>
    <s v="Government expenditure on education, total (% of government expenditure)"/>
    <m/>
    <x v="1"/>
  </r>
  <r>
    <x v="5"/>
    <s v="Government expenditure on education, total (% of government expenditure)"/>
    <m/>
    <x v="1"/>
  </r>
  <r>
    <x v="6"/>
    <s v="Government expenditure on education, total (% of government expenditure)"/>
    <m/>
    <x v="1"/>
  </r>
  <r>
    <x v="7"/>
    <s v="Government expenditure on education, total (% of government expenditure)"/>
    <m/>
    <x v="1"/>
  </r>
  <r>
    <x v="8"/>
    <s v="Government expenditure on education, total (% of government expenditure)"/>
    <m/>
    <x v="1"/>
  </r>
  <r>
    <x v="9"/>
    <s v="Government expenditure on education, total (% of government expenditure)"/>
    <m/>
    <x v="1"/>
  </r>
  <r>
    <x v="10"/>
    <s v="Government expenditure on education, total (% of government expenditure)"/>
    <m/>
    <x v="1"/>
  </r>
  <r>
    <x v="11"/>
    <s v="Government expenditure on education, total (% of government expenditure)"/>
    <m/>
    <x v="1"/>
  </r>
  <r>
    <x v="12"/>
    <s v="Government expenditure on education, total (% of government expenditure)"/>
    <m/>
    <x v="1"/>
  </r>
  <r>
    <x v="13"/>
    <s v="Government expenditure on education, total (% of government expenditure)"/>
    <m/>
    <x v="1"/>
  </r>
  <r>
    <x v="14"/>
    <s v="Government expenditure on education, total (% of government expenditure)"/>
    <m/>
    <x v="1"/>
  </r>
  <r>
    <x v="15"/>
    <s v="Government expenditure on education, total (% of government expenditure)"/>
    <m/>
    <x v="1"/>
  </r>
  <r>
    <x v="16"/>
    <s v="Government expenditure on education, total (% of government expenditure)"/>
    <m/>
    <x v="1"/>
  </r>
  <r>
    <x v="17"/>
    <s v="Government expenditure on education, total (% of government expenditure)"/>
    <m/>
    <x v="1"/>
  </r>
  <r>
    <x v="18"/>
    <s v="Government expenditure on education, total (% of government expenditure)"/>
    <m/>
    <x v="1"/>
  </r>
  <r>
    <x v="19"/>
    <s v="Government expenditure on education, total (% of government expenditure)"/>
    <m/>
    <x v="1"/>
  </r>
  <r>
    <x v="20"/>
    <s v="Government expenditure on education, total (% of government expenditure)"/>
    <m/>
    <x v="1"/>
  </r>
  <r>
    <x v="21"/>
    <s v="Government expenditure on education, total (% of government expenditure)"/>
    <m/>
    <x v="1"/>
  </r>
  <r>
    <x v="22"/>
    <s v="Government expenditure on education, total (% of government expenditure)"/>
    <m/>
    <x v="1"/>
  </r>
  <r>
    <x v="23"/>
    <s v="Government expenditure on education, total (% of government expenditure)"/>
    <m/>
    <x v="1"/>
  </r>
  <r>
    <x v="24"/>
    <s v="Government expenditure on education, total (% of government expenditure)"/>
    <m/>
    <x v="1"/>
  </r>
  <r>
    <x v="25"/>
    <s v="Government expenditure on education, total (% of government expenditure)"/>
    <m/>
    <x v="1"/>
  </r>
  <r>
    <x v="26"/>
    <s v="Government expenditure on education, total (% of government expenditure)"/>
    <m/>
    <x v="1"/>
  </r>
  <r>
    <x v="27"/>
    <s v="Government expenditure on education, total (% of government expenditure)"/>
    <m/>
    <x v="1"/>
  </r>
  <r>
    <x v="0"/>
    <s v="Government expenditure on education, total (% of government expenditure)"/>
    <m/>
    <x v="2"/>
  </r>
  <r>
    <x v="1"/>
    <s v="Government expenditure on education, total (% of government expenditure)"/>
    <m/>
    <x v="2"/>
  </r>
  <r>
    <x v="2"/>
    <s v="Government expenditure on education, total (% of government expenditure)"/>
    <m/>
    <x v="2"/>
  </r>
  <r>
    <x v="3"/>
    <s v="Government expenditure on education, total (% of government expenditure)"/>
    <m/>
    <x v="2"/>
  </r>
  <r>
    <x v="4"/>
    <s v="Government expenditure on education, total (% of government expenditure)"/>
    <m/>
    <x v="2"/>
  </r>
  <r>
    <x v="5"/>
    <s v="Government expenditure on education, total (% of government expenditure)"/>
    <m/>
    <x v="2"/>
  </r>
  <r>
    <x v="6"/>
    <s v="Government expenditure on education, total (% of government expenditure)"/>
    <m/>
    <x v="2"/>
  </r>
  <r>
    <x v="7"/>
    <s v="Government expenditure on education, total (% of government expenditure)"/>
    <m/>
    <x v="2"/>
  </r>
  <r>
    <x v="8"/>
    <s v="Government expenditure on education, total (% of government expenditure)"/>
    <m/>
    <x v="2"/>
  </r>
  <r>
    <x v="9"/>
    <s v="Government expenditure on education, total (% of government expenditure)"/>
    <m/>
    <x v="2"/>
  </r>
  <r>
    <x v="10"/>
    <s v="Government expenditure on education, total (% of government expenditure)"/>
    <m/>
    <x v="2"/>
  </r>
  <r>
    <x v="11"/>
    <s v="Government expenditure on education, total (% of government expenditure)"/>
    <m/>
    <x v="2"/>
  </r>
  <r>
    <x v="12"/>
    <s v="Government expenditure on education, total (% of government expenditure)"/>
    <m/>
    <x v="2"/>
  </r>
  <r>
    <x v="13"/>
    <s v="Government expenditure on education, total (% of government expenditure)"/>
    <m/>
    <x v="2"/>
  </r>
  <r>
    <x v="14"/>
    <s v="Government expenditure on education, total (% of government expenditure)"/>
    <m/>
    <x v="2"/>
  </r>
  <r>
    <x v="15"/>
    <s v="Government expenditure on education, total (% of government expenditure)"/>
    <m/>
    <x v="2"/>
  </r>
  <r>
    <x v="16"/>
    <s v="Government expenditure on education, total (% of government expenditure)"/>
    <m/>
    <x v="2"/>
  </r>
  <r>
    <x v="17"/>
    <s v="Government expenditure on education, total (% of government expenditure)"/>
    <m/>
    <x v="2"/>
  </r>
  <r>
    <x v="18"/>
    <s v="Government expenditure on education, total (% of government expenditure)"/>
    <m/>
    <x v="2"/>
  </r>
  <r>
    <x v="19"/>
    <s v="Government expenditure on education, total (% of government expenditure)"/>
    <m/>
    <x v="2"/>
  </r>
  <r>
    <x v="20"/>
    <s v="Government expenditure on education, total (% of government expenditure)"/>
    <m/>
    <x v="2"/>
  </r>
  <r>
    <x v="21"/>
    <s v="Government expenditure on education, total (% of government expenditure)"/>
    <m/>
    <x v="2"/>
  </r>
  <r>
    <x v="22"/>
    <s v="Government expenditure on education, total (% of government expenditure)"/>
    <m/>
    <x v="2"/>
  </r>
  <r>
    <x v="23"/>
    <s v="Government expenditure on education, total (% of government expenditure)"/>
    <m/>
    <x v="2"/>
  </r>
  <r>
    <x v="24"/>
    <s v="Government expenditure on education, total (% of government expenditure)"/>
    <m/>
    <x v="2"/>
  </r>
  <r>
    <x v="25"/>
    <s v="Government expenditure on education, total (% of government expenditure)"/>
    <m/>
    <x v="2"/>
  </r>
  <r>
    <x v="26"/>
    <s v="Government expenditure on education, total (% of government expenditure)"/>
    <m/>
    <x v="2"/>
  </r>
  <r>
    <x v="27"/>
    <s v="Government expenditure on education, total (% of government expenditure)"/>
    <m/>
    <x v="2"/>
  </r>
  <r>
    <x v="0"/>
    <s v="Government expenditure on education, total (% of government expenditure)"/>
    <m/>
    <x v="3"/>
  </r>
  <r>
    <x v="1"/>
    <s v="Government expenditure on education, total (% of government expenditure)"/>
    <m/>
    <x v="3"/>
  </r>
  <r>
    <x v="2"/>
    <s v="Government expenditure on education, total (% of government expenditure)"/>
    <m/>
    <x v="3"/>
  </r>
  <r>
    <x v="3"/>
    <s v="Government expenditure on education, total (% of government expenditure)"/>
    <m/>
    <x v="3"/>
  </r>
  <r>
    <x v="4"/>
    <s v="Government expenditure on education, total (% of government expenditure)"/>
    <m/>
    <x v="3"/>
  </r>
  <r>
    <x v="5"/>
    <s v="Government expenditure on education, total (% of government expenditure)"/>
    <m/>
    <x v="3"/>
  </r>
  <r>
    <x v="6"/>
    <s v="Government expenditure on education, total (% of government expenditure)"/>
    <m/>
    <x v="3"/>
  </r>
  <r>
    <x v="7"/>
    <s v="Government expenditure on education, total (% of government expenditure)"/>
    <m/>
    <x v="3"/>
  </r>
  <r>
    <x v="8"/>
    <s v="Government expenditure on education, total (% of government expenditure)"/>
    <m/>
    <x v="3"/>
  </r>
  <r>
    <x v="9"/>
    <s v="Government expenditure on education, total (% of government expenditure)"/>
    <m/>
    <x v="3"/>
  </r>
  <r>
    <x v="10"/>
    <s v="Government expenditure on education, total (% of government expenditure)"/>
    <m/>
    <x v="3"/>
  </r>
  <r>
    <x v="11"/>
    <s v="Government expenditure on education, total (% of government expenditure)"/>
    <m/>
    <x v="3"/>
  </r>
  <r>
    <x v="12"/>
    <s v="Government expenditure on education, total (% of government expenditure)"/>
    <m/>
    <x v="3"/>
  </r>
  <r>
    <x v="13"/>
    <s v="Government expenditure on education, total (% of government expenditure)"/>
    <m/>
    <x v="3"/>
  </r>
  <r>
    <x v="14"/>
    <s v="Government expenditure on education, total (% of government expenditure)"/>
    <m/>
    <x v="3"/>
  </r>
  <r>
    <x v="15"/>
    <s v="Government expenditure on education, total (% of government expenditure)"/>
    <m/>
    <x v="3"/>
  </r>
  <r>
    <x v="16"/>
    <s v="Government expenditure on education, total (% of government expenditure)"/>
    <m/>
    <x v="3"/>
  </r>
  <r>
    <x v="17"/>
    <s v="Government expenditure on education, total (% of government expenditure)"/>
    <m/>
    <x v="3"/>
  </r>
  <r>
    <x v="18"/>
    <s v="Government expenditure on education, total (% of government expenditure)"/>
    <m/>
    <x v="3"/>
  </r>
  <r>
    <x v="19"/>
    <s v="Government expenditure on education, total (% of government expenditure)"/>
    <m/>
    <x v="3"/>
  </r>
  <r>
    <x v="20"/>
    <s v="Government expenditure on education, total (% of government expenditure)"/>
    <m/>
    <x v="3"/>
  </r>
  <r>
    <x v="21"/>
    <s v="Government expenditure on education, total (% of government expenditure)"/>
    <m/>
    <x v="3"/>
  </r>
  <r>
    <x v="22"/>
    <s v="Government expenditure on education, total (% of government expenditure)"/>
    <m/>
    <x v="3"/>
  </r>
  <r>
    <x v="23"/>
    <s v="Government expenditure on education, total (% of government expenditure)"/>
    <m/>
    <x v="3"/>
  </r>
  <r>
    <x v="24"/>
    <s v="Government expenditure on education, total (% of government expenditure)"/>
    <m/>
    <x v="3"/>
  </r>
  <r>
    <x v="25"/>
    <s v="Government expenditure on education, total (% of government expenditure)"/>
    <m/>
    <x v="3"/>
  </r>
  <r>
    <x v="26"/>
    <s v="Government expenditure on education, total (% of government expenditure)"/>
    <m/>
    <x v="3"/>
  </r>
  <r>
    <x v="27"/>
    <s v="Government expenditure on education, total (% of government expenditure)"/>
    <m/>
    <x v="3"/>
  </r>
  <r>
    <x v="0"/>
    <s v="Government expenditure on education, total (% of government expenditure)"/>
    <m/>
    <x v="4"/>
  </r>
  <r>
    <x v="1"/>
    <s v="Government expenditure on education, total (% of government expenditure)"/>
    <m/>
    <x v="4"/>
  </r>
  <r>
    <x v="2"/>
    <s v="Government expenditure on education, total (% of government expenditure)"/>
    <m/>
    <x v="4"/>
  </r>
  <r>
    <x v="3"/>
    <s v="Government expenditure on education, total (% of government expenditure)"/>
    <m/>
    <x v="4"/>
  </r>
  <r>
    <x v="4"/>
    <s v="Government expenditure on education, total (% of government expenditure)"/>
    <m/>
    <x v="4"/>
  </r>
  <r>
    <x v="5"/>
    <s v="Government expenditure on education, total (% of government expenditure)"/>
    <m/>
    <x v="4"/>
  </r>
  <r>
    <x v="6"/>
    <s v="Government expenditure on education, total (% of government expenditure)"/>
    <m/>
    <x v="4"/>
  </r>
  <r>
    <x v="7"/>
    <s v="Government expenditure on education, total (% of government expenditure)"/>
    <m/>
    <x v="4"/>
  </r>
  <r>
    <x v="8"/>
    <s v="Government expenditure on education, total (% of government expenditure)"/>
    <m/>
    <x v="4"/>
  </r>
  <r>
    <x v="9"/>
    <s v="Government expenditure on education, total (% of government expenditure)"/>
    <m/>
    <x v="4"/>
  </r>
  <r>
    <x v="10"/>
    <s v="Government expenditure on education, total (% of government expenditure)"/>
    <m/>
    <x v="4"/>
  </r>
  <r>
    <x v="11"/>
    <s v="Government expenditure on education, total (% of government expenditure)"/>
    <m/>
    <x v="4"/>
  </r>
  <r>
    <x v="12"/>
    <s v="Government expenditure on education, total (% of government expenditure)"/>
    <m/>
    <x v="4"/>
  </r>
  <r>
    <x v="13"/>
    <s v="Government expenditure on education, total (% of government expenditure)"/>
    <m/>
    <x v="4"/>
  </r>
  <r>
    <x v="14"/>
    <s v="Government expenditure on education, total (% of government expenditure)"/>
    <m/>
    <x v="4"/>
  </r>
  <r>
    <x v="15"/>
    <s v="Government expenditure on education, total (% of government expenditure)"/>
    <m/>
    <x v="4"/>
  </r>
  <r>
    <x v="16"/>
    <s v="Government expenditure on education, total (% of government expenditure)"/>
    <m/>
    <x v="4"/>
  </r>
  <r>
    <x v="17"/>
    <s v="Government expenditure on education, total (% of government expenditure)"/>
    <m/>
    <x v="4"/>
  </r>
  <r>
    <x v="18"/>
    <s v="Government expenditure on education, total (% of government expenditure)"/>
    <m/>
    <x v="4"/>
  </r>
  <r>
    <x v="19"/>
    <s v="Government expenditure on education, total (% of government expenditure)"/>
    <m/>
    <x v="4"/>
  </r>
  <r>
    <x v="20"/>
    <s v="Government expenditure on education, total (% of government expenditure)"/>
    <m/>
    <x v="4"/>
  </r>
  <r>
    <x v="21"/>
    <s v="Government expenditure on education, total (% of government expenditure)"/>
    <m/>
    <x v="4"/>
  </r>
  <r>
    <x v="22"/>
    <s v="Government expenditure on education, total (% of government expenditure)"/>
    <m/>
    <x v="4"/>
  </r>
  <r>
    <x v="23"/>
    <s v="Government expenditure on education, total (% of government expenditure)"/>
    <m/>
    <x v="4"/>
  </r>
  <r>
    <x v="24"/>
    <s v="Government expenditure on education, total (% of government expenditure)"/>
    <m/>
    <x v="4"/>
  </r>
  <r>
    <x v="25"/>
    <s v="Government expenditure on education, total (% of government expenditure)"/>
    <m/>
    <x v="4"/>
  </r>
  <r>
    <x v="26"/>
    <s v="Government expenditure on education, total (% of government expenditure)"/>
    <m/>
    <x v="4"/>
  </r>
  <r>
    <x v="27"/>
    <s v="Government expenditure on education, total (% of government expenditure)"/>
    <m/>
    <x v="4"/>
  </r>
  <r>
    <x v="0"/>
    <s v="Government expenditure on education, total (% of government expenditure)"/>
    <m/>
    <x v="5"/>
  </r>
  <r>
    <x v="1"/>
    <s v="Government expenditure on education, total (% of government expenditure)"/>
    <m/>
    <x v="5"/>
  </r>
  <r>
    <x v="2"/>
    <s v="Government expenditure on education, total (% of government expenditure)"/>
    <m/>
    <x v="5"/>
  </r>
  <r>
    <x v="3"/>
    <s v="Government expenditure on education, total (% of government expenditure)"/>
    <m/>
    <x v="5"/>
  </r>
  <r>
    <x v="4"/>
    <s v="Government expenditure on education, total (% of government expenditure)"/>
    <m/>
    <x v="5"/>
  </r>
  <r>
    <x v="5"/>
    <s v="Government expenditure on education, total (% of government expenditure)"/>
    <m/>
    <x v="5"/>
  </r>
  <r>
    <x v="6"/>
    <s v="Government expenditure on education, total (% of government expenditure)"/>
    <m/>
    <x v="5"/>
  </r>
  <r>
    <x v="7"/>
    <s v="Government expenditure on education, total (% of government expenditure)"/>
    <m/>
    <x v="5"/>
  </r>
  <r>
    <x v="8"/>
    <s v="Government expenditure on education, total (% of government expenditure)"/>
    <m/>
    <x v="5"/>
  </r>
  <r>
    <x v="9"/>
    <s v="Government expenditure on education, total (% of government expenditure)"/>
    <m/>
    <x v="5"/>
  </r>
  <r>
    <x v="10"/>
    <s v="Government expenditure on education, total (% of government expenditure)"/>
    <m/>
    <x v="5"/>
  </r>
  <r>
    <x v="11"/>
    <s v="Government expenditure on education, total (% of government expenditure)"/>
    <m/>
    <x v="5"/>
  </r>
  <r>
    <x v="12"/>
    <s v="Government expenditure on education, total (% of government expenditure)"/>
    <m/>
    <x v="5"/>
  </r>
  <r>
    <x v="13"/>
    <s v="Government expenditure on education, total (% of government expenditure)"/>
    <m/>
    <x v="5"/>
  </r>
  <r>
    <x v="14"/>
    <s v="Government expenditure on education, total (% of government expenditure)"/>
    <m/>
    <x v="5"/>
  </r>
  <r>
    <x v="15"/>
    <s v="Government expenditure on education, total (% of government expenditure)"/>
    <m/>
    <x v="5"/>
  </r>
  <r>
    <x v="16"/>
    <s v="Government expenditure on education, total (% of government expenditure)"/>
    <m/>
    <x v="5"/>
  </r>
  <r>
    <x v="17"/>
    <s v="Government expenditure on education, total (% of government expenditure)"/>
    <m/>
    <x v="5"/>
  </r>
  <r>
    <x v="18"/>
    <s v="Government expenditure on education, total (% of government expenditure)"/>
    <m/>
    <x v="5"/>
  </r>
  <r>
    <x v="19"/>
    <s v="Government expenditure on education, total (% of government expenditure)"/>
    <m/>
    <x v="5"/>
  </r>
  <r>
    <x v="20"/>
    <s v="Government expenditure on education, total (% of government expenditure)"/>
    <m/>
    <x v="5"/>
  </r>
  <r>
    <x v="21"/>
    <s v="Government expenditure on education, total (% of government expenditure)"/>
    <m/>
    <x v="5"/>
  </r>
  <r>
    <x v="22"/>
    <s v="Government expenditure on education, total (% of government expenditure)"/>
    <m/>
    <x v="5"/>
  </r>
  <r>
    <x v="23"/>
    <s v="Government expenditure on education, total (% of government expenditure)"/>
    <m/>
    <x v="5"/>
  </r>
  <r>
    <x v="24"/>
    <s v="Government expenditure on education, total (% of government expenditure)"/>
    <m/>
    <x v="5"/>
  </r>
  <r>
    <x v="25"/>
    <s v="Government expenditure on education, total (% of government expenditure)"/>
    <m/>
    <x v="5"/>
  </r>
  <r>
    <x v="26"/>
    <s v="Government expenditure on education, total (% of government expenditure)"/>
    <m/>
    <x v="5"/>
  </r>
  <r>
    <x v="27"/>
    <s v="Government expenditure on education, total (% of government expenditure)"/>
    <m/>
    <x v="5"/>
  </r>
  <r>
    <x v="0"/>
    <s v="Government expenditure on education, total (% of government expenditure)"/>
    <m/>
    <x v="6"/>
  </r>
  <r>
    <x v="1"/>
    <s v="Government expenditure on education, total (% of government expenditure)"/>
    <m/>
    <x v="6"/>
  </r>
  <r>
    <x v="2"/>
    <s v="Government expenditure on education, total (% of government expenditure)"/>
    <m/>
    <x v="6"/>
  </r>
  <r>
    <x v="3"/>
    <s v="Government expenditure on education, total (% of government expenditure)"/>
    <m/>
    <x v="6"/>
  </r>
  <r>
    <x v="4"/>
    <s v="Government expenditure on education, total (% of government expenditure)"/>
    <m/>
    <x v="6"/>
  </r>
  <r>
    <x v="5"/>
    <s v="Government expenditure on education, total (% of government expenditure)"/>
    <m/>
    <x v="6"/>
  </r>
  <r>
    <x v="6"/>
    <s v="Government expenditure on education, total (% of government expenditure)"/>
    <m/>
    <x v="6"/>
  </r>
  <r>
    <x v="7"/>
    <s v="Government expenditure on education, total (% of government expenditure)"/>
    <m/>
    <x v="6"/>
  </r>
  <r>
    <x v="8"/>
    <s v="Government expenditure on education, total (% of government expenditure)"/>
    <m/>
    <x v="6"/>
  </r>
  <r>
    <x v="9"/>
    <s v="Government expenditure on education, total (% of government expenditure)"/>
    <m/>
    <x v="6"/>
  </r>
  <r>
    <x v="10"/>
    <s v="Government expenditure on education, total (% of government expenditure)"/>
    <m/>
    <x v="6"/>
  </r>
  <r>
    <x v="11"/>
    <s v="Government expenditure on education, total (% of government expenditure)"/>
    <m/>
    <x v="6"/>
  </r>
  <r>
    <x v="12"/>
    <s v="Government expenditure on education, total (% of government expenditure)"/>
    <m/>
    <x v="6"/>
  </r>
  <r>
    <x v="13"/>
    <s v="Government expenditure on education, total (% of government expenditure)"/>
    <m/>
    <x v="6"/>
  </r>
  <r>
    <x v="14"/>
    <s v="Government expenditure on education, total (% of government expenditure)"/>
    <m/>
    <x v="6"/>
  </r>
  <r>
    <x v="15"/>
    <s v="Government expenditure on education, total (% of government expenditure)"/>
    <m/>
    <x v="6"/>
  </r>
  <r>
    <x v="16"/>
    <s v="Government expenditure on education, total (% of government expenditure)"/>
    <m/>
    <x v="6"/>
  </r>
  <r>
    <x v="17"/>
    <s v="Government expenditure on education, total (% of government expenditure)"/>
    <m/>
    <x v="6"/>
  </r>
  <r>
    <x v="18"/>
    <s v="Government expenditure on education, total (% of government expenditure)"/>
    <m/>
    <x v="6"/>
  </r>
  <r>
    <x v="19"/>
    <s v="Government expenditure on education, total (% of government expenditure)"/>
    <m/>
    <x v="6"/>
  </r>
  <r>
    <x v="20"/>
    <s v="Government expenditure on education, total (% of government expenditure)"/>
    <m/>
    <x v="6"/>
  </r>
  <r>
    <x v="21"/>
    <s v="Government expenditure on education, total (% of government expenditure)"/>
    <m/>
    <x v="6"/>
  </r>
  <r>
    <x v="22"/>
    <s v="Government expenditure on education, total (% of government expenditure)"/>
    <m/>
    <x v="6"/>
  </r>
  <r>
    <x v="23"/>
    <s v="Government expenditure on education, total (% of government expenditure)"/>
    <m/>
    <x v="6"/>
  </r>
  <r>
    <x v="24"/>
    <s v="Government expenditure on education, total (% of government expenditure)"/>
    <m/>
    <x v="6"/>
  </r>
  <r>
    <x v="25"/>
    <s v="Government expenditure on education, total (% of government expenditure)"/>
    <m/>
    <x v="6"/>
  </r>
  <r>
    <x v="26"/>
    <s v="Government expenditure on education, total (% of government expenditure)"/>
    <m/>
    <x v="6"/>
  </r>
  <r>
    <x v="27"/>
    <s v="Government expenditure on education, total (% of government expenditure)"/>
    <m/>
    <x v="6"/>
  </r>
  <r>
    <x v="0"/>
    <s v="Government expenditure on education, total (% of government expenditure)"/>
    <m/>
    <x v="7"/>
  </r>
  <r>
    <x v="1"/>
    <s v="Government expenditure on education, total (% of government expenditure)"/>
    <m/>
    <x v="7"/>
  </r>
  <r>
    <x v="2"/>
    <s v="Government expenditure on education, total (% of government expenditure)"/>
    <m/>
    <x v="7"/>
  </r>
  <r>
    <x v="3"/>
    <s v="Government expenditure on education, total (% of government expenditure)"/>
    <m/>
    <x v="7"/>
  </r>
  <r>
    <x v="4"/>
    <s v="Government expenditure on education, total (% of government expenditure)"/>
    <m/>
    <x v="7"/>
  </r>
  <r>
    <x v="5"/>
    <s v="Government expenditure on education, total (% of government expenditure)"/>
    <m/>
    <x v="7"/>
  </r>
  <r>
    <x v="6"/>
    <s v="Government expenditure on education, total (% of government expenditure)"/>
    <m/>
    <x v="7"/>
  </r>
  <r>
    <x v="7"/>
    <s v="Government expenditure on education, total (% of government expenditure)"/>
    <m/>
    <x v="7"/>
  </r>
  <r>
    <x v="8"/>
    <s v="Government expenditure on education, total (% of government expenditure)"/>
    <m/>
    <x v="7"/>
  </r>
  <r>
    <x v="9"/>
    <s v="Government expenditure on education, total (% of government expenditure)"/>
    <m/>
    <x v="7"/>
  </r>
  <r>
    <x v="10"/>
    <s v="Government expenditure on education, total (% of government expenditure)"/>
    <m/>
    <x v="7"/>
  </r>
  <r>
    <x v="11"/>
    <s v="Government expenditure on education, total (% of government expenditure)"/>
    <m/>
    <x v="7"/>
  </r>
  <r>
    <x v="12"/>
    <s v="Government expenditure on education, total (% of government expenditure)"/>
    <m/>
    <x v="7"/>
  </r>
  <r>
    <x v="13"/>
    <s v="Government expenditure on education, total (% of government expenditure)"/>
    <m/>
    <x v="7"/>
  </r>
  <r>
    <x v="14"/>
    <s v="Government expenditure on education, total (% of government expenditure)"/>
    <m/>
    <x v="7"/>
  </r>
  <r>
    <x v="15"/>
    <s v="Government expenditure on education, total (% of government expenditure)"/>
    <m/>
    <x v="7"/>
  </r>
  <r>
    <x v="16"/>
    <s v="Government expenditure on education, total (% of government expenditure)"/>
    <m/>
    <x v="7"/>
  </r>
  <r>
    <x v="17"/>
    <s v="Government expenditure on education, total (% of government expenditure)"/>
    <m/>
    <x v="7"/>
  </r>
  <r>
    <x v="18"/>
    <s v="Government expenditure on education, total (% of government expenditure)"/>
    <m/>
    <x v="7"/>
  </r>
  <r>
    <x v="19"/>
    <s v="Government expenditure on education, total (% of government expenditure)"/>
    <m/>
    <x v="7"/>
  </r>
  <r>
    <x v="20"/>
    <s v="Government expenditure on education, total (% of government expenditure)"/>
    <m/>
    <x v="7"/>
  </r>
  <r>
    <x v="21"/>
    <s v="Government expenditure on education, total (% of government expenditure)"/>
    <m/>
    <x v="7"/>
  </r>
  <r>
    <x v="22"/>
    <s v="Government expenditure on education, total (% of government expenditure)"/>
    <m/>
    <x v="7"/>
  </r>
  <r>
    <x v="23"/>
    <s v="Government expenditure on education, total (% of government expenditure)"/>
    <m/>
    <x v="7"/>
  </r>
  <r>
    <x v="24"/>
    <s v="Government expenditure on education, total (% of government expenditure)"/>
    <m/>
    <x v="7"/>
  </r>
  <r>
    <x v="25"/>
    <s v="Government expenditure on education, total (% of government expenditure)"/>
    <m/>
    <x v="7"/>
  </r>
  <r>
    <x v="26"/>
    <s v="Government expenditure on education, total (% of government expenditure)"/>
    <m/>
    <x v="7"/>
  </r>
  <r>
    <x v="27"/>
    <s v="Government expenditure on education, total (% of government expenditure)"/>
    <m/>
    <x v="7"/>
  </r>
  <r>
    <x v="0"/>
    <s v="Government expenditure on education, total (% of government expenditure)"/>
    <m/>
    <x v="8"/>
  </r>
  <r>
    <x v="1"/>
    <s v="Government expenditure on education, total (% of government expenditure)"/>
    <m/>
    <x v="8"/>
  </r>
  <r>
    <x v="2"/>
    <s v="Government expenditure on education, total (% of government expenditure)"/>
    <m/>
    <x v="8"/>
  </r>
  <r>
    <x v="3"/>
    <s v="Government expenditure on education, total (% of government expenditure)"/>
    <m/>
    <x v="8"/>
  </r>
  <r>
    <x v="4"/>
    <s v="Government expenditure on education, total (% of government expenditure)"/>
    <m/>
    <x v="8"/>
  </r>
  <r>
    <x v="5"/>
    <s v="Government expenditure on education, total (% of government expenditure)"/>
    <m/>
    <x v="8"/>
  </r>
  <r>
    <x v="6"/>
    <s v="Government expenditure on education, total (% of government expenditure)"/>
    <m/>
    <x v="8"/>
  </r>
  <r>
    <x v="7"/>
    <s v="Government expenditure on education, total (% of government expenditure)"/>
    <m/>
    <x v="8"/>
  </r>
  <r>
    <x v="8"/>
    <s v="Government expenditure on education, total (% of government expenditure)"/>
    <m/>
    <x v="8"/>
  </r>
  <r>
    <x v="9"/>
    <s v="Government expenditure on education, total (% of government expenditure)"/>
    <m/>
    <x v="8"/>
  </r>
  <r>
    <x v="10"/>
    <s v="Government expenditure on education, total (% of government expenditure)"/>
    <m/>
    <x v="8"/>
  </r>
  <r>
    <x v="11"/>
    <s v="Government expenditure on education, total (% of government expenditure)"/>
    <m/>
    <x v="8"/>
  </r>
  <r>
    <x v="12"/>
    <s v="Government expenditure on education, total (% of government expenditure)"/>
    <m/>
    <x v="8"/>
  </r>
  <r>
    <x v="13"/>
    <s v="Government expenditure on education, total (% of government expenditure)"/>
    <m/>
    <x v="8"/>
  </r>
  <r>
    <x v="14"/>
    <s v="Government expenditure on education, total (% of government expenditure)"/>
    <m/>
    <x v="8"/>
  </r>
  <r>
    <x v="15"/>
    <s v="Government expenditure on education, total (% of government expenditure)"/>
    <m/>
    <x v="8"/>
  </r>
  <r>
    <x v="16"/>
    <s v="Government expenditure on education, total (% of government expenditure)"/>
    <m/>
    <x v="8"/>
  </r>
  <r>
    <x v="17"/>
    <s v="Government expenditure on education, total (% of government expenditure)"/>
    <m/>
    <x v="8"/>
  </r>
  <r>
    <x v="18"/>
    <s v="Government expenditure on education, total (% of government expenditure)"/>
    <m/>
    <x v="8"/>
  </r>
  <r>
    <x v="19"/>
    <s v="Government expenditure on education, total (% of government expenditure)"/>
    <m/>
    <x v="8"/>
  </r>
  <r>
    <x v="20"/>
    <s v="Government expenditure on education, total (% of government expenditure)"/>
    <m/>
    <x v="8"/>
  </r>
  <r>
    <x v="21"/>
    <s v="Government expenditure on education, total (% of government expenditure)"/>
    <m/>
    <x v="8"/>
  </r>
  <r>
    <x v="22"/>
    <s v="Government expenditure on education, total (% of government expenditure)"/>
    <m/>
    <x v="8"/>
  </r>
  <r>
    <x v="23"/>
    <s v="Government expenditure on education, total (% of government expenditure)"/>
    <m/>
    <x v="8"/>
  </r>
  <r>
    <x v="24"/>
    <s v="Government expenditure on education, total (% of government expenditure)"/>
    <m/>
    <x v="8"/>
  </r>
  <r>
    <x v="25"/>
    <s v="Government expenditure on education, total (% of government expenditure)"/>
    <m/>
    <x v="8"/>
  </r>
  <r>
    <x v="26"/>
    <s v="Government expenditure on education, total (% of government expenditure)"/>
    <m/>
    <x v="8"/>
  </r>
  <r>
    <x v="27"/>
    <s v="Government expenditure on education, total (% of government expenditure)"/>
    <m/>
    <x v="8"/>
  </r>
  <r>
    <x v="0"/>
    <s v="Government expenditure on education, total (% of government expenditure)"/>
    <m/>
    <x v="9"/>
  </r>
  <r>
    <x v="1"/>
    <s v="Government expenditure on education, total (% of government expenditure)"/>
    <m/>
    <x v="9"/>
  </r>
  <r>
    <x v="2"/>
    <s v="Government expenditure on education, total (% of government expenditure)"/>
    <m/>
    <x v="9"/>
  </r>
  <r>
    <x v="3"/>
    <s v="Government expenditure on education, total (% of government expenditure)"/>
    <m/>
    <x v="9"/>
  </r>
  <r>
    <x v="4"/>
    <s v="Government expenditure on education, total (% of government expenditure)"/>
    <m/>
    <x v="9"/>
  </r>
  <r>
    <x v="5"/>
    <s v="Government expenditure on education, total (% of government expenditure)"/>
    <m/>
    <x v="9"/>
  </r>
  <r>
    <x v="6"/>
    <s v="Government expenditure on education, total (% of government expenditure)"/>
    <m/>
    <x v="9"/>
  </r>
  <r>
    <x v="7"/>
    <s v="Government expenditure on education, total (% of government expenditure)"/>
    <m/>
    <x v="9"/>
  </r>
  <r>
    <x v="8"/>
    <s v="Government expenditure on education, total (% of government expenditure)"/>
    <m/>
    <x v="9"/>
  </r>
  <r>
    <x v="9"/>
    <s v="Government expenditure on education, total (% of government expenditure)"/>
    <m/>
    <x v="9"/>
  </r>
  <r>
    <x v="10"/>
    <s v="Government expenditure on education, total (% of government expenditure)"/>
    <m/>
    <x v="9"/>
  </r>
  <r>
    <x v="11"/>
    <s v="Government expenditure on education, total (% of government expenditure)"/>
    <m/>
    <x v="9"/>
  </r>
  <r>
    <x v="12"/>
    <s v="Government expenditure on education, total (% of government expenditure)"/>
    <m/>
    <x v="9"/>
  </r>
  <r>
    <x v="13"/>
    <s v="Government expenditure on education, total (% of government expenditure)"/>
    <m/>
    <x v="9"/>
  </r>
  <r>
    <x v="14"/>
    <s v="Government expenditure on education, total (% of government expenditure)"/>
    <m/>
    <x v="9"/>
  </r>
  <r>
    <x v="15"/>
    <s v="Government expenditure on education, total (% of government expenditure)"/>
    <m/>
    <x v="9"/>
  </r>
  <r>
    <x v="16"/>
    <s v="Government expenditure on education, total (% of government expenditure)"/>
    <m/>
    <x v="9"/>
  </r>
  <r>
    <x v="17"/>
    <s v="Government expenditure on education, total (% of government expenditure)"/>
    <m/>
    <x v="9"/>
  </r>
  <r>
    <x v="18"/>
    <s v="Government expenditure on education, total (% of government expenditure)"/>
    <m/>
    <x v="9"/>
  </r>
  <r>
    <x v="19"/>
    <s v="Government expenditure on education, total (% of government expenditure)"/>
    <m/>
    <x v="9"/>
  </r>
  <r>
    <x v="20"/>
    <s v="Government expenditure on education, total (% of government expenditure)"/>
    <m/>
    <x v="9"/>
  </r>
  <r>
    <x v="21"/>
    <s v="Government expenditure on education, total (% of government expenditure)"/>
    <m/>
    <x v="9"/>
  </r>
  <r>
    <x v="22"/>
    <s v="Government expenditure on education, total (% of government expenditure)"/>
    <m/>
    <x v="9"/>
  </r>
  <r>
    <x v="23"/>
    <s v="Government expenditure on education, total (% of government expenditure)"/>
    <m/>
    <x v="9"/>
  </r>
  <r>
    <x v="24"/>
    <s v="Government expenditure on education, total (% of government expenditure)"/>
    <m/>
    <x v="9"/>
  </r>
  <r>
    <x v="25"/>
    <s v="Government expenditure on education, total (% of government expenditure)"/>
    <m/>
    <x v="9"/>
  </r>
  <r>
    <x v="26"/>
    <s v="Government expenditure on education, total (% of government expenditure)"/>
    <m/>
    <x v="9"/>
  </r>
  <r>
    <x v="27"/>
    <s v="Government expenditure on education, total (% of government expenditure)"/>
    <m/>
    <x v="9"/>
  </r>
  <r>
    <x v="0"/>
    <s v="Government expenditure on education, total (% of government expenditure)"/>
    <m/>
    <x v="10"/>
  </r>
  <r>
    <x v="1"/>
    <s v="Government expenditure on education, total (% of government expenditure)"/>
    <m/>
    <x v="10"/>
  </r>
  <r>
    <x v="2"/>
    <s v="Government expenditure on education, total (% of government expenditure)"/>
    <m/>
    <x v="10"/>
  </r>
  <r>
    <x v="3"/>
    <s v="Government expenditure on education, total (% of government expenditure)"/>
    <m/>
    <x v="10"/>
  </r>
  <r>
    <x v="4"/>
    <s v="Government expenditure on education, total (% of government expenditure)"/>
    <m/>
    <x v="10"/>
  </r>
  <r>
    <x v="5"/>
    <s v="Government expenditure on education, total (% of government expenditure)"/>
    <m/>
    <x v="10"/>
  </r>
  <r>
    <x v="6"/>
    <s v="Government expenditure on education, total (% of government expenditure)"/>
    <m/>
    <x v="10"/>
  </r>
  <r>
    <x v="7"/>
    <s v="Government expenditure on education, total (% of government expenditure)"/>
    <m/>
    <x v="10"/>
  </r>
  <r>
    <x v="8"/>
    <s v="Government expenditure on education, total (% of government expenditure)"/>
    <m/>
    <x v="10"/>
  </r>
  <r>
    <x v="9"/>
    <s v="Government expenditure on education, total (% of government expenditure)"/>
    <m/>
    <x v="10"/>
  </r>
  <r>
    <x v="10"/>
    <s v="Government expenditure on education, total (% of government expenditure)"/>
    <m/>
    <x v="10"/>
  </r>
  <r>
    <x v="11"/>
    <s v="Government expenditure on education, total (% of government expenditure)"/>
    <m/>
    <x v="10"/>
  </r>
  <r>
    <x v="12"/>
    <s v="Government expenditure on education, total (% of government expenditure)"/>
    <m/>
    <x v="10"/>
  </r>
  <r>
    <x v="13"/>
    <s v="Government expenditure on education, total (% of government expenditure)"/>
    <m/>
    <x v="10"/>
  </r>
  <r>
    <x v="14"/>
    <s v="Government expenditure on education, total (% of government expenditure)"/>
    <m/>
    <x v="10"/>
  </r>
  <r>
    <x v="15"/>
    <s v="Government expenditure on education, total (% of government expenditure)"/>
    <m/>
    <x v="10"/>
  </r>
  <r>
    <x v="16"/>
    <s v="Government expenditure on education, total (% of government expenditure)"/>
    <m/>
    <x v="10"/>
  </r>
  <r>
    <x v="17"/>
    <s v="Government expenditure on education, total (% of government expenditure)"/>
    <m/>
    <x v="10"/>
  </r>
  <r>
    <x v="18"/>
    <s v="Government expenditure on education, total (% of government expenditure)"/>
    <m/>
    <x v="10"/>
  </r>
  <r>
    <x v="19"/>
    <s v="Government expenditure on education, total (% of government expenditure)"/>
    <m/>
    <x v="10"/>
  </r>
  <r>
    <x v="20"/>
    <s v="Government expenditure on education, total (% of government expenditure)"/>
    <m/>
    <x v="10"/>
  </r>
  <r>
    <x v="21"/>
    <s v="Government expenditure on education, total (% of government expenditure)"/>
    <m/>
    <x v="10"/>
  </r>
  <r>
    <x v="22"/>
    <s v="Government expenditure on education, total (% of government expenditure)"/>
    <m/>
    <x v="10"/>
  </r>
  <r>
    <x v="23"/>
    <s v="Government expenditure on education, total (% of government expenditure)"/>
    <m/>
    <x v="10"/>
  </r>
  <r>
    <x v="24"/>
    <s v="Government expenditure on education, total (% of government expenditure)"/>
    <m/>
    <x v="10"/>
  </r>
  <r>
    <x v="25"/>
    <s v="Government expenditure on education, total (% of government expenditure)"/>
    <m/>
    <x v="10"/>
  </r>
  <r>
    <x v="26"/>
    <s v="Government expenditure on education, total (% of government expenditure)"/>
    <m/>
    <x v="10"/>
  </r>
  <r>
    <x v="27"/>
    <s v="Government expenditure on education, total (% of government expenditure)"/>
    <m/>
    <x v="10"/>
  </r>
  <r>
    <x v="0"/>
    <s v="Government expenditure on education, total (% of government expenditure)"/>
    <m/>
    <x v="11"/>
  </r>
  <r>
    <x v="1"/>
    <s v="Government expenditure on education, total (% of government expenditure)"/>
    <m/>
    <x v="11"/>
  </r>
  <r>
    <x v="2"/>
    <s v="Government expenditure on education, total (% of government expenditure)"/>
    <m/>
    <x v="11"/>
  </r>
  <r>
    <x v="3"/>
    <s v="Government expenditure on education, total (% of government expenditure)"/>
    <m/>
    <x v="11"/>
  </r>
  <r>
    <x v="4"/>
    <s v="Government expenditure on education, total (% of government expenditure)"/>
    <m/>
    <x v="11"/>
  </r>
  <r>
    <x v="5"/>
    <s v="Government expenditure on education, total (% of government expenditure)"/>
    <m/>
    <x v="11"/>
  </r>
  <r>
    <x v="6"/>
    <s v="Government expenditure on education, total (% of government expenditure)"/>
    <m/>
    <x v="11"/>
  </r>
  <r>
    <x v="7"/>
    <s v="Government expenditure on education, total (% of government expenditure)"/>
    <m/>
    <x v="11"/>
  </r>
  <r>
    <x v="8"/>
    <s v="Government expenditure on education, total (% of government expenditure)"/>
    <m/>
    <x v="11"/>
  </r>
  <r>
    <x v="9"/>
    <s v="Government expenditure on education, total (% of government expenditure)"/>
    <m/>
    <x v="11"/>
  </r>
  <r>
    <x v="10"/>
    <s v="Government expenditure on education, total (% of government expenditure)"/>
    <m/>
    <x v="11"/>
  </r>
  <r>
    <x v="11"/>
    <s v="Government expenditure on education, total (% of government expenditure)"/>
    <m/>
    <x v="11"/>
  </r>
  <r>
    <x v="12"/>
    <s v="Government expenditure on education, total (% of government expenditure)"/>
    <m/>
    <x v="11"/>
  </r>
  <r>
    <x v="13"/>
    <s v="Government expenditure on education, total (% of government expenditure)"/>
    <m/>
    <x v="11"/>
  </r>
  <r>
    <x v="14"/>
    <s v="Government expenditure on education, total (% of government expenditure)"/>
    <m/>
    <x v="11"/>
  </r>
  <r>
    <x v="15"/>
    <s v="Government expenditure on education, total (% of government expenditure)"/>
    <m/>
    <x v="11"/>
  </r>
  <r>
    <x v="16"/>
    <s v="Government expenditure on education, total (% of government expenditure)"/>
    <m/>
    <x v="11"/>
  </r>
  <r>
    <x v="17"/>
    <s v="Government expenditure on education, total (% of government expenditure)"/>
    <m/>
    <x v="11"/>
  </r>
  <r>
    <x v="18"/>
    <s v="Government expenditure on education, total (% of government expenditure)"/>
    <m/>
    <x v="11"/>
  </r>
  <r>
    <x v="19"/>
    <s v="Government expenditure on education, total (% of government expenditure)"/>
    <m/>
    <x v="11"/>
  </r>
  <r>
    <x v="20"/>
    <s v="Government expenditure on education, total (% of government expenditure)"/>
    <m/>
    <x v="11"/>
  </r>
  <r>
    <x v="21"/>
    <s v="Government expenditure on education, total (% of government expenditure)"/>
    <m/>
    <x v="11"/>
  </r>
  <r>
    <x v="22"/>
    <s v="Government expenditure on education, total (% of government expenditure)"/>
    <m/>
    <x v="11"/>
  </r>
  <r>
    <x v="23"/>
    <s v="Government expenditure on education, total (% of government expenditure)"/>
    <m/>
    <x v="11"/>
  </r>
  <r>
    <x v="24"/>
    <s v="Government expenditure on education, total (% of government expenditure)"/>
    <m/>
    <x v="11"/>
  </r>
  <r>
    <x v="25"/>
    <s v="Government expenditure on education, total (% of government expenditure)"/>
    <m/>
    <x v="11"/>
  </r>
  <r>
    <x v="26"/>
    <s v="Government expenditure on education, total (% of government expenditure)"/>
    <m/>
    <x v="11"/>
  </r>
  <r>
    <x v="27"/>
    <s v="Government expenditure on education, total (% of government expenditure)"/>
    <m/>
    <x v="11"/>
  </r>
  <r>
    <x v="0"/>
    <s v="Government expenditure on education, total (% of government expenditure)"/>
    <m/>
    <x v="12"/>
  </r>
  <r>
    <x v="1"/>
    <s v="Government expenditure on education, total (% of government expenditure)"/>
    <m/>
    <x v="12"/>
  </r>
  <r>
    <x v="2"/>
    <s v="Government expenditure on education, total (% of government expenditure)"/>
    <m/>
    <x v="12"/>
  </r>
  <r>
    <x v="3"/>
    <s v="Government expenditure on education, total (% of government expenditure)"/>
    <m/>
    <x v="12"/>
  </r>
  <r>
    <x v="4"/>
    <s v="Government expenditure on education, total (% of government expenditure)"/>
    <m/>
    <x v="12"/>
  </r>
  <r>
    <x v="5"/>
    <s v="Government expenditure on education, total (% of government expenditure)"/>
    <m/>
    <x v="12"/>
  </r>
  <r>
    <x v="6"/>
    <s v="Government expenditure on education, total (% of government expenditure)"/>
    <m/>
    <x v="12"/>
  </r>
  <r>
    <x v="7"/>
    <s v="Government expenditure on education, total (% of government expenditure)"/>
    <m/>
    <x v="12"/>
  </r>
  <r>
    <x v="8"/>
    <s v="Government expenditure on education, total (% of government expenditure)"/>
    <m/>
    <x v="12"/>
  </r>
  <r>
    <x v="9"/>
    <s v="Government expenditure on education, total (% of government expenditure)"/>
    <m/>
    <x v="12"/>
  </r>
  <r>
    <x v="10"/>
    <s v="Government expenditure on education, total (% of government expenditure)"/>
    <m/>
    <x v="12"/>
  </r>
  <r>
    <x v="11"/>
    <s v="Government expenditure on education, total (% of government expenditure)"/>
    <m/>
    <x v="12"/>
  </r>
  <r>
    <x v="12"/>
    <s v="Government expenditure on education, total (% of government expenditure)"/>
    <m/>
    <x v="12"/>
  </r>
  <r>
    <x v="13"/>
    <s v="Government expenditure on education, total (% of government expenditure)"/>
    <m/>
    <x v="12"/>
  </r>
  <r>
    <x v="14"/>
    <s v="Government expenditure on education, total (% of government expenditure)"/>
    <m/>
    <x v="12"/>
  </r>
  <r>
    <x v="15"/>
    <s v="Government expenditure on education, total (% of government expenditure)"/>
    <m/>
    <x v="12"/>
  </r>
  <r>
    <x v="16"/>
    <s v="Government expenditure on education, total (% of government expenditure)"/>
    <m/>
    <x v="12"/>
  </r>
  <r>
    <x v="17"/>
    <s v="Government expenditure on education, total (% of government expenditure)"/>
    <m/>
    <x v="12"/>
  </r>
  <r>
    <x v="18"/>
    <s v="Government expenditure on education, total (% of government expenditure)"/>
    <m/>
    <x v="12"/>
  </r>
  <r>
    <x v="19"/>
    <s v="Government expenditure on education, total (% of government expenditure)"/>
    <m/>
    <x v="12"/>
  </r>
  <r>
    <x v="20"/>
    <s v="Government expenditure on education, total (% of government expenditure)"/>
    <m/>
    <x v="12"/>
  </r>
  <r>
    <x v="21"/>
    <s v="Government expenditure on education, total (% of government expenditure)"/>
    <m/>
    <x v="12"/>
  </r>
  <r>
    <x v="22"/>
    <s v="Government expenditure on education, total (% of government expenditure)"/>
    <m/>
    <x v="12"/>
  </r>
  <r>
    <x v="23"/>
    <s v="Government expenditure on education, total (% of government expenditure)"/>
    <m/>
    <x v="12"/>
  </r>
  <r>
    <x v="24"/>
    <s v="Government expenditure on education, total (% of government expenditure)"/>
    <m/>
    <x v="12"/>
  </r>
  <r>
    <x v="25"/>
    <s v="Government expenditure on education, total (% of government expenditure)"/>
    <m/>
    <x v="12"/>
  </r>
  <r>
    <x v="26"/>
    <s v="Government expenditure on education, total (% of government expenditure)"/>
    <m/>
    <x v="12"/>
  </r>
  <r>
    <x v="27"/>
    <s v="Government expenditure on education, total (% of government expenditure)"/>
    <m/>
    <x v="12"/>
  </r>
  <r>
    <x v="0"/>
    <s v="Government expenditure on education, total (% of government expenditure)"/>
    <m/>
    <x v="13"/>
  </r>
  <r>
    <x v="1"/>
    <s v="Government expenditure on education, total (% of government expenditure)"/>
    <m/>
    <x v="13"/>
  </r>
  <r>
    <x v="2"/>
    <s v="Government expenditure on education, total (% of government expenditure)"/>
    <m/>
    <x v="13"/>
  </r>
  <r>
    <x v="3"/>
    <s v="Government expenditure on education, total (% of government expenditure)"/>
    <m/>
    <x v="13"/>
  </r>
  <r>
    <x v="4"/>
    <s v="Government expenditure on education, total (% of government expenditure)"/>
    <m/>
    <x v="13"/>
  </r>
  <r>
    <x v="5"/>
    <s v="Government expenditure on education, total (% of government expenditure)"/>
    <m/>
    <x v="13"/>
  </r>
  <r>
    <x v="6"/>
    <s v="Government expenditure on education, total (% of government expenditure)"/>
    <m/>
    <x v="13"/>
  </r>
  <r>
    <x v="7"/>
    <s v="Government expenditure on education, total (% of government expenditure)"/>
    <m/>
    <x v="13"/>
  </r>
  <r>
    <x v="8"/>
    <s v="Government expenditure on education, total (% of government expenditure)"/>
    <m/>
    <x v="13"/>
  </r>
  <r>
    <x v="9"/>
    <s v="Government expenditure on education, total (% of government expenditure)"/>
    <m/>
    <x v="13"/>
  </r>
  <r>
    <x v="10"/>
    <s v="Government expenditure on education, total (% of government expenditure)"/>
    <m/>
    <x v="13"/>
  </r>
  <r>
    <x v="11"/>
    <s v="Government expenditure on education, total (% of government expenditure)"/>
    <m/>
    <x v="13"/>
  </r>
  <r>
    <x v="12"/>
    <s v="Government expenditure on education, total (% of government expenditure)"/>
    <m/>
    <x v="13"/>
  </r>
  <r>
    <x v="13"/>
    <s v="Government expenditure on education, total (% of government expenditure)"/>
    <m/>
    <x v="13"/>
  </r>
  <r>
    <x v="14"/>
    <s v="Government expenditure on education, total (% of government expenditure)"/>
    <m/>
    <x v="13"/>
  </r>
  <r>
    <x v="15"/>
    <s v="Government expenditure on education, total (% of government expenditure)"/>
    <m/>
    <x v="13"/>
  </r>
  <r>
    <x v="16"/>
    <s v="Government expenditure on education, total (% of government expenditure)"/>
    <m/>
    <x v="13"/>
  </r>
  <r>
    <x v="17"/>
    <s v="Government expenditure on education, total (% of government expenditure)"/>
    <m/>
    <x v="13"/>
  </r>
  <r>
    <x v="18"/>
    <s v="Government expenditure on education, total (% of government expenditure)"/>
    <m/>
    <x v="13"/>
  </r>
  <r>
    <x v="19"/>
    <s v="Government expenditure on education, total (% of government expenditure)"/>
    <m/>
    <x v="13"/>
  </r>
  <r>
    <x v="20"/>
    <s v="Government expenditure on education, total (% of government expenditure)"/>
    <m/>
    <x v="13"/>
  </r>
  <r>
    <x v="21"/>
    <s v="Government expenditure on education, total (% of government expenditure)"/>
    <m/>
    <x v="13"/>
  </r>
  <r>
    <x v="22"/>
    <s v="Government expenditure on education, total (% of government expenditure)"/>
    <m/>
    <x v="13"/>
  </r>
  <r>
    <x v="23"/>
    <s v="Government expenditure on education, total (% of government expenditure)"/>
    <m/>
    <x v="13"/>
  </r>
  <r>
    <x v="24"/>
    <s v="Government expenditure on education, total (% of government expenditure)"/>
    <m/>
    <x v="13"/>
  </r>
  <r>
    <x v="25"/>
    <s v="Government expenditure on education, total (% of government expenditure)"/>
    <m/>
    <x v="13"/>
  </r>
  <r>
    <x v="26"/>
    <s v="Government expenditure on education, total (% of government expenditure)"/>
    <m/>
    <x v="13"/>
  </r>
  <r>
    <x v="27"/>
    <s v="Government expenditure on education, total (% of government expenditure)"/>
    <m/>
    <x v="13"/>
  </r>
  <r>
    <x v="0"/>
    <s v="Government expenditure on education, total (% of government expenditure)"/>
    <m/>
    <x v="14"/>
  </r>
  <r>
    <x v="1"/>
    <s v="Government expenditure on education, total (% of government expenditure)"/>
    <m/>
    <x v="14"/>
  </r>
  <r>
    <x v="2"/>
    <s v="Government expenditure on education, total (% of government expenditure)"/>
    <m/>
    <x v="14"/>
  </r>
  <r>
    <x v="3"/>
    <s v="Government expenditure on education, total (% of government expenditure)"/>
    <m/>
    <x v="14"/>
  </r>
  <r>
    <x v="4"/>
    <s v="Government expenditure on education, total (% of government expenditure)"/>
    <m/>
    <x v="14"/>
  </r>
  <r>
    <x v="5"/>
    <s v="Government expenditure on education, total (% of government expenditure)"/>
    <m/>
    <x v="14"/>
  </r>
  <r>
    <x v="6"/>
    <s v="Government expenditure on education, total (% of government expenditure)"/>
    <m/>
    <x v="14"/>
  </r>
  <r>
    <x v="7"/>
    <s v="Government expenditure on education, total (% of government expenditure)"/>
    <m/>
    <x v="14"/>
  </r>
  <r>
    <x v="8"/>
    <s v="Government expenditure on education, total (% of government expenditure)"/>
    <m/>
    <x v="14"/>
  </r>
  <r>
    <x v="9"/>
    <s v="Government expenditure on education, total (% of government expenditure)"/>
    <m/>
    <x v="14"/>
  </r>
  <r>
    <x v="10"/>
    <s v="Government expenditure on education, total (% of government expenditure)"/>
    <m/>
    <x v="14"/>
  </r>
  <r>
    <x v="11"/>
    <s v="Government expenditure on education, total (% of government expenditure)"/>
    <m/>
    <x v="14"/>
  </r>
  <r>
    <x v="12"/>
    <s v="Government expenditure on education, total (% of government expenditure)"/>
    <m/>
    <x v="14"/>
  </r>
  <r>
    <x v="13"/>
    <s v="Government expenditure on education, total (% of government expenditure)"/>
    <m/>
    <x v="14"/>
  </r>
  <r>
    <x v="14"/>
    <s v="Government expenditure on education, total (% of government expenditure)"/>
    <m/>
    <x v="14"/>
  </r>
  <r>
    <x v="15"/>
    <s v="Government expenditure on education, total (% of government expenditure)"/>
    <m/>
    <x v="14"/>
  </r>
  <r>
    <x v="16"/>
    <s v="Government expenditure on education, total (% of government expenditure)"/>
    <m/>
    <x v="14"/>
  </r>
  <r>
    <x v="17"/>
    <s v="Government expenditure on education, total (% of government expenditure)"/>
    <m/>
    <x v="14"/>
  </r>
  <r>
    <x v="18"/>
    <s v="Government expenditure on education, total (% of government expenditure)"/>
    <m/>
    <x v="14"/>
  </r>
  <r>
    <x v="19"/>
    <s v="Government expenditure on education, total (% of government expenditure)"/>
    <m/>
    <x v="14"/>
  </r>
  <r>
    <x v="20"/>
    <s v="Government expenditure on education, total (% of government expenditure)"/>
    <m/>
    <x v="14"/>
  </r>
  <r>
    <x v="21"/>
    <s v="Government expenditure on education, total (% of government expenditure)"/>
    <m/>
    <x v="14"/>
  </r>
  <r>
    <x v="22"/>
    <s v="Government expenditure on education, total (% of government expenditure)"/>
    <m/>
    <x v="14"/>
  </r>
  <r>
    <x v="23"/>
    <s v="Government expenditure on education, total (% of government expenditure)"/>
    <m/>
    <x v="14"/>
  </r>
  <r>
    <x v="24"/>
    <s v="Government expenditure on education, total (% of government expenditure)"/>
    <m/>
    <x v="14"/>
  </r>
  <r>
    <x v="25"/>
    <s v="Government expenditure on education, total (% of government expenditure)"/>
    <m/>
    <x v="14"/>
  </r>
  <r>
    <x v="26"/>
    <s v="Government expenditure on education, total (% of government expenditure)"/>
    <m/>
    <x v="14"/>
  </r>
  <r>
    <x v="27"/>
    <s v="Government expenditure on education, total (% of government expenditure)"/>
    <m/>
    <x v="14"/>
  </r>
  <r>
    <x v="0"/>
    <s v="Government expenditure on education, total (% of government expenditure)"/>
    <m/>
    <x v="15"/>
  </r>
  <r>
    <x v="1"/>
    <s v="Government expenditure on education, total (% of government expenditure)"/>
    <m/>
    <x v="15"/>
  </r>
  <r>
    <x v="2"/>
    <s v="Government expenditure on education, total (% of government expenditure)"/>
    <m/>
    <x v="15"/>
  </r>
  <r>
    <x v="3"/>
    <s v="Government expenditure on education, total (% of government expenditure)"/>
    <m/>
    <x v="15"/>
  </r>
  <r>
    <x v="4"/>
    <s v="Government expenditure on education, total (% of government expenditure)"/>
    <m/>
    <x v="15"/>
  </r>
  <r>
    <x v="5"/>
    <s v="Government expenditure on education, total (% of government expenditure)"/>
    <m/>
    <x v="15"/>
  </r>
  <r>
    <x v="6"/>
    <s v="Government expenditure on education, total (% of government expenditure)"/>
    <m/>
    <x v="15"/>
  </r>
  <r>
    <x v="7"/>
    <s v="Government expenditure on education, total (% of government expenditure)"/>
    <m/>
    <x v="15"/>
  </r>
  <r>
    <x v="8"/>
    <s v="Government expenditure on education, total (% of government expenditure)"/>
    <m/>
    <x v="15"/>
  </r>
  <r>
    <x v="9"/>
    <s v="Government expenditure on education, total (% of government expenditure)"/>
    <m/>
    <x v="15"/>
  </r>
  <r>
    <x v="10"/>
    <s v="Government expenditure on education, total (% of government expenditure)"/>
    <m/>
    <x v="15"/>
  </r>
  <r>
    <x v="11"/>
    <s v="Government expenditure on education, total (% of government expenditure)"/>
    <m/>
    <x v="15"/>
  </r>
  <r>
    <x v="12"/>
    <s v="Government expenditure on education, total (% of government expenditure)"/>
    <m/>
    <x v="15"/>
  </r>
  <r>
    <x v="13"/>
    <s v="Government expenditure on education, total (% of government expenditure)"/>
    <m/>
    <x v="15"/>
  </r>
  <r>
    <x v="14"/>
    <s v="Government expenditure on education, total (% of government expenditure)"/>
    <m/>
    <x v="15"/>
  </r>
  <r>
    <x v="15"/>
    <s v="Government expenditure on education, total (% of government expenditure)"/>
    <m/>
    <x v="15"/>
  </r>
  <r>
    <x v="16"/>
    <s v="Government expenditure on education, total (% of government expenditure)"/>
    <m/>
    <x v="15"/>
  </r>
  <r>
    <x v="17"/>
    <s v="Government expenditure on education, total (% of government expenditure)"/>
    <m/>
    <x v="15"/>
  </r>
  <r>
    <x v="18"/>
    <s v="Government expenditure on education, total (% of government expenditure)"/>
    <m/>
    <x v="15"/>
  </r>
  <r>
    <x v="19"/>
    <s v="Government expenditure on education, total (% of government expenditure)"/>
    <m/>
    <x v="15"/>
  </r>
  <r>
    <x v="20"/>
    <s v="Government expenditure on education, total (% of government expenditure)"/>
    <m/>
    <x v="15"/>
  </r>
  <r>
    <x v="21"/>
    <s v="Government expenditure on education, total (% of government expenditure)"/>
    <m/>
    <x v="15"/>
  </r>
  <r>
    <x v="22"/>
    <s v="Government expenditure on education, total (% of government expenditure)"/>
    <m/>
    <x v="15"/>
  </r>
  <r>
    <x v="23"/>
    <s v="Government expenditure on education, total (% of government expenditure)"/>
    <m/>
    <x v="15"/>
  </r>
  <r>
    <x v="24"/>
    <s v="Government expenditure on education, total (% of government expenditure)"/>
    <m/>
    <x v="15"/>
  </r>
  <r>
    <x v="25"/>
    <s v="Government expenditure on education, total (% of government expenditure)"/>
    <m/>
    <x v="15"/>
  </r>
  <r>
    <x v="26"/>
    <s v="Government expenditure on education, total (% of government expenditure)"/>
    <m/>
    <x v="15"/>
  </r>
  <r>
    <x v="27"/>
    <s v="Government expenditure on education, total (% of government expenditure)"/>
    <m/>
    <x v="15"/>
  </r>
  <r>
    <x v="0"/>
    <s v="Government expenditure on education, total (% of government expenditure)"/>
    <m/>
    <x v="16"/>
  </r>
  <r>
    <x v="1"/>
    <s v="Government expenditure on education, total (% of government expenditure)"/>
    <m/>
    <x v="16"/>
  </r>
  <r>
    <x v="2"/>
    <s v="Government expenditure on education, total (% of government expenditure)"/>
    <m/>
    <x v="16"/>
  </r>
  <r>
    <x v="3"/>
    <s v="Government expenditure on education, total (% of government expenditure)"/>
    <m/>
    <x v="16"/>
  </r>
  <r>
    <x v="4"/>
    <s v="Government expenditure on education, total (% of government expenditure)"/>
    <m/>
    <x v="16"/>
  </r>
  <r>
    <x v="5"/>
    <s v="Government expenditure on education, total (% of government expenditure)"/>
    <m/>
    <x v="16"/>
  </r>
  <r>
    <x v="6"/>
    <s v="Government expenditure on education, total (% of government expenditure)"/>
    <m/>
    <x v="16"/>
  </r>
  <r>
    <x v="7"/>
    <s v="Government expenditure on education, total (% of government expenditure)"/>
    <m/>
    <x v="16"/>
  </r>
  <r>
    <x v="8"/>
    <s v="Government expenditure on education, total (% of government expenditure)"/>
    <m/>
    <x v="16"/>
  </r>
  <r>
    <x v="9"/>
    <s v="Government expenditure on education, total (% of government expenditure)"/>
    <m/>
    <x v="16"/>
  </r>
  <r>
    <x v="10"/>
    <s v="Government expenditure on education, total (% of government expenditure)"/>
    <m/>
    <x v="16"/>
  </r>
  <r>
    <x v="11"/>
    <s v="Government expenditure on education, total (% of government expenditure)"/>
    <m/>
    <x v="16"/>
  </r>
  <r>
    <x v="12"/>
    <s v="Government expenditure on education, total (% of government expenditure)"/>
    <m/>
    <x v="16"/>
  </r>
  <r>
    <x v="13"/>
    <s v="Government expenditure on education, total (% of government expenditure)"/>
    <m/>
    <x v="16"/>
  </r>
  <r>
    <x v="14"/>
    <s v="Government expenditure on education, total (% of government expenditure)"/>
    <m/>
    <x v="16"/>
  </r>
  <r>
    <x v="15"/>
    <s v="Government expenditure on education, total (% of government expenditure)"/>
    <m/>
    <x v="16"/>
  </r>
  <r>
    <x v="16"/>
    <s v="Government expenditure on education, total (% of government expenditure)"/>
    <m/>
    <x v="16"/>
  </r>
  <r>
    <x v="17"/>
    <s v="Government expenditure on education, total (% of government expenditure)"/>
    <m/>
    <x v="16"/>
  </r>
  <r>
    <x v="18"/>
    <s v="Government expenditure on education, total (% of government expenditure)"/>
    <m/>
    <x v="16"/>
  </r>
  <r>
    <x v="19"/>
    <s v="Government expenditure on education, total (% of government expenditure)"/>
    <m/>
    <x v="16"/>
  </r>
  <r>
    <x v="20"/>
    <s v="Government expenditure on education, total (% of government expenditure)"/>
    <m/>
    <x v="16"/>
  </r>
  <r>
    <x v="21"/>
    <s v="Government expenditure on education, total (% of government expenditure)"/>
    <m/>
    <x v="16"/>
  </r>
  <r>
    <x v="22"/>
    <s v="Government expenditure on education, total (% of government expenditure)"/>
    <m/>
    <x v="16"/>
  </r>
  <r>
    <x v="23"/>
    <s v="Government expenditure on education, total (% of government expenditure)"/>
    <m/>
    <x v="16"/>
  </r>
  <r>
    <x v="24"/>
    <s v="Government expenditure on education, total (% of government expenditure)"/>
    <m/>
    <x v="16"/>
  </r>
  <r>
    <x v="25"/>
    <s v="Government expenditure on education, total (% of government expenditure)"/>
    <m/>
    <x v="16"/>
  </r>
  <r>
    <x v="26"/>
    <s v="Government expenditure on education, total (% of government expenditure)"/>
    <m/>
    <x v="16"/>
  </r>
  <r>
    <x v="27"/>
    <s v="Government expenditure on education, total (% of government expenditure)"/>
    <m/>
    <x v="16"/>
  </r>
  <r>
    <x v="0"/>
    <s v="Government expenditure on education, total (% of government expenditure)"/>
    <m/>
    <x v="17"/>
  </r>
  <r>
    <x v="1"/>
    <s v="Government expenditure on education, total (% of government expenditure)"/>
    <m/>
    <x v="17"/>
  </r>
  <r>
    <x v="2"/>
    <s v="Government expenditure on education, total (% of government expenditure)"/>
    <m/>
    <x v="17"/>
  </r>
  <r>
    <x v="3"/>
    <s v="Government expenditure on education, total (% of government expenditure)"/>
    <m/>
    <x v="17"/>
  </r>
  <r>
    <x v="4"/>
    <s v="Government expenditure on education, total (% of government expenditure)"/>
    <m/>
    <x v="17"/>
  </r>
  <r>
    <x v="5"/>
    <s v="Government expenditure on education, total (% of government expenditure)"/>
    <m/>
    <x v="17"/>
  </r>
  <r>
    <x v="6"/>
    <s v="Government expenditure on education, total (% of government expenditure)"/>
    <m/>
    <x v="17"/>
  </r>
  <r>
    <x v="7"/>
    <s v="Government expenditure on education, total (% of government expenditure)"/>
    <m/>
    <x v="17"/>
  </r>
  <r>
    <x v="8"/>
    <s v="Government expenditure on education, total (% of government expenditure)"/>
    <m/>
    <x v="17"/>
  </r>
  <r>
    <x v="9"/>
    <s v="Government expenditure on education, total (% of government expenditure)"/>
    <m/>
    <x v="17"/>
  </r>
  <r>
    <x v="10"/>
    <s v="Government expenditure on education, total (% of government expenditure)"/>
    <m/>
    <x v="17"/>
  </r>
  <r>
    <x v="11"/>
    <s v="Government expenditure on education, total (% of government expenditure)"/>
    <m/>
    <x v="17"/>
  </r>
  <r>
    <x v="12"/>
    <s v="Government expenditure on education, total (% of government expenditure)"/>
    <m/>
    <x v="17"/>
  </r>
  <r>
    <x v="13"/>
    <s v="Government expenditure on education, total (% of government expenditure)"/>
    <m/>
    <x v="17"/>
  </r>
  <r>
    <x v="14"/>
    <s v="Government expenditure on education, total (% of government expenditure)"/>
    <m/>
    <x v="17"/>
  </r>
  <r>
    <x v="15"/>
    <s v="Government expenditure on education, total (% of government expenditure)"/>
    <m/>
    <x v="17"/>
  </r>
  <r>
    <x v="16"/>
    <s v="Government expenditure on education, total (% of government expenditure)"/>
    <m/>
    <x v="17"/>
  </r>
  <r>
    <x v="17"/>
    <s v="Government expenditure on education, total (% of government expenditure)"/>
    <m/>
    <x v="17"/>
  </r>
  <r>
    <x v="18"/>
    <s v="Government expenditure on education, total (% of government expenditure)"/>
    <m/>
    <x v="17"/>
  </r>
  <r>
    <x v="19"/>
    <s v="Government expenditure on education, total (% of government expenditure)"/>
    <m/>
    <x v="17"/>
  </r>
  <r>
    <x v="20"/>
    <s v="Government expenditure on education, total (% of government expenditure)"/>
    <m/>
    <x v="17"/>
  </r>
  <r>
    <x v="21"/>
    <s v="Government expenditure on education, total (% of government expenditure)"/>
    <m/>
    <x v="17"/>
  </r>
  <r>
    <x v="22"/>
    <s v="Government expenditure on education, total (% of government expenditure)"/>
    <m/>
    <x v="17"/>
  </r>
  <r>
    <x v="23"/>
    <s v="Government expenditure on education, total (% of government expenditure)"/>
    <m/>
    <x v="17"/>
  </r>
  <r>
    <x v="24"/>
    <s v="Government expenditure on education, total (% of government expenditure)"/>
    <m/>
    <x v="17"/>
  </r>
  <r>
    <x v="25"/>
    <s v="Government expenditure on education, total (% of government expenditure)"/>
    <m/>
    <x v="17"/>
  </r>
  <r>
    <x v="26"/>
    <s v="Government expenditure on education, total (% of government expenditure)"/>
    <m/>
    <x v="17"/>
  </r>
  <r>
    <x v="27"/>
    <s v="Government expenditure on education, total (% of government expenditure)"/>
    <m/>
    <x v="17"/>
  </r>
  <r>
    <x v="0"/>
    <s v="Government expenditure on education, total (% of government expenditure)"/>
    <m/>
    <x v="18"/>
  </r>
  <r>
    <x v="1"/>
    <s v="Government expenditure on education, total (% of government expenditure)"/>
    <m/>
    <x v="18"/>
  </r>
  <r>
    <x v="2"/>
    <s v="Government expenditure on education, total (% of government expenditure)"/>
    <m/>
    <x v="18"/>
  </r>
  <r>
    <x v="3"/>
    <s v="Government expenditure on education, total (% of government expenditure)"/>
    <m/>
    <x v="18"/>
  </r>
  <r>
    <x v="4"/>
    <s v="Government expenditure on education, total (% of government expenditure)"/>
    <m/>
    <x v="18"/>
  </r>
  <r>
    <x v="5"/>
    <s v="Government expenditure on education, total (% of government expenditure)"/>
    <m/>
    <x v="18"/>
  </r>
  <r>
    <x v="6"/>
    <s v="Government expenditure on education, total (% of government expenditure)"/>
    <m/>
    <x v="18"/>
  </r>
  <r>
    <x v="7"/>
    <s v="Government expenditure on education, total (% of government expenditure)"/>
    <m/>
    <x v="18"/>
  </r>
  <r>
    <x v="8"/>
    <s v="Government expenditure on education, total (% of government expenditure)"/>
    <m/>
    <x v="18"/>
  </r>
  <r>
    <x v="9"/>
    <s v="Government expenditure on education, total (% of government expenditure)"/>
    <m/>
    <x v="18"/>
  </r>
  <r>
    <x v="10"/>
    <s v="Government expenditure on education, total (% of government expenditure)"/>
    <m/>
    <x v="18"/>
  </r>
  <r>
    <x v="11"/>
    <s v="Government expenditure on education, total (% of government expenditure)"/>
    <m/>
    <x v="18"/>
  </r>
  <r>
    <x v="12"/>
    <s v="Government expenditure on education, total (% of government expenditure)"/>
    <m/>
    <x v="18"/>
  </r>
  <r>
    <x v="13"/>
    <s v="Government expenditure on education, total (% of government expenditure)"/>
    <m/>
    <x v="18"/>
  </r>
  <r>
    <x v="14"/>
    <s v="Government expenditure on education, total (% of government expenditure)"/>
    <m/>
    <x v="18"/>
  </r>
  <r>
    <x v="15"/>
    <s v="Government expenditure on education, total (% of government expenditure)"/>
    <m/>
    <x v="18"/>
  </r>
  <r>
    <x v="16"/>
    <s v="Government expenditure on education, total (% of government expenditure)"/>
    <m/>
    <x v="18"/>
  </r>
  <r>
    <x v="17"/>
    <s v="Government expenditure on education, total (% of government expenditure)"/>
    <m/>
    <x v="18"/>
  </r>
  <r>
    <x v="18"/>
    <s v="Government expenditure on education, total (% of government expenditure)"/>
    <m/>
    <x v="18"/>
  </r>
  <r>
    <x v="19"/>
    <s v="Government expenditure on education, total (% of government expenditure)"/>
    <m/>
    <x v="18"/>
  </r>
  <r>
    <x v="20"/>
    <s v="Government expenditure on education, total (% of government expenditure)"/>
    <m/>
    <x v="18"/>
  </r>
  <r>
    <x v="21"/>
    <s v="Government expenditure on education, total (% of government expenditure)"/>
    <m/>
    <x v="18"/>
  </r>
  <r>
    <x v="22"/>
    <s v="Government expenditure on education, total (% of government expenditure)"/>
    <m/>
    <x v="18"/>
  </r>
  <r>
    <x v="23"/>
    <s v="Government expenditure on education, total (% of government expenditure)"/>
    <m/>
    <x v="18"/>
  </r>
  <r>
    <x v="24"/>
    <s v="Government expenditure on education, total (% of government expenditure)"/>
    <m/>
    <x v="18"/>
  </r>
  <r>
    <x v="25"/>
    <s v="Government expenditure on education, total (% of government expenditure)"/>
    <m/>
    <x v="18"/>
  </r>
  <r>
    <x v="26"/>
    <s v="Government expenditure on education, total (% of government expenditure)"/>
    <m/>
    <x v="18"/>
  </r>
  <r>
    <x v="27"/>
    <s v="Government expenditure on education, total (% of government expenditure)"/>
    <m/>
    <x v="18"/>
  </r>
  <r>
    <x v="0"/>
    <s v="Government expenditure on education, total (% of government expenditure)"/>
    <m/>
    <x v="19"/>
  </r>
  <r>
    <x v="1"/>
    <s v="Government expenditure on education, total (% of government expenditure)"/>
    <m/>
    <x v="19"/>
  </r>
  <r>
    <x v="2"/>
    <s v="Government expenditure on education, total (% of government expenditure)"/>
    <m/>
    <x v="19"/>
  </r>
  <r>
    <x v="3"/>
    <s v="Government expenditure on education, total (% of government expenditure)"/>
    <m/>
    <x v="19"/>
  </r>
  <r>
    <x v="4"/>
    <s v="Government expenditure on education, total (% of government expenditure)"/>
    <m/>
    <x v="19"/>
  </r>
  <r>
    <x v="5"/>
    <s v="Government expenditure on education, total (% of government expenditure)"/>
    <m/>
    <x v="19"/>
  </r>
  <r>
    <x v="6"/>
    <s v="Government expenditure on education, total (% of government expenditure)"/>
    <m/>
    <x v="19"/>
  </r>
  <r>
    <x v="7"/>
    <s v="Government expenditure on education, total (% of government expenditure)"/>
    <m/>
    <x v="19"/>
  </r>
  <r>
    <x v="8"/>
    <s v="Government expenditure on education, total (% of government expenditure)"/>
    <m/>
    <x v="19"/>
  </r>
  <r>
    <x v="9"/>
    <s v="Government expenditure on education, total (% of government expenditure)"/>
    <m/>
    <x v="19"/>
  </r>
  <r>
    <x v="10"/>
    <s v="Government expenditure on education, total (% of government expenditure)"/>
    <m/>
    <x v="19"/>
  </r>
  <r>
    <x v="11"/>
    <s v="Government expenditure on education, total (% of government expenditure)"/>
    <m/>
    <x v="19"/>
  </r>
  <r>
    <x v="12"/>
    <s v="Government expenditure on education, total (% of government expenditure)"/>
    <m/>
    <x v="19"/>
  </r>
  <r>
    <x v="13"/>
    <s v="Government expenditure on education, total (% of government expenditure)"/>
    <m/>
    <x v="19"/>
  </r>
  <r>
    <x v="14"/>
    <s v="Government expenditure on education, total (% of government expenditure)"/>
    <m/>
    <x v="19"/>
  </r>
  <r>
    <x v="15"/>
    <s v="Government expenditure on education, total (% of government expenditure)"/>
    <m/>
    <x v="19"/>
  </r>
  <r>
    <x v="16"/>
    <s v="Government expenditure on education, total (% of government expenditure)"/>
    <m/>
    <x v="19"/>
  </r>
  <r>
    <x v="17"/>
    <s v="Government expenditure on education, total (% of government expenditure)"/>
    <m/>
    <x v="19"/>
  </r>
  <r>
    <x v="18"/>
    <s v="Government expenditure on education, total (% of government expenditure)"/>
    <m/>
    <x v="19"/>
  </r>
  <r>
    <x v="19"/>
    <s v="Government expenditure on education, total (% of government expenditure)"/>
    <m/>
    <x v="19"/>
  </r>
  <r>
    <x v="20"/>
    <s v="Government expenditure on education, total (% of government expenditure)"/>
    <m/>
    <x v="19"/>
  </r>
  <r>
    <x v="21"/>
    <s v="Government expenditure on education, total (% of government expenditure)"/>
    <m/>
    <x v="19"/>
  </r>
  <r>
    <x v="22"/>
    <s v="Government expenditure on education, total (% of government expenditure)"/>
    <m/>
    <x v="19"/>
  </r>
  <r>
    <x v="23"/>
    <s v="Government expenditure on education, total (% of government expenditure)"/>
    <m/>
    <x v="19"/>
  </r>
  <r>
    <x v="24"/>
    <s v="Government expenditure on education, total (% of government expenditure)"/>
    <m/>
    <x v="19"/>
  </r>
  <r>
    <x v="25"/>
    <s v="Government expenditure on education, total (% of government expenditure)"/>
    <m/>
    <x v="19"/>
  </r>
  <r>
    <x v="26"/>
    <s v="Government expenditure on education, total (% of government expenditure)"/>
    <m/>
    <x v="19"/>
  </r>
  <r>
    <x v="27"/>
    <s v="Government expenditure on education, total (% of government expenditure)"/>
    <m/>
    <x v="19"/>
  </r>
  <r>
    <x v="0"/>
    <s v="Government expenditure on education, total (% of government expenditure)"/>
    <m/>
    <x v="20"/>
  </r>
  <r>
    <x v="1"/>
    <s v="Government expenditure on education, total (% of government expenditure)"/>
    <m/>
    <x v="20"/>
  </r>
  <r>
    <x v="2"/>
    <s v="Government expenditure on education, total (% of government expenditure)"/>
    <m/>
    <x v="20"/>
  </r>
  <r>
    <x v="3"/>
    <s v="Government expenditure on education, total (% of government expenditure)"/>
    <m/>
    <x v="20"/>
  </r>
  <r>
    <x v="4"/>
    <s v="Government expenditure on education, total (% of government expenditure)"/>
    <m/>
    <x v="20"/>
  </r>
  <r>
    <x v="5"/>
    <s v="Government expenditure on education, total (% of government expenditure)"/>
    <n v="12.3555402755737"/>
    <x v="20"/>
  </r>
  <r>
    <x v="6"/>
    <s v="Government expenditure on education, total (% of government expenditure)"/>
    <m/>
    <x v="20"/>
  </r>
  <r>
    <x v="7"/>
    <s v="Government expenditure on education, total (% of government expenditure)"/>
    <m/>
    <x v="20"/>
  </r>
  <r>
    <x v="8"/>
    <s v="Government expenditure on education, total (% of government expenditure)"/>
    <m/>
    <x v="20"/>
  </r>
  <r>
    <x v="9"/>
    <s v="Government expenditure on education, total (% of government expenditure)"/>
    <m/>
    <x v="20"/>
  </r>
  <r>
    <x v="10"/>
    <s v="Government expenditure on education, total (% of government expenditure)"/>
    <m/>
    <x v="20"/>
  </r>
  <r>
    <x v="11"/>
    <s v="Government expenditure on education, total (% of government expenditure)"/>
    <m/>
    <x v="20"/>
  </r>
  <r>
    <x v="12"/>
    <s v="Government expenditure on education, total (% of government expenditure)"/>
    <m/>
    <x v="20"/>
  </r>
  <r>
    <x v="13"/>
    <s v="Government expenditure on education, total (% of government expenditure)"/>
    <m/>
    <x v="20"/>
  </r>
  <r>
    <x v="14"/>
    <s v="Government expenditure on education, total (% of government expenditure)"/>
    <m/>
    <x v="20"/>
  </r>
  <r>
    <x v="15"/>
    <s v="Government expenditure on education, total (% of government expenditure)"/>
    <m/>
    <x v="20"/>
  </r>
  <r>
    <x v="16"/>
    <s v="Government expenditure on education, total (% of government expenditure)"/>
    <m/>
    <x v="20"/>
  </r>
  <r>
    <x v="17"/>
    <s v="Government expenditure on education, total (% of government expenditure)"/>
    <m/>
    <x v="20"/>
  </r>
  <r>
    <x v="18"/>
    <s v="Government expenditure on education, total (% of government expenditure)"/>
    <m/>
    <x v="20"/>
  </r>
  <r>
    <x v="19"/>
    <s v="Government expenditure on education, total (% of government expenditure)"/>
    <m/>
    <x v="20"/>
  </r>
  <r>
    <x v="20"/>
    <s v="Government expenditure on education, total (% of government expenditure)"/>
    <m/>
    <x v="20"/>
  </r>
  <r>
    <x v="21"/>
    <s v="Government expenditure on education, total (% of government expenditure)"/>
    <m/>
    <x v="20"/>
  </r>
  <r>
    <x v="22"/>
    <s v="Government expenditure on education, total (% of government expenditure)"/>
    <m/>
    <x v="20"/>
  </r>
  <r>
    <x v="23"/>
    <s v="Government expenditure on education, total (% of government expenditure)"/>
    <m/>
    <x v="20"/>
  </r>
  <r>
    <x v="24"/>
    <s v="Government expenditure on education, total (% of government expenditure)"/>
    <m/>
    <x v="20"/>
  </r>
  <r>
    <x v="25"/>
    <s v="Government expenditure on education, total (% of government expenditure)"/>
    <m/>
    <x v="20"/>
  </r>
  <r>
    <x v="26"/>
    <s v="Government expenditure on education, total (% of government expenditure)"/>
    <m/>
    <x v="20"/>
  </r>
  <r>
    <x v="27"/>
    <s v="Government expenditure on education, total (% of government expenditure)"/>
    <m/>
    <x v="20"/>
  </r>
  <r>
    <x v="0"/>
    <s v="Government expenditure on education, total (% of government expenditure)"/>
    <m/>
    <x v="21"/>
  </r>
  <r>
    <x v="1"/>
    <s v="Government expenditure on education, total (% of government expenditure)"/>
    <m/>
    <x v="21"/>
  </r>
  <r>
    <x v="2"/>
    <s v="Government expenditure on education, total (% of government expenditure)"/>
    <m/>
    <x v="21"/>
  </r>
  <r>
    <x v="3"/>
    <s v="Government expenditure on education, total (% of government expenditure)"/>
    <m/>
    <x v="21"/>
  </r>
  <r>
    <x v="4"/>
    <s v="Government expenditure on education, total (% of government expenditure)"/>
    <m/>
    <x v="21"/>
  </r>
  <r>
    <x v="5"/>
    <s v="Government expenditure on education, total (% of government expenditure)"/>
    <n v="12.4869899749756"/>
    <x v="21"/>
  </r>
  <r>
    <x v="6"/>
    <s v="Government expenditure on education, total (% of government expenditure)"/>
    <m/>
    <x v="21"/>
  </r>
  <r>
    <x v="7"/>
    <s v="Government expenditure on education, total (% of government expenditure)"/>
    <m/>
    <x v="21"/>
  </r>
  <r>
    <x v="8"/>
    <s v="Government expenditure on education, total (% of government expenditure)"/>
    <m/>
    <x v="21"/>
  </r>
  <r>
    <x v="9"/>
    <s v="Government expenditure on education, total (% of government expenditure)"/>
    <m/>
    <x v="21"/>
  </r>
  <r>
    <x v="10"/>
    <s v="Government expenditure on education, total (% of government expenditure)"/>
    <m/>
    <x v="21"/>
  </r>
  <r>
    <x v="11"/>
    <s v="Government expenditure on education, total (% of government expenditure)"/>
    <n v="14.899310111999499"/>
    <x v="21"/>
  </r>
  <r>
    <x v="12"/>
    <s v="Government expenditure on education, total (% of government expenditure)"/>
    <m/>
    <x v="21"/>
  </r>
  <r>
    <x v="13"/>
    <s v="Government expenditure on education, total (% of government expenditure)"/>
    <m/>
    <x v="21"/>
  </r>
  <r>
    <x v="14"/>
    <s v="Government expenditure on education, total (% of government expenditure)"/>
    <m/>
    <x v="21"/>
  </r>
  <r>
    <x v="15"/>
    <s v="Government expenditure on education, total (% of government expenditure)"/>
    <m/>
    <x v="21"/>
  </r>
  <r>
    <x v="16"/>
    <s v="Government expenditure on education, total (% of government expenditure)"/>
    <m/>
    <x v="21"/>
  </r>
  <r>
    <x v="17"/>
    <s v="Government expenditure on education, total (% of government expenditure)"/>
    <m/>
    <x v="21"/>
  </r>
  <r>
    <x v="18"/>
    <s v="Government expenditure on education, total (% of government expenditure)"/>
    <m/>
    <x v="21"/>
  </r>
  <r>
    <x v="19"/>
    <s v="Government expenditure on education, total (% of government expenditure)"/>
    <m/>
    <x v="21"/>
  </r>
  <r>
    <x v="20"/>
    <s v="Government expenditure on education, total (% of government expenditure)"/>
    <m/>
    <x v="21"/>
  </r>
  <r>
    <x v="21"/>
    <s v="Government expenditure on education, total (% of government expenditure)"/>
    <m/>
    <x v="21"/>
  </r>
  <r>
    <x v="22"/>
    <s v="Government expenditure on education, total (% of government expenditure)"/>
    <m/>
    <x v="21"/>
  </r>
  <r>
    <x v="23"/>
    <s v="Government expenditure on education, total (% of government expenditure)"/>
    <m/>
    <x v="21"/>
  </r>
  <r>
    <x v="24"/>
    <s v="Government expenditure on education, total (% of government expenditure)"/>
    <m/>
    <x v="21"/>
  </r>
  <r>
    <x v="25"/>
    <s v="Government expenditure on education, total (% of government expenditure)"/>
    <m/>
    <x v="21"/>
  </r>
  <r>
    <x v="26"/>
    <s v="Government expenditure on education, total (% of government expenditure)"/>
    <m/>
    <x v="21"/>
  </r>
  <r>
    <x v="27"/>
    <s v="Government expenditure on education, total (% of government expenditure)"/>
    <m/>
    <x v="21"/>
  </r>
  <r>
    <x v="0"/>
    <s v="Government expenditure on education, total (% of government expenditure)"/>
    <m/>
    <x v="22"/>
  </r>
  <r>
    <x v="1"/>
    <s v="Government expenditure on education, total (% of government expenditure)"/>
    <m/>
    <x v="22"/>
  </r>
  <r>
    <x v="2"/>
    <s v="Government expenditure on education, total (% of government expenditure)"/>
    <m/>
    <x v="22"/>
  </r>
  <r>
    <x v="3"/>
    <s v="Government expenditure on education, total (% of government expenditure)"/>
    <m/>
    <x v="22"/>
  </r>
  <r>
    <x v="4"/>
    <s v="Government expenditure on education, total (% of government expenditure)"/>
    <m/>
    <x v="22"/>
  </r>
  <r>
    <x v="5"/>
    <s v="Government expenditure on education, total (% of government expenditure)"/>
    <n v="12.178170204162599"/>
    <x v="22"/>
  </r>
  <r>
    <x v="6"/>
    <s v="Government expenditure on education, total (% of government expenditure)"/>
    <m/>
    <x v="22"/>
  </r>
  <r>
    <x v="7"/>
    <s v="Government expenditure on education, total (% of government expenditure)"/>
    <m/>
    <x v="22"/>
  </r>
  <r>
    <x v="8"/>
    <s v="Government expenditure on education, total (% of government expenditure)"/>
    <n v="16.210960388183601"/>
    <x v="22"/>
  </r>
  <r>
    <x v="9"/>
    <s v="Government expenditure on education, total (% of government expenditure)"/>
    <m/>
    <x v="22"/>
  </r>
  <r>
    <x v="10"/>
    <s v="Government expenditure on education, total (% of government expenditure)"/>
    <m/>
    <x v="22"/>
  </r>
  <r>
    <x v="11"/>
    <s v="Government expenditure on education, total (% of government expenditure)"/>
    <n v="16.5352897644043"/>
    <x v="22"/>
  </r>
  <r>
    <x v="12"/>
    <s v="Government expenditure on education, total (% of government expenditure)"/>
    <m/>
    <x v="22"/>
  </r>
  <r>
    <x v="13"/>
    <s v="Government expenditure on education, total (% of government expenditure)"/>
    <m/>
    <x v="22"/>
  </r>
  <r>
    <x v="14"/>
    <s v="Government expenditure on education, total (% of government expenditure)"/>
    <m/>
    <x v="22"/>
  </r>
  <r>
    <x v="15"/>
    <s v="Government expenditure on education, total (% of government expenditure)"/>
    <m/>
    <x v="22"/>
  </r>
  <r>
    <x v="16"/>
    <s v="Government expenditure on education, total (% of government expenditure)"/>
    <m/>
    <x v="22"/>
  </r>
  <r>
    <x v="17"/>
    <s v="Government expenditure on education, total (% of government expenditure)"/>
    <m/>
    <x v="22"/>
  </r>
  <r>
    <x v="18"/>
    <s v="Government expenditure on education, total (% of government expenditure)"/>
    <n v="0"/>
    <x v="22"/>
  </r>
  <r>
    <x v="19"/>
    <s v="Government expenditure on education, total (% of government expenditure)"/>
    <m/>
    <x v="22"/>
  </r>
  <r>
    <x v="20"/>
    <s v="Government expenditure on education, total (% of government expenditure)"/>
    <m/>
    <x v="22"/>
  </r>
  <r>
    <x v="21"/>
    <s v="Government expenditure on education, total (% of government expenditure)"/>
    <m/>
    <x v="22"/>
  </r>
  <r>
    <x v="22"/>
    <s v="Government expenditure on education, total (% of government expenditure)"/>
    <m/>
    <x v="22"/>
  </r>
  <r>
    <x v="23"/>
    <s v="Government expenditure on education, total (% of government expenditure)"/>
    <m/>
    <x v="22"/>
  </r>
  <r>
    <x v="24"/>
    <s v="Government expenditure on education, total (% of government expenditure)"/>
    <m/>
    <x v="22"/>
  </r>
  <r>
    <x v="25"/>
    <s v="Government expenditure on education, total (% of government expenditure)"/>
    <m/>
    <x v="22"/>
  </r>
  <r>
    <x v="26"/>
    <s v="Government expenditure on education, total (% of government expenditure)"/>
    <m/>
    <x v="22"/>
  </r>
  <r>
    <x v="27"/>
    <s v="Government expenditure on education, total (% of government expenditure)"/>
    <m/>
    <x v="22"/>
  </r>
  <r>
    <x v="0"/>
    <s v="Government expenditure on education, total (% of government expenditure)"/>
    <m/>
    <x v="23"/>
  </r>
  <r>
    <x v="1"/>
    <s v="Government expenditure on education, total (% of government expenditure)"/>
    <m/>
    <x v="23"/>
  </r>
  <r>
    <x v="2"/>
    <s v="Government expenditure on education, total (% of government expenditure)"/>
    <m/>
    <x v="23"/>
  </r>
  <r>
    <x v="3"/>
    <s v="Government expenditure on education, total (% of government expenditure)"/>
    <m/>
    <x v="23"/>
  </r>
  <r>
    <x v="4"/>
    <s v="Government expenditure on education, total (% of government expenditure)"/>
    <m/>
    <x v="23"/>
  </r>
  <r>
    <x v="5"/>
    <s v="Government expenditure on education, total (% of government expenditure)"/>
    <n v="9.7013196945190394"/>
    <x v="23"/>
  </r>
  <r>
    <x v="6"/>
    <s v="Government expenditure on education, total (% of government expenditure)"/>
    <m/>
    <x v="23"/>
  </r>
  <r>
    <x v="7"/>
    <s v="Government expenditure on education, total (% of government expenditure)"/>
    <m/>
    <x v="23"/>
  </r>
  <r>
    <x v="8"/>
    <s v="Government expenditure on education, total (% of government expenditure)"/>
    <n v="17.262159347534201"/>
    <x v="23"/>
  </r>
  <r>
    <x v="9"/>
    <s v="Government expenditure on education, total (% of government expenditure)"/>
    <m/>
    <x v="23"/>
  </r>
  <r>
    <x v="10"/>
    <s v="Government expenditure on education, total (% of government expenditure)"/>
    <m/>
    <x v="23"/>
  </r>
  <r>
    <x v="11"/>
    <s v="Government expenditure on education, total (% of government expenditure)"/>
    <n v="16.7896404266357"/>
    <x v="23"/>
  </r>
  <r>
    <x v="12"/>
    <s v="Government expenditure on education, total (% of government expenditure)"/>
    <m/>
    <x v="23"/>
  </r>
  <r>
    <x v="13"/>
    <s v="Government expenditure on education, total (% of government expenditure)"/>
    <m/>
    <x v="23"/>
  </r>
  <r>
    <x v="14"/>
    <s v="Government expenditure on education, total (% of government expenditure)"/>
    <m/>
    <x v="23"/>
  </r>
  <r>
    <x v="15"/>
    <s v="Government expenditure on education, total (% of government expenditure)"/>
    <m/>
    <x v="23"/>
  </r>
  <r>
    <x v="16"/>
    <s v="Government expenditure on education, total (% of government expenditure)"/>
    <m/>
    <x v="23"/>
  </r>
  <r>
    <x v="17"/>
    <s v="Government expenditure on education, total (% of government expenditure)"/>
    <m/>
    <x v="23"/>
  </r>
  <r>
    <x v="18"/>
    <s v="Government expenditure on education, total (% of government expenditure)"/>
    <m/>
    <x v="23"/>
  </r>
  <r>
    <x v="19"/>
    <s v="Government expenditure on education, total (% of government expenditure)"/>
    <m/>
    <x v="23"/>
  </r>
  <r>
    <x v="20"/>
    <s v="Government expenditure on education, total (% of government expenditure)"/>
    <m/>
    <x v="23"/>
  </r>
  <r>
    <x v="21"/>
    <s v="Government expenditure on education, total (% of government expenditure)"/>
    <m/>
    <x v="23"/>
  </r>
  <r>
    <x v="22"/>
    <s v="Government expenditure on education, total (% of government expenditure)"/>
    <m/>
    <x v="23"/>
  </r>
  <r>
    <x v="23"/>
    <s v="Government expenditure on education, total (% of government expenditure)"/>
    <m/>
    <x v="23"/>
  </r>
  <r>
    <x v="24"/>
    <s v="Government expenditure on education, total (% of government expenditure)"/>
    <m/>
    <x v="23"/>
  </r>
  <r>
    <x v="25"/>
    <s v="Government expenditure on education, total (% of government expenditure)"/>
    <m/>
    <x v="23"/>
  </r>
  <r>
    <x v="26"/>
    <s v="Government expenditure on education, total (% of government expenditure)"/>
    <m/>
    <x v="23"/>
  </r>
  <r>
    <x v="27"/>
    <s v="Government expenditure on education, total (% of government expenditure)"/>
    <m/>
    <x v="23"/>
  </r>
  <r>
    <x v="0"/>
    <s v="Government expenditure on education, total (% of government expenditure)"/>
    <m/>
    <x v="24"/>
  </r>
  <r>
    <x v="1"/>
    <s v="Government expenditure on education, total (% of government expenditure)"/>
    <m/>
    <x v="24"/>
  </r>
  <r>
    <x v="2"/>
    <s v="Government expenditure on education, total (% of government expenditure)"/>
    <m/>
    <x v="24"/>
  </r>
  <r>
    <x v="3"/>
    <s v="Government expenditure on education, total (% of government expenditure)"/>
    <m/>
    <x v="24"/>
  </r>
  <r>
    <x v="4"/>
    <s v="Government expenditure on education, total (% of government expenditure)"/>
    <m/>
    <x v="24"/>
  </r>
  <r>
    <x v="5"/>
    <s v="Government expenditure on education, total (% of government expenditure)"/>
    <n v="11.8201303482056"/>
    <x v="24"/>
  </r>
  <r>
    <x v="6"/>
    <s v="Government expenditure on education, total (% of government expenditure)"/>
    <m/>
    <x v="24"/>
  </r>
  <r>
    <x v="7"/>
    <s v="Government expenditure on education, total (% of government expenditure)"/>
    <m/>
    <x v="24"/>
  </r>
  <r>
    <x v="8"/>
    <s v="Government expenditure on education, total (% of government expenditure)"/>
    <n v="14.4205102920532"/>
    <x v="24"/>
  </r>
  <r>
    <x v="9"/>
    <s v="Government expenditure on education, total (% of government expenditure)"/>
    <m/>
    <x v="24"/>
  </r>
  <r>
    <x v="10"/>
    <s v="Government expenditure on education, total (% of government expenditure)"/>
    <m/>
    <x v="24"/>
  </r>
  <r>
    <x v="11"/>
    <s v="Government expenditure on education, total (% of government expenditure)"/>
    <n v="18.323890686035199"/>
    <x v="24"/>
  </r>
  <r>
    <x v="12"/>
    <s v="Government expenditure on education, total (% of government expenditure)"/>
    <m/>
    <x v="24"/>
  </r>
  <r>
    <x v="13"/>
    <s v="Government expenditure on education, total (% of government expenditure)"/>
    <m/>
    <x v="24"/>
  </r>
  <r>
    <x v="14"/>
    <s v="Government expenditure on education, total (% of government expenditure)"/>
    <m/>
    <x v="24"/>
  </r>
  <r>
    <x v="15"/>
    <s v="Government expenditure on education, total (% of government expenditure)"/>
    <m/>
    <x v="24"/>
  </r>
  <r>
    <x v="16"/>
    <s v="Government expenditure on education, total (% of government expenditure)"/>
    <m/>
    <x v="24"/>
  </r>
  <r>
    <x v="17"/>
    <s v="Government expenditure on education, total (% of government expenditure)"/>
    <m/>
    <x v="24"/>
  </r>
  <r>
    <x v="18"/>
    <s v="Government expenditure on education, total (% of government expenditure)"/>
    <n v="0"/>
    <x v="24"/>
  </r>
  <r>
    <x v="19"/>
    <s v="Government expenditure on education, total (% of government expenditure)"/>
    <m/>
    <x v="24"/>
  </r>
  <r>
    <x v="20"/>
    <s v="Government expenditure on education, total (% of government expenditure)"/>
    <m/>
    <x v="24"/>
  </r>
  <r>
    <x v="21"/>
    <s v="Government expenditure on education, total (% of government expenditure)"/>
    <m/>
    <x v="24"/>
  </r>
  <r>
    <x v="22"/>
    <s v="Government expenditure on education, total (% of government expenditure)"/>
    <m/>
    <x v="24"/>
  </r>
  <r>
    <x v="23"/>
    <s v="Government expenditure on education, total (% of government expenditure)"/>
    <m/>
    <x v="24"/>
  </r>
  <r>
    <x v="24"/>
    <s v="Government expenditure on education, total (% of government expenditure)"/>
    <m/>
    <x v="24"/>
  </r>
  <r>
    <x v="25"/>
    <s v="Government expenditure on education, total (% of government expenditure)"/>
    <m/>
    <x v="24"/>
  </r>
  <r>
    <x v="26"/>
    <s v="Government expenditure on education, total (% of government expenditure)"/>
    <m/>
    <x v="24"/>
  </r>
  <r>
    <x v="27"/>
    <s v="Government expenditure on education, total (% of government expenditure)"/>
    <m/>
    <x v="24"/>
  </r>
  <r>
    <x v="0"/>
    <s v="Government expenditure on education, total (% of government expenditure)"/>
    <m/>
    <x v="25"/>
  </r>
  <r>
    <x v="1"/>
    <s v="Government expenditure on education, total (% of government expenditure)"/>
    <m/>
    <x v="25"/>
  </r>
  <r>
    <x v="2"/>
    <s v="Government expenditure on education, total (% of government expenditure)"/>
    <m/>
    <x v="25"/>
  </r>
  <r>
    <x v="3"/>
    <s v="Government expenditure on education, total (% of government expenditure)"/>
    <m/>
    <x v="25"/>
  </r>
  <r>
    <x v="4"/>
    <s v="Government expenditure on education, total (% of government expenditure)"/>
    <m/>
    <x v="25"/>
  </r>
  <r>
    <x v="5"/>
    <s v="Government expenditure on education, total (% of government expenditure)"/>
    <n v="10.0891304016113"/>
    <x v="25"/>
  </r>
  <r>
    <x v="6"/>
    <s v="Government expenditure on education, total (% of government expenditure)"/>
    <m/>
    <x v="25"/>
  </r>
  <r>
    <x v="7"/>
    <s v="Government expenditure on education, total (% of government expenditure)"/>
    <m/>
    <x v="25"/>
  </r>
  <r>
    <x v="8"/>
    <s v="Government expenditure on education, total (% of government expenditure)"/>
    <n v="15.4351100921631"/>
    <x v="25"/>
  </r>
  <r>
    <x v="9"/>
    <s v="Government expenditure on education, total (% of government expenditure)"/>
    <m/>
    <x v="25"/>
  </r>
  <r>
    <x v="10"/>
    <s v="Government expenditure on education, total (% of government expenditure)"/>
    <m/>
    <x v="25"/>
  </r>
  <r>
    <x v="11"/>
    <s v="Government expenditure on education, total (% of government expenditure)"/>
    <n v="16.620180130004901"/>
    <x v="25"/>
  </r>
  <r>
    <x v="12"/>
    <s v="Government expenditure on education, total (% of government expenditure)"/>
    <m/>
    <x v="25"/>
  </r>
  <r>
    <x v="13"/>
    <s v="Government expenditure on education, total (% of government expenditure)"/>
    <m/>
    <x v="25"/>
  </r>
  <r>
    <x v="14"/>
    <s v="Government expenditure on education, total (% of government expenditure)"/>
    <m/>
    <x v="25"/>
  </r>
  <r>
    <x v="15"/>
    <s v="Government expenditure on education, total (% of government expenditure)"/>
    <m/>
    <x v="25"/>
  </r>
  <r>
    <x v="16"/>
    <s v="Government expenditure on education, total (% of government expenditure)"/>
    <m/>
    <x v="25"/>
  </r>
  <r>
    <x v="17"/>
    <s v="Government expenditure on education, total (% of government expenditure)"/>
    <m/>
    <x v="25"/>
  </r>
  <r>
    <x v="18"/>
    <s v="Government expenditure on education, total (% of government expenditure)"/>
    <m/>
    <x v="25"/>
  </r>
  <r>
    <x v="19"/>
    <s v="Government expenditure on education, total (% of government expenditure)"/>
    <m/>
    <x v="25"/>
  </r>
  <r>
    <x v="20"/>
    <s v="Government expenditure on education, total (% of government expenditure)"/>
    <m/>
    <x v="25"/>
  </r>
  <r>
    <x v="21"/>
    <s v="Government expenditure on education, total (% of government expenditure)"/>
    <m/>
    <x v="25"/>
  </r>
  <r>
    <x v="22"/>
    <s v="Government expenditure on education, total (% of government expenditure)"/>
    <m/>
    <x v="25"/>
  </r>
  <r>
    <x v="23"/>
    <s v="Government expenditure on education, total (% of government expenditure)"/>
    <m/>
    <x v="25"/>
  </r>
  <r>
    <x v="24"/>
    <s v="Government expenditure on education, total (% of government expenditure)"/>
    <m/>
    <x v="25"/>
  </r>
  <r>
    <x v="25"/>
    <s v="Government expenditure on education, total (% of government expenditure)"/>
    <m/>
    <x v="25"/>
  </r>
  <r>
    <x v="26"/>
    <s v="Government expenditure on education, total (% of government expenditure)"/>
    <m/>
    <x v="25"/>
  </r>
  <r>
    <x v="27"/>
    <s v="Government expenditure on education, total (% of government expenditure)"/>
    <m/>
    <x v="25"/>
  </r>
  <r>
    <x v="0"/>
    <s v="Government expenditure on education, total (% of government expenditure)"/>
    <m/>
    <x v="26"/>
  </r>
  <r>
    <x v="1"/>
    <s v="Government expenditure on education, total (% of government expenditure)"/>
    <m/>
    <x v="26"/>
  </r>
  <r>
    <x v="2"/>
    <s v="Government expenditure on education, total (% of government expenditure)"/>
    <m/>
    <x v="26"/>
  </r>
  <r>
    <x v="3"/>
    <s v="Government expenditure on education, total (% of government expenditure)"/>
    <m/>
    <x v="26"/>
  </r>
  <r>
    <x v="4"/>
    <s v="Government expenditure on education, total (% of government expenditure)"/>
    <m/>
    <x v="26"/>
  </r>
  <r>
    <x v="5"/>
    <s v="Government expenditure on education, total (% of government expenditure)"/>
    <n v="10.321749687194799"/>
    <x v="26"/>
  </r>
  <r>
    <x v="6"/>
    <s v="Government expenditure on education, total (% of government expenditure)"/>
    <m/>
    <x v="26"/>
  </r>
  <r>
    <x v="7"/>
    <s v="Government expenditure on education, total (% of government expenditure)"/>
    <m/>
    <x v="26"/>
  </r>
  <r>
    <x v="8"/>
    <s v="Government expenditure on education, total (% of government expenditure)"/>
    <n v="17.523990631103501"/>
    <x v="26"/>
  </r>
  <r>
    <x v="9"/>
    <s v="Government expenditure on education, total (% of government expenditure)"/>
    <m/>
    <x v="26"/>
  </r>
  <r>
    <x v="10"/>
    <s v="Government expenditure on education, total (% of government expenditure)"/>
    <m/>
    <x v="26"/>
  </r>
  <r>
    <x v="11"/>
    <s v="Government expenditure on education, total (% of government expenditure)"/>
    <m/>
    <x v="26"/>
  </r>
  <r>
    <x v="12"/>
    <s v="Government expenditure on education, total (% of government expenditure)"/>
    <m/>
    <x v="26"/>
  </r>
  <r>
    <x v="13"/>
    <s v="Government expenditure on education, total (% of government expenditure)"/>
    <m/>
    <x v="26"/>
  </r>
  <r>
    <x v="14"/>
    <s v="Government expenditure on education, total (% of government expenditure)"/>
    <m/>
    <x v="26"/>
  </r>
  <r>
    <x v="15"/>
    <s v="Government expenditure on education, total (% of government expenditure)"/>
    <m/>
    <x v="26"/>
  </r>
  <r>
    <x v="16"/>
    <s v="Government expenditure on education, total (% of government expenditure)"/>
    <m/>
    <x v="26"/>
  </r>
  <r>
    <x v="17"/>
    <s v="Government expenditure on education, total (% of government expenditure)"/>
    <m/>
    <x v="26"/>
  </r>
  <r>
    <x v="18"/>
    <s v="Government expenditure on education, total (% of government expenditure)"/>
    <m/>
    <x v="26"/>
  </r>
  <r>
    <x v="19"/>
    <s v="Government expenditure on education, total (% of government expenditure)"/>
    <m/>
    <x v="26"/>
  </r>
  <r>
    <x v="20"/>
    <s v="Government expenditure on education, total (% of government expenditure)"/>
    <m/>
    <x v="26"/>
  </r>
  <r>
    <x v="21"/>
    <s v="Government expenditure on education, total (% of government expenditure)"/>
    <m/>
    <x v="26"/>
  </r>
  <r>
    <x v="22"/>
    <s v="Government expenditure on education, total (% of government expenditure)"/>
    <m/>
    <x v="26"/>
  </r>
  <r>
    <x v="23"/>
    <s v="Government expenditure on education, total (% of government expenditure)"/>
    <m/>
    <x v="26"/>
  </r>
  <r>
    <x v="24"/>
    <s v="Government expenditure on education, total (% of government expenditure)"/>
    <m/>
    <x v="26"/>
  </r>
  <r>
    <x v="25"/>
    <s v="Government expenditure on education, total (% of government expenditure)"/>
    <m/>
    <x v="26"/>
  </r>
  <r>
    <x v="26"/>
    <s v="Government expenditure on education, total (% of government expenditure)"/>
    <m/>
    <x v="26"/>
  </r>
  <r>
    <x v="27"/>
    <s v="Government expenditure on education, total (% of government expenditure)"/>
    <m/>
    <x v="26"/>
  </r>
  <r>
    <x v="0"/>
    <s v="Government expenditure on education, total (% of government expenditure)"/>
    <m/>
    <x v="27"/>
  </r>
  <r>
    <x v="1"/>
    <s v="Government expenditure on education, total (% of government expenditure)"/>
    <m/>
    <x v="27"/>
  </r>
  <r>
    <x v="2"/>
    <s v="Government expenditure on education, total (% of government expenditure)"/>
    <m/>
    <x v="27"/>
  </r>
  <r>
    <x v="3"/>
    <s v="Government expenditure on education, total (% of government expenditure)"/>
    <m/>
    <x v="27"/>
  </r>
  <r>
    <x v="4"/>
    <s v="Government expenditure on education, total (% of government expenditure)"/>
    <m/>
    <x v="27"/>
  </r>
  <r>
    <x v="5"/>
    <s v="Government expenditure on education, total (% of government expenditure)"/>
    <m/>
    <x v="27"/>
  </r>
  <r>
    <x v="6"/>
    <s v="Government expenditure on education, total (% of government expenditure)"/>
    <m/>
    <x v="27"/>
  </r>
  <r>
    <x v="7"/>
    <s v="Government expenditure on education, total (% of government expenditure)"/>
    <m/>
    <x v="27"/>
  </r>
  <r>
    <x v="8"/>
    <s v="Government expenditure on education, total (% of government expenditure)"/>
    <m/>
    <x v="27"/>
  </r>
  <r>
    <x v="9"/>
    <s v="Government expenditure on education, total (% of government expenditure)"/>
    <m/>
    <x v="27"/>
  </r>
  <r>
    <x v="10"/>
    <s v="Government expenditure on education, total (% of government expenditure)"/>
    <m/>
    <x v="27"/>
  </r>
  <r>
    <x v="11"/>
    <s v="Government expenditure on education, total (% of government expenditure)"/>
    <m/>
    <x v="27"/>
  </r>
  <r>
    <x v="12"/>
    <s v="Government expenditure on education, total (% of government expenditure)"/>
    <m/>
    <x v="27"/>
  </r>
  <r>
    <x v="13"/>
    <s v="Government expenditure on education, total (% of government expenditure)"/>
    <m/>
    <x v="27"/>
  </r>
  <r>
    <x v="14"/>
    <s v="Government expenditure on education, total (% of government expenditure)"/>
    <m/>
    <x v="27"/>
  </r>
  <r>
    <x v="15"/>
    <s v="Government expenditure on education, total (% of government expenditure)"/>
    <m/>
    <x v="27"/>
  </r>
  <r>
    <x v="16"/>
    <s v="Government expenditure on education, total (% of government expenditure)"/>
    <m/>
    <x v="27"/>
  </r>
  <r>
    <x v="17"/>
    <s v="Government expenditure on education, total (% of government expenditure)"/>
    <m/>
    <x v="27"/>
  </r>
  <r>
    <x v="18"/>
    <s v="Government expenditure on education, total (% of government expenditure)"/>
    <n v="0"/>
    <x v="27"/>
  </r>
  <r>
    <x v="19"/>
    <s v="Government expenditure on education, total (% of government expenditure)"/>
    <m/>
    <x v="27"/>
  </r>
  <r>
    <x v="20"/>
    <s v="Government expenditure on education, total (% of government expenditure)"/>
    <m/>
    <x v="27"/>
  </r>
  <r>
    <x v="21"/>
    <s v="Government expenditure on education, total (% of government expenditure)"/>
    <m/>
    <x v="27"/>
  </r>
  <r>
    <x v="22"/>
    <s v="Government expenditure on education, total (% of government expenditure)"/>
    <m/>
    <x v="27"/>
  </r>
  <r>
    <x v="23"/>
    <s v="Government expenditure on education, total (% of government expenditure)"/>
    <m/>
    <x v="27"/>
  </r>
  <r>
    <x v="24"/>
    <s v="Government expenditure on education, total (% of government expenditure)"/>
    <m/>
    <x v="27"/>
  </r>
  <r>
    <x v="25"/>
    <s v="Government expenditure on education, total (% of government expenditure)"/>
    <m/>
    <x v="27"/>
  </r>
  <r>
    <x v="26"/>
    <s v="Government expenditure on education, total (% of government expenditure)"/>
    <m/>
    <x v="27"/>
  </r>
  <r>
    <x v="27"/>
    <s v="Government expenditure on education, total (% of government expenditure)"/>
    <m/>
    <x v="27"/>
  </r>
  <r>
    <x v="0"/>
    <s v="Government expenditure on education, total (% of government expenditure)"/>
    <m/>
    <x v="28"/>
  </r>
  <r>
    <x v="1"/>
    <s v="Government expenditure on education, total (% of government expenditure)"/>
    <m/>
    <x v="28"/>
  </r>
  <r>
    <x v="2"/>
    <s v="Government expenditure on education, total (% of government expenditure)"/>
    <m/>
    <x v="28"/>
  </r>
  <r>
    <x v="3"/>
    <s v="Government expenditure on education, total (% of government expenditure)"/>
    <m/>
    <x v="28"/>
  </r>
  <r>
    <x v="4"/>
    <s v="Government expenditure on education, total (% of government expenditure)"/>
    <m/>
    <x v="28"/>
  </r>
  <r>
    <x v="5"/>
    <s v="Government expenditure on education, total (% of government expenditure)"/>
    <m/>
    <x v="28"/>
  </r>
  <r>
    <x v="6"/>
    <s v="Government expenditure on education, total (% of government expenditure)"/>
    <m/>
    <x v="28"/>
  </r>
  <r>
    <x v="7"/>
    <s v="Government expenditure on education, total (% of government expenditure)"/>
    <m/>
    <x v="28"/>
  </r>
  <r>
    <x v="8"/>
    <s v="Government expenditure on education, total (% of government expenditure)"/>
    <n v="19.3154697418213"/>
    <x v="28"/>
  </r>
  <r>
    <x v="9"/>
    <s v="Government expenditure on education, total (% of government expenditure)"/>
    <m/>
    <x v="28"/>
  </r>
  <r>
    <x v="10"/>
    <s v="Government expenditure on education, total (% of government expenditure)"/>
    <m/>
    <x v="28"/>
  </r>
  <r>
    <x v="11"/>
    <s v="Government expenditure on education, total (% of government expenditure)"/>
    <m/>
    <x v="28"/>
  </r>
  <r>
    <x v="12"/>
    <s v="Government expenditure on education, total (% of government expenditure)"/>
    <m/>
    <x v="28"/>
  </r>
  <r>
    <x v="13"/>
    <s v="Government expenditure on education, total (% of government expenditure)"/>
    <m/>
    <x v="28"/>
  </r>
  <r>
    <x v="14"/>
    <s v="Government expenditure on education, total (% of government expenditure)"/>
    <m/>
    <x v="28"/>
  </r>
  <r>
    <x v="15"/>
    <s v="Government expenditure on education, total (% of government expenditure)"/>
    <m/>
    <x v="28"/>
  </r>
  <r>
    <x v="16"/>
    <s v="Government expenditure on education, total (% of government expenditure)"/>
    <m/>
    <x v="28"/>
  </r>
  <r>
    <x v="17"/>
    <s v="Government expenditure on education, total (% of government expenditure)"/>
    <m/>
    <x v="28"/>
  </r>
  <r>
    <x v="18"/>
    <s v="Government expenditure on education, total (% of government expenditure)"/>
    <m/>
    <x v="28"/>
  </r>
  <r>
    <x v="19"/>
    <s v="Government expenditure on education, total (% of government expenditure)"/>
    <m/>
    <x v="28"/>
  </r>
  <r>
    <x v="20"/>
    <s v="Government expenditure on education, total (% of government expenditure)"/>
    <m/>
    <x v="28"/>
  </r>
  <r>
    <x v="21"/>
    <s v="Government expenditure on education, total (% of government expenditure)"/>
    <m/>
    <x v="28"/>
  </r>
  <r>
    <x v="22"/>
    <s v="Government expenditure on education, total (% of government expenditure)"/>
    <m/>
    <x v="28"/>
  </r>
  <r>
    <x v="23"/>
    <s v="Government expenditure on education, total (% of government expenditure)"/>
    <m/>
    <x v="28"/>
  </r>
  <r>
    <x v="24"/>
    <s v="Government expenditure on education, total (% of government expenditure)"/>
    <m/>
    <x v="28"/>
  </r>
  <r>
    <x v="25"/>
    <s v="Government expenditure on education, total (% of government expenditure)"/>
    <m/>
    <x v="28"/>
  </r>
  <r>
    <x v="26"/>
    <s v="Government expenditure on education, total (% of government expenditure)"/>
    <m/>
    <x v="28"/>
  </r>
  <r>
    <x v="27"/>
    <s v="Government expenditure on education, total (% of government expenditure)"/>
    <m/>
    <x v="28"/>
  </r>
  <r>
    <x v="0"/>
    <s v="Government expenditure on education, total (% of government expenditure)"/>
    <m/>
    <x v="29"/>
  </r>
  <r>
    <x v="1"/>
    <s v="Government expenditure on education, total (% of government expenditure)"/>
    <m/>
    <x v="29"/>
  </r>
  <r>
    <x v="2"/>
    <s v="Government expenditure on education, total (% of government expenditure)"/>
    <m/>
    <x v="29"/>
  </r>
  <r>
    <x v="3"/>
    <s v="Government expenditure on education, total (% of government expenditure)"/>
    <m/>
    <x v="29"/>
  </r>
  <r>
    <x v="4"/>
    <s v="Government expenditure on education, total (% of government expenditure)"/>
    <m/>
    <x v="29"/>
  </r>
  <r>
    <x v="5"/>
    <s v="Government expenditure on education, total (% of government expenditure)"/>
    <m/>
    <x v="29"/>
  </r>
  <r>
    <x v="6"/>
    <s v="Government expenditure on education, total (% of government expenditure)"/>
    <m/>
    <x v="29"/>
  </r>
  <r>
    <x v="7"/>
    <s v="Government expenditure on education, total (% of government expenditure)"/>
    <m/>
    <x v="29"/>
  </r>
  <r>
    <x v="8"/>
    <s v="Government expenditure on education, total (% of government expenditure)"/>
    <n v="16.955249786376999"/>
    <x v="29"/>
  </r>
  <r>
    <x v="9"/>
    <s v="Government expenditure on education, total (% of government expenditure)"/>
    <m/>
    <x v="29"/>
  </r>
  <r>
    <x v="10"/>
    <s v="Government expenditure on education, total (% of government expenditure)"/>
    <m/>
    <x v="29"/>
  </r>
  <r>
    <x v="11"/>
    <s v="Government expenditure on education, total (% of government expenditure)"/>
    <m/>
    <x v="29"/>
  </r>
  <r>
    <x v="12"/>
    <s v="Government expenditure on education, total (% of government expenditure)"/>
    <m/>
    <x v="29"/>
  </r>
  <r>
    <x v="13"/>
    <s v="Government expenditure on education, total (% of government expenditure)"/>
    <m/>
    <x v="29"/>
  </r>
  <r>
    <x v="14"/>
    <s v="Government expenditure on education, total (% of government expenditure)"/>
    <m/>
    <x v="29"/>
  </r>
  <r>
    <x v="15"/>
    <s v="Government expenditure on education, total (% of government expenditure)"/>
    <m/>
    <x v="29"/>
  </r>
  <r>
    <x v="16"/>
    <s v="Government expenditure on education, total (% of government expenditure)"/>
    <m/>
    <x v="29"/>
  </r>
  <r>
    <x v="17"/>
    <s v="Government expenditure on education, total (% of government expenditure)"/>
    <m/>
    <x v="29"/>
  </r>
  <r>
    <x v="18"/>
    <s v="Government expenditure on education, total (% of government expenditure)"/>
    <m/>
    <x v="29"/>
  </r>
  <r>
    <x v="19"/>
    <s v="Government expenditure on education, total (% of government expenditure)"/>
    <m/>
    <x v="29"/>
  </r>
  <r>
    <x v="20"/>
    <s v="Government expenditure on education, total (% of government expenditure)"/>
    <m/>
    <x v="29"/>
  </r>
  <r>
    <x v="21"/>
    <s v="Government expenditure on education, total (% of government expenditure)"/>
    <m/>
    <x v="29"/>
  </r>
  <r>
    <x v="22"/>
    <s v="Government expenditure on education, total (% of government expenditure)"/>
    <m/>
    <x v="29"/>
  </r>
  <r>
    <x v="23"/>
    <s v="Government expenditure on education, total (% of government expenditure)"/>
    <m/>
    <x v="29"/>
  </r>
  <r>
    <x v="24"/>
    <s v="Government expenditure on education, total (% of government expenditure)"/>
    <m/>
    <x v="29"/>
  </r>
  <r>
    <x v="25"/>
    <s v="Government expenditure on education, total (% of government expenditure)"/>
    <m/>
    <x v="29"/>
  </r>
  <r>
    <x v="26"/>
    <s v="Government expenditure on education, total (% of government expenditure)"/>
    <m/>
    <x v="29"/>
  </r>
  <r>
    <x v="27"/>
    <s v="Government expenditure on education, total (% of government expenditure)"/>
    <m/>
    <x v="29"/>
  </r>
  <r>
    <x v="0"/>
    <s v="Government expenditure on education, total (% of government expenditure)"/>
    <m/>
    <x v="30"/>
  </r>
  <r>
    <x v="1"/>
    <s v="Government expenditure on education, total (% of government expenditure)"/>
    <m/>
    <x v="30"/>
  </r>
  <r>
    <x v="2"/>
    <s v="Government expenditure on education, total (% of government expenditure)"/>
    <m/>
    <x v="30"/>
  </r>
  <r>
    <x v="3"/>
    <s v="Government expenditure on education, total (% of government expenditure)"/>
    <m/>
    <x v="30"/>
  </r>
  <r>
    <x v="4"/>
    <s v="Government expenditure on education, total (% of government expenditure)"/>
    <m/>
    <x v="30"/>
  </r>
  <r>
    <x v="5"/>
    <s v="Government expenditure on education, total (% of government expenditure)"/>
    <m/>
    <x v="30"/>
  </r>
  <r>
    <x v="6"/>
    <s v="Government expenditure on education, total (% of government expenditure)"/>
    <m/>
    <x v="30"/>
  </r>
  <r>
    <x v="7"/>
    <s v="Government expenditure on education, total (% of government expenditure)"/>
    <m/>
    <x v="30"/>
  </r>
  <r>
    <x v="8"/>
    <s v="Government expenditure on education, total (% of government expenditure)"/>
    <m/>
    <x v="30"/>
  </r>
  <r>
    <x v="9"/>
    <s v="Government expenditure on education, total (% of government expenditure)"/>
    <m/>
    <x v="30"/>
  </r>
  <r>
    <x v="10"/>
    <s v="Government expenditure on education, total (% of government expenditure)"/>
    <m/>
    <x v="30"/>
  </r>
  <r>
    <x v="11"/>
    <s v="Government expenditure on education, total (% of government expenditure)"/>
    <m/>
    <x v="30"/>
  </r>
  <r>
    <x v="12"/>
    <s v="Government expenditure on education, total (% of government expenditure)"/>
    <m/>
    <x v="30"/>
  </r>
  <r>
    <x v="13"/>
    <s v="Government expenditure on education, total (% of government expenditure)"/>
    <m/>
    <x v="30"/>
  </r>
  <r>
    <x v="14"/>
    <s v="Government expenditure on education, total (% of government expenditure)"/>
    <m/>
    <x v="30"/>
  </r>
  <r>
    <x v="15"/>
    <s v="Government expenditure on education, total (% of government expenditure)"/>
    <m/>
    <x v="30"/>
  </r>
  <r>
    <x v="16"/>
    <s v="Government expenditure on education, total (% of government expenditure)"/>
    <m/>
    <x v="30"/>
  </r>
  <r>
    <x v="17"/>
    <s v="Government expenditure on education, total (% of government expenditure)"/>
    <m/>
    <x v="30"/>
  </r>
  <r>
    <x v="18"/>
    <s v="Government expenditure on education, total (% of government expenditure)"/>
    <m/>
    <x v="30"/>
  </r>
  <r>
    <x v="19"/>
    <s v="Government expenditure on education, total (% of government expenditure)"/>
    <m/>
    <x v="30"/>
  </r>
  <r>
    <x v="20"/>
    <s v="Government expenditure on education, total (% of government expenditure)"/>
    <m/>
    <x v="30"/>
  </r>
  <r>
    <x v="21"/>
    <s v="Government expenditure on education, total (% of government expenditure)"/>
    <m/>
    <x v="30"/>
  </r>
  <r>
    <x v="22"/>
    <s v="Government expenditure on education, total (% of government expenditure)"/>
    <m/>
    <x v="30"/>
  </r>
  <r>
    <x v="23"/>
    <s v="Government expenditure on education, total (% of government expenditure)"/>
    <m/>
    <x v="30"/>
  </r>
  <r>
    <x v="24"/>
    <s v="Government expenditure on education, total (% of government expenditure)"/>
    <m/>
    <x v="30"/>
  </r>
  <r>
    <x v="25"/>
    <s v="Government expenditure on education, total (% of government expenditure)"/>
    <m/>
    <x v="30"/>
  </r>
  <r>
    <x v="26"/>
    <s v="Government expenditure on education, total (% of government expenditure)"/>
    <m/>
    <x v="30"/>
  </r>
  <r>
    <x v="27"/>
    <s v="Government expenditure on education, total (% of government expenditure)"/>
    <m/>
    <x v="30"/>
  </r>
  <r>
    <x v="0"/>
    <s v="Government expenditure on education, total (% of government expenditure)"/>
    <n v="18.864030838012699"/>
    <x v="31"/>
  </r>
  <r>
    <x v="1"/>
    <s v="Government expenditure on education, total (% of government expenditure)"/>
    <m/>
    <x v="31"/>
  </r>
  <r>
    <x v="2"/>
    <s v="Government expenditure on education, total (% of government expenditure)"/>
    <m/>
    <x v="31"/>
  </r>
  <r>
    <x v="3"/>
    <s v="Government expenditure on education, total (% of government expenditure)"/>
    <m/>
    <x v="31"/>
  </r>
  <r>
    <x v="4"/>
    <s v="Government expenditure on education, total (% of government expenditure)"/>
    <m/>
    <x v="31"/>
  </r>
  <r>
    <x v="5"/>
    <s v="Government expenditure on education, total (% of government expenditure)"/>
    <m/>
    <x v="31"/>
  </r>
  <r>
    <x v="6"/>
    <s v="Government expenditure on education, total (% of government expenditure)"/>
    <n v="9.9965295791625994"/>
    <x v="31"/>
  </r>
  <r>
    <x v="7"/>
    <s v="Government expenditure on education, total (% of government expenditure)"/>
    <m/>
    <x v="31"/>
  </r>
  <r>
    <x v="8"/>
    <s v="Government expenditure on education, total (% of government expenditure)"/>
    <n v="18.4959106445313"/>
    <x v="31"/>
  </r>
  <r>
    <x v="9"/>
    <s v="Government expenditure on education, total (% of government expenditure)"/>
    <m/>
    <x v="31"/>
  </r>
  <r>
    <x v="10"/>
    <s v="Government expenditure on education, total (% of government expenditure)"/>
    <m/>
    <x v="31"/>
  </r>
  <r>
    <x v="11"/>
    <s v="Government expenditure on education, total (% of government expenditure)"/>
    <m/>
    <x v="31"/>
  </r>
  <r>
    <x v="12"/>
    <s v="Government expenditure on education, total (% of government expenditure)"/>
    <m/>
    <x v="31"/>
  </r>
  <r>
    <x v="13"/>
    <s v="Government expenditure on education, total (% of government expenditure)"/>
    <m/>
    <x v="31"/>
  </r>
  <r>
    <x v="14"/>
    <s v="Government expenditure on education, total (% of government expenditure)"/>
    <m/>
    <x v="31"/>
  </r>
  <r>
    <x v="15"/>
    <s v="Government expenditure on education, total (% of government expenditure)"/>
    <m/>
    <x v="31"/>
  </r>
  <r>
    <x v="16"/>
    <s v="Government expenditure on education, total (% of government expenditure)"/>
    <m/>
    <x v="31"/>
  </r>
  <r>
    <x v="17"/>
    <s v="Government expenditure on education, total (% of government expenditure)"/>
    <m/>
    <x v="31"/>
  </r>
  <r>
    <x v="18"/>
    <s v="Government expenditure on education, total (% of government expenditure)"/>
    <m/>
    <x v="31"/>
  </r>
  <r>
    <x v="19"/>
    <s v="Government expenditure on education, total (% of government expenditure)"/>
    <m/>
    <x v="31"/>
  </r>
  <r>
    <x v="20"/>
    <s v="Government expenditure on education, total (% of government expenditure)"/>
    <m/>
    <x v="31"/>
  </r>
  <r>
    <x v="21"/>
    <s v="Government expenditure on education, total (% of government expenditure)"/>
    <m/>
    <x v="31"/>
  </r>
  <r>
    <x v="22"/>
    <s v="Government expenditure on education, total (% of government expenditure)"/>
    <n v="10.8762302398682"/>
    <x v="31"/>
  </r>
  <r>
    <x v="23"/>
    <s v="Government expenditure on education, total (% of government expenditure)"/>
    <m/>
    <x v="31"/>
  </r>
  <r>
    <x v="24"/>
    <s v="Government expenditure on education, total (% of government expenditure)"/>
    <m/>
    <x v="31"/>
  </r>
  <r>
    <x v="25"/>
    <s v="Government expenditure on education, total (% of government expenditure)"/>
    <m/>
    <x v="31"/>
  </r>
  <r>
    <x v="26"/>
    <s v="Government expenditure on education, total (% of government expenditure)"/>
    <m/>
    <x v="31"/>
  </r>
  <r>
    <x v="27"/>
    <s v="Government expenditure on education, total (% of government expenditure)"/>
    <m/>
    <x v="31"/>
  </r>
  <r>
    <x v="0"/>
    <s v="Government expenditure on education, total (% of government expenditure)"/>
    <n v="18.1227207183838"/>
    <x v="32"/>
  </r>
  <r>
    <x v="1"/>
    <s v="Government expenditure on education, total (% of government expenditure)"/>
    <m/>
    <x v="32"/>
  </r>
  <r>
    <x v="2"/>
    <s v="Government expenditure on education, total (% of government expenditure)"/>
    <m/>
    <x v="32"/>
  </r>
  <r>
    <x v="3"/>
    <s v="Government expenditure on education, total (% of government expenditure)"/>
    <m/>
    <x v="32"/>
  </r>
  <r>
    <x v="4"/>
    <s v="Government expenditure on education, total (% of government expenditure)"/>
    <m/>
    <x v="32"/>
  </r>
  <r>
    <x v="5"/>
    <s v="Government expenditure on education, total (% of government expenditure)"/>
    <m/>
    <x v="32"/>
  </r>
  <r>
    <x v="6"/>
    <s v="Government expenditure on education, total (% of government expenditure)"/>
    <n v="11.537449836731"/>
    <x v="32"/>
  </r>
  <r>
    <x v="7"/>
    <s v="Government expenditure on education, total (% of government expenditure)"/>
    <m/>
    <x v="32"/>
  </r>
  <r>
    <x v="8"/>
    <s v="Government expenditure on education, total (% of government expenditure)"/>
    <n v="15.827320098876999"/>
    <x v="32"/>
  </r>
  <r>
    <x v="9"/>
    <s v="Government expenditure on education, total (% of government expenditure)"/>
    <m/>
    <x v="32"/>
  </r>
  <r>
    <x v="10"/>
    <s v="Government expenditure on education, total (% of government expenditure)"/>
    <m/>
    <x v="32"/>
  </r>
  <r>
    <x v="11"/>
    <s v="Government expenditure on education, total (% of government expenditure)"/>
    <m/>
    <x v="32"/>
  </r>
  <r>
    <x v="12"/>
    <s v="Government expenditure on education, total (% of government expenditure)"/>
    <m/>
    <x v="32"/>
  </r>
  <r>
    <x v="13"/>
    <s v="Government expenditure on education, total (% of government expenditure)"/>
    <m/>
    <x v="32"/>
  </r>
  <r>
    <x v="14"/>
    <s v="Government expenditure on education, total (% of government expenditure)"/>
    <m/>
    <x v="32"/>
  </r>
  <r>
    <x v="15"/>
    <s v="Government expenditure on education, total (% of government expenditure)"/>
    <m/>
    <x v="32"/>
  </r>
  <r>
    <x v="16"/>
    <s v="Government expenditure on education, total (% of government expenditure)"/>
    <m/>
    <x v="32"/>
  </r>
  <r>
    <x v="17"/>
    <s v="Government expenditure on education, total (% of government expenditure)"/>
    <m/>
    <x v="32"/>
  </r>
  <r>
    <x v="18"/>
    <s v="Government expenditure on education, total (% of government expenditure)"/>
    <n v="11.933500289916999"/>
    <x v="32"/>
  </r>
  <r>
    <x v="19"/>
    <s v="Government expenditure on education, total (% of government expenditure)"/>
    <m/>
    <x v="32"/>
  </r>
  <r>
    <x v="20"/>
    <s v="Government expenditure on education, total (% of government expenditure)"/>
    <m/>
    <x v="32"/>
  </r>
  <r>
    <x v="21"/>
    <s v="Government expenditure on education, total (% of government expenditure)"/>
    <m/>
    <x v="32"/>
  </r>
  <r>
    <x v="22"/>
    <s v="Government expenditure on education, total (% of government expenditure)"/>
    <m/>
    <x v="32"/>
  </r>
  <r>
    <x v="23"/>
    <s v="Government expenditure on education, total (% of government expenditure)"/>
    <m/>
    <x v="32"/>
  </r>
  <r>
    <x v="24"/>
    <s v="Government expenditure on education, total (% of government expenditure)"/>
    <m/>
    <x v="32"/>
  </r>
  <r>
    <x v="25"/>
    <s v="Government expenditure on education, total (% of government expenditure)"/>
    <m/>
    <x v="32"/>
  </r>
  <r>
    <x v="26"/>
    <s v="Government expenditure on education, total (% of government expenditure)"/>
    <m/>
    <x v="32"/>
  </r>
  <r>
    <x v="27"/>
    <s v="Government expenditure on education, total (% of government expenditure)"/>
    <m/>
    <x v="32"/>
  </r>
  <r>
    <x v="0"/>
    <s v="Government expenditure on education, total (% of government expenditure)"/>
    <m/>
    <x v="33"/>
  </r>
  <r>
    <x v="1"/>
    <s v="Government expenditure on education, total (% of government expenditure)"/>
    <m/>
    <x v="33"/>
  </r>
  <r>
    <x v="2"/>
    <s v="Government expenditure on education, total (% of government expenditure)"/>
    <m/>
    <x v="33"/>
  </r>
  <r>
    <x v="3"/>
    <s v="Government expenditure on education, total (% of government expenditure)"/>
    <m/>
    <x v="33"/>
  </r>
  <r>
    <x v="4"/>
    <s v="Government expenditure on education, total (% of government expenditure)"/>
    <m/>
    <x v="33"/>
  </r>
  <r>
    <x v="5"/>
    <s v="Government expenditure on education, total (% of government expenditure)"/>
    <n v="13.264840126037599"/>
    <x v="33"/>
  </r>
  <r>
    <x v="6"/>
    <s v="Government expenditure on education, total (% of government expenditure)"/>
    <n v="11.448499679565399"/>
    <x v="33"/>
  </r>
  <r>
    <x v="7"/>
    <s v="Government expenditure on education, total (% of government expenditure)"/>
    <m/>
    <x v="33"/>
  </r>
  <r>
    <x v="8"/>
    <s v="Government expenditure on education, total (% of government expenditure)"/>
    <n v="13.757300376892101"/>
    <x v="33"/>
  </r>
  <r>
    <x v="9"/>
    <s v="Government expenditure on education, total (% of government expenditure)"/>
    <m/>
    <x v="33"/>
  </r>
  <r>
    <x v="10"/>
    <s v="Government expenditure on education, total (% of government expenditure)"/>
    <m/>
    <x v="33"/>
  </r>
  <r>
    <x v="11"/>
    <s v="Government expenditure on education, total (% of government expenditure)"/>
    <n v="12.317299842834499"/>
    <x v="33"/>
  </r>
  <r>
    <x v="12"/>
    <s v="Government expenditure on education, total (% of government expenditure)"/>
    <m/>
    <x v="33"/>
  </r>
  <r>
    <x v="13"/>
    <s v="Government expenditure on education, total (% of government expenditure)"/>
    <m/>
    <x v="33"/>
  </r>
  <r>
    <x v="14"/>
    <s v="Government expenditure on education, total (% of government expenditure)"/>
    <m/>
    <x v="33"/>
  </r>
  <r>
    <x v="15"/>
    <s v="Government expenditure on education, total (% of government expenditure)"/>
    <m/>
    <x v="33"/>
  </r>
  <r>
    <x v="16"/>
    <s v="Government expenditure on education, total (% of government expenditure)"/>
    <m/>
    <x v="33"/>
  </r>
  <r>
    <x v="17"/>
    <s v="Government expenditure on education, total (% of government expenditure)"/>
    <m/>
    <x v="33"/>
  </r>
  <r>
    <x v="18"/>
    <s v="Government expenditure on education, total (% of government expenditure)"/>
    <m/>
    <x v="33"/>
  </r>
  <r>
    <x v="19"/>
    <s v="Government expenditure on education, total (% of government expenditure)"/>
    <m/>
    <x v="33"/>
  </r>
  <r>
    <x v="20"/>
    <s v="Government expenditure on education, total (% of government expenditure)"/>
    <m/>
    <x v="33"/>
  </r>
  <r>
    <x v="21"/>
    <s v="Government expenditure on education, total (% of government expenditure)"/>
    <m/>
    <x v="33"/>
  </r>
  <r>
    <x v="22"/>
    <s v="Government expenditure on education, total (% of government expenditure)"/>
    <m/>
    <x v="33"/>
  </r>
  <r>
    <x v="23"/>
    <s v="Government expenditure on education, total (% of government expenditure)"/>
    <m/>
    <x v="33"/>
  </r>
  <r>
    <x v="24"/>
    <s v="Government expenditure on education, total (% of government expenditure)"/>
    <m/>
    <x v="33"/>
  </r>
  <r>
    <x v="25"/>
    <s v="Government expenditure on education, total (% of government expenditure)"/>
    <m/>
    <x v="33"/>
  </r>
  <r>
    <x v="26"/>
    <s v="Government expenditure on education, total (% of government expenditure)"/>
    <m/>
    <x v="33"/>
  </r>
  <r>
    <x v="27"/>
    <s v="Government expenditure on education, total (% of government expenditure)"/>
    <m/>
    <x v="33"/>
  </r>
  <r>
    <x v="0"/>
    <s v="Government expenditure on education, total (% of government expenditure)"/>
    <n v="16.7564392089844"/>
    <x v="34"/>
  </r>
  <r>
    <x v="1"/>
    <s v="Government expenditure on education, total (% of government expenditure)"/>
    <m/>
    <x v="34"/>
  </r>
  <r>
    <x v="2"/>
    <s v="Government expenditure on education, total (% of government expenditure)"/>
    <m/>
    <x v="34"/>
  </r>
  <r>
    <x v="3"/>
    <s v="Government expenditure on education, total (% of government expenditure)"/>
    <m/>
    <x v="34"/>
  </r>
  <r>
    <x v="4"/>
    <s v="Government expenditure on education, total (% of government expenditure)"/>
    <m/>
    <x v="34"/>
  </r>
  <r>
    <x v="5"/>
    <s v="Government expenditure on education, total (% of government expenditure)"/>
    <m/>
    <x v="34"/>
  </r>
  <r>
    <x v="6"/>
    <s v="Government expenditure on education, total (% of government expenditure)"/>
    <m/>
    <x v="34"/>
  </r>
  <r>
    <x v="7"/>
    <s v="Government expenditure on education, total (% of government expenditure)"/>
    <m/>
    <x v="34"/>
  </r>
  <r>
    <x v="8"/>
    <s v="Government expenditure on education, total (% of government expenditure)"/>
    <n v="14.835680007934601"/>
    <x v="34"/>
  </r>
  <r>
    <x v="9"/>
    <s v="Government expenditure on education, total (% of government expenditure)"/>
    <m/>
    <x v="34"/>
  </r>
  <r>
    <x v="10"/>
    <s v="Government expenditure on education, total (% of government expenditure)"/>
    <m/>
    <x v="34"/>
  </r>
  <r>
    <x v="11"/>
    <s v="Government expenditure on education, total (% of government expenditure)"/>
    <m/>
    <x v="34"/>
  </r>
  <r>
    <x v="12"/>
    <s v="Government expenditure on education, total (% of government expenditure)"/>
    <m/>
    <x v="34"/>
  </r>
  <r>
    <x v="13"/>
    <s v="Government expenditure on education, total (% of government expenditure)"/>
    <m/>
    <x v="34"/>
  </r>
  <r>
    <x v="14"/>
    <s v="Government expenditure on education, total (% of government expenditure)"/>
    <m/>
    <x v="34"/>
  </r>
  <r>
    <x v="15"/>
    <s v="Government expenditure on education, total (% of government expenditure)"/>
    <m/>
    <x v="34"/>
  </r>
  <r>
    <x v="16"/>
    <s v="Government expenditure on education, total (% of government expenditure)"/>
    <m/>
    <x v="34"/>
  </r>
  <r>
    <x v="17"/>
    <s v="Government expenditure on education, total (% of government expenditure)"/>
    <m/>
    <x v="34"/>
  </r>
  <r>
    <x v="18"/>
    <s v="Government expenditure on education, total (% of government expenditure)"/>
    <m/>
    <x v="34"/>
  </r>
  <r>
    <x v="19"/>
    <s v="Government expenditure on education, total (% of government expenditure)"/>
    <m/>
    <x v="34"/>
  </r>
  <r>
    <x v="20"/>
    <s v="Government expenditure on education, total (% of government expenditure)"/>
    <m/>
    <x v="34"/>
  </r>
  <r>
    <x v="21"/>
    <s v="Government expenditure on education, total (% of government expenditure)"/>
    <m/>
    <x v="34"/>
  </r>
  <r>
    <x v="22"/>
    <s v="Government expenditure on education, total (% of government expenditure)"/>
    <n v="12.7072801589966"/>
    <x v="34"/>
  </r>
  <r>
    <x v="23"/>
    <s v="Government expenditure on education, total (% of government expenditure)"/>
    <m/>
    <x v="34"/>
  </r>
  <r>
    <x v="24"/>
    <s v="Government expenditure on education, total (% of government expenditure)"/>
    <m/>
    <x v="34"/>
  </r>
  <r>
    <x v="25"/>
    <s v="Government expenditure on education, total (% of government expenditure)"/>
    <m/>
    <x v="34"/>
  </r>
  <r>
    <x v="26"/>
    <s v="Government expenditure on education, total (% of government expenditure)"/>
    <m/>
    <x v="34"/>
  </r>
  <r>
    <x v="27"/>
    <s v="Government expenditure on education, total (% of government expenditure)"/>
    <m/>
    <x v="34"/>
  </r>
  <r>
    <x v="0"/>
    <s v="Government expenditure on education, total (% of government expenditure)"/>
    <n v="23.7924404144287"/>
    <x v="35"/>
  </r>
  <r>
    <x v="1"/>
    <s v="Government expenditure on education, total (% of government expenditure)"/>
    <m/>
    <x v="35"/>
  </r>
  <r>
    <x v="2"/>
    <s v="Government expenditure on education, total (% of government expenditure)"/>
    <m/>
    <x v="35"/>
  </r>
  <r>
    <x v="3"/>
    <s v="Government expenditure on education, total (% of government expenditure)"/>
    <m/>
    <x v="35"/>
  </r>
  <r>
    <x v="4"/>
    <s v="Government expenditure on education, total (% of government expenditure)"/>
    <m/>
    <x v="35"/>
  </r>
  <r>
    <x v="5"/>
    <s v="Government expenditure on education, total (% of government expenditure)"/>
    <m/>
    <x v="35"/>
  </r>
  <r>
    <x v="6"/>
    <s v="Government expenditure on education, total (% of government expenditure)"/>
    <m/>
    <x v="35"/>
  </r>
  <r>
    <x v="7"/>
    <s v="Government expenditure on education, total (% of government expenditure)"/>
    <m/>
    <x v="35"/>
  </r>
  <r>
    <x v="8"/>
    <s v="Government expenditure on education, total (% of government expenditure)"/>
    <m/>
    <x v="35"/>
  </r>
  <r>
    <x v="9"/>
    <s v="Government expenditure on education, total (% of government expenditure)"/>
    <m/>
    <x v="35"/>
  </r>
  <r>
    <x v="10"/>
    <s v="Government expenditure on education, total (% of government expenditure)"/>
    <m/>
    <x v="35"/>
  </r>
  <r>
    <x v="11"/>
    <s v="Government expenditure on education, total (% of government expenditure)"/>
    <m/>
    <x v="35"/>
  </r>
  <r>
    <x v="12"/>
    <s v="Government expenditure on education, total (% of government expenditure)"/>
    <m/>
    <x v="35"/>
  </r>
  <r>
    <x v="13"/>
    <s v="Government expenditure on education, total (% of government expenditure)"/>
    <m/>
    <x v="35"/>
  </r>
  <r>
    <x v="14"/>
    <s v="Government expenditure on education, total (% of government expenditure)"/>
    <m/>
    <x v="35"/>
  </r>
  <r>
    <x v="15"/>
    <s v="Government expenditure on education, total (% of government expenditure)"/>
    <m/>
    <x v="35"/>
  </r>
  <r>
    <x v="16"/>
    <s v="Government expenditure on education, total (% of government expenditure)"/>
    <m/>
    <x v="35"/>
  </r>
  <r>
    <x v="17"/>
    <s v="Government expenditure on education, total (% of government expenditure)"/>
    <m/>
    <x v="35"/>
  </r>
  <r>
    <x v="18"/>
    <s v="Government expenditure on education, total (% of government expenditure)"/>
    <m/>
    <x v="35"/>
  </r>
  <r>
    <x v="19"/>
    <s v="Government expenditure on education, total (% of government expenditure)"/>
    <m/>
    <x v="35"/>
  </r>
  <r>
    <x v="20"/>
    <s v="Government expenditure on education, total (% of government expenditure)"/>
    <m/>
    <x v="35"/>
  </r>
  <r>
    <x v="21"/>
    <s v="Government expenditure on education, total (% of government expenditure)"/>
    <m/>
    <x v="35"/>
  </r>
  <r>
    <x v="22"/>
    <s v="Government expenditure on education, total (% of government expenditure)"/>
    <n v="11.565670013427701"/>
    <x v="35"/>
  </r>
  <r>
    <x v="23"/>
    <s v="Government expenditure on education, total (% of government expenditure)"/>
    <m/>
    <x v="35"/>
  </r>
  <r>
    <x v="24"/>
    <s v="Government expenditure on education, total (% of government expenditure)"/>
    <m/>
    <x v="35"/>
  </r>
  <r>
    <x v="25"/>
    <s v="Government expenditure on education, total (% of government expenditure)"/>
    <m/>
    <x v="35"/>
  </r>
  <r>
    <x v="26"/>
    <s v="Government expenditure on education, total (% of government expenditure)"/>
    <m/>
    <x v="35"/>
  </r>
  <r>
    <x v="27"/>
    <s v="Government expenditure on education, total (% of government expenditure)"/>
    <m/>
    <x v="35"/>
  </r>
  <r>
    <x v="0"/>
    <s v="Government expenditure on education, total (% of government expenditure)"/>
    <n v="16.713600158691399"/>
    <x v="36"/>
  </r>
  <r>
    <x v="1"/>
    <s v="Government expenditure on education, total (% of government expenditure)"/>
    <m/>
    <x v="36"/>
  </r>
  <r>
    <x v="2"/>
    <s v="Government expenditure on education, total (% of government expenditure)"/>
    <m/>
    <x v="36"/>
  </r>
  <r>
    <x v="3"/>
    <s v="Government expenditure on education, total (% of government expenditure)"/>
    <m/>
    <x v="36"/>
  </r>
  <r>
    <x v="4"/>
    <s v="Government expenditure on education, total (% of government expenditure)"/>
    <m/>
    <x v="36"/>
  </r>
  <r>
    <x v="5"/>
    <s v="Government expenditure on education, total (% of government expenditure)"/>
    <n v="13.044139862060501"/>
    <x v="36"/>
  </r>
  <r>
    <x v="6"/>
    <s v="Government expenditure on education, total (% of government expenditure)"/>
    <m/>
    <x v="36"/>
  </r>
  <r>
    <x v="7"/>
    <s v="Government expenditure on education, total (% of government expenditure)"/>
    <m/>
    <x v="36"/>
  </r>
  <r>
    <x v="8"/>
    <s v="Government expenditure on education, total (% of government expenditure)"/>
    <m/>
    <x v="36"/>
  </r>
  <r>
    <x v="9"/>
    <s v="Government expenditure on education, total (% of government expenditure)"/>
    <m/>
    <x v="36"/>
  </r>
  <r>
    <x v="10"/>
    <s v="Government expenditure on education, total (% of government expenditure)"/>
    <m/>
    <x v="36"/>
  </r>
  <r>
    <x v="11"/>
    <s v="Government expenditure on education, total (% of government expenditure)"/>
    <m/>
    <x v="36"/>
  </r>
  <r>
    <x v="12"/>
    <s v="Government expenditure on education, total (% of government expenditure)"/>
    <m/>
    <x v="36"/>
  </r>
  <r>
    <x v="13"/>
    <s v="Government expenditure on education, total (% of government expenditure)"/>
    <m/>
    <x v="36"/>
  </r>
  <r>
    <x v="14"/>
    <s v="Government expenditure on education, total (% of government expenditure)"/>
    <n v="28.339960098266602"/>
    <x v="36"/>
  </r>
  <r>
    <x v="15"/>
    <s v="Government expenditure on education, total (% of government expenditure)"/>
    <m/>
    <x v="36"/>
  </r>
  <r>
    <x v="16"/>
    <s v="Government expenditure on education, total (% of government expenditure)"/>
    <m/>
    <x v="36"/>
  </r>
  <r>
    <x v="17"/>
    <s v="Government expenditure on education, total (% of government expenditure)"/>
    <m/>
    <x v="36"/>
  </r>
  <r>
    <x v="18"/>
    <s v="Government expenditure on education, total (% of government expenditure)"/>
    <m/>
    <x v="36"/>
  </r>
  <r>
    <x v="19"/>
    <s v="Government expenditure on education, total (% of government expenditure)"/>
    <n v="17.749540328979499"/>
    <x v="36"/>
  </r>
  <r>
    <x v="20"/>
    <s v="Government expenditure on education, total (% of government expenditure)"/>
    <m/>
    <x v="36"/>
  </r>
  <r>
    <x v="21"/>
    <s v="Government expenditure on education, total (% of government expenditure)"/>
    <m/>
    <x v="36"/>
  </r>
  <r>
    <x v="22"/>
    <s v="Government expenditure on education, total (% of government expenditure)"/>
    <n v="12.693889617919901"/>
    <x v="36"/>
  </r>
  <r>
    <x v="23"/>
    <s v="Government expenditure on education, total (% of government expenditure)"/>
    <m/>
    <x v="36"/>
  </r>
  <r>
    <x v="24"/>
    <s v="Government expenditure on education, total (% of government expenditure)"/>
    <n v="12.5003099441528"/>
    <x v="36"/>
  </r>
  <r>
    <x v="25"/>
    <s v="Government expenditure on education, total (% of government expenditure)"/>
    <m/>
    <x v="36"/>
  </r>
  <r>
    <x v="26"/>
    <s v="Government expenditure on education, total (% of government expenditure)"/>
    <m/>
    <x v="36"/>
  </r>
  <r>
    <x v="27"/>
    <s v="Government expenditure on education, total (% of government expenditure)"/>
    <m/>
    <x v="36"/>
  </r>
  <r>
    <x v="0"/>
    <s v="Government expenditure on education, total (% of government expenditure)"/>
    <m/>
    <x v="37"/>
  </r>
  <r>
    <x v="1"/>
    <s v="Government expenditure on education, total (% of government expenditure)"/>
    <m/>
    <x v="37"/>
  </r>
  <r>
    <x v="2"/>
    <s v="Government expenditure on education, total (% of government expenditure)"/>
    <n v="12.8986597061157"/>
    <x v="37"/>
  </r>
  <r>
    <x v="3"/>
    <s v="Government expenditure on education, total (% of government expenditure)"/>
    <m/>
    <x v="37"/>
  </r>
  <r>
    <x v="4"/>
    <s v="Government expenditure on education, total (% of government expenditure)"/>
    <m/>
    <x v="37"/>
  </r>
  <r>
    <x v="5"/>
    <s v="Government expenditure on education, total (% of government expenditure)"/>
    <n v="14.8699197769165"/>
    <x v="37"/>
  </r>
  <r>
    <x v="6"/>
    <s v="Government expenditure on education, total (% of government expenditure)"/>
    <m/>
    <x v="37"/>
  </r>
  <r>
    <x v="7"/>
    <s v="Government expenditure on education, total (% of government expenditure)"/>
    <m/>
    <x v="37"/>
  </r>
  <r>
    <x v="8"/>
    <s v="Government expenditure on education, total (% of government expenditure)"/>
    <m/>
    <x v="37"/>
  </r>
  <r>
    <x v="9"/>
    <s v="Government expenditure on education, total (% of government expenditure)"/>
    <m/>
    <x v="37"/>
  </r>
  <r>
    <x v="10"/>
    <s v="Government expenditure on education, total (% of government expenditure)"/>
    <m/>
    <x v="37"/>
  </r>
  <r>
    <x v="11"/>
    <s v="Government expenditure on education, total (% of government expenditure)"/>
    <n v="10.6444101333618"/>
    <x v="37"/>
  </r>
  <r>
    <x v="12"/>
    <s v="Government expenditure on education, total (% of government expenditure)"/>
    <m/>
    <x v="37"/>
  </r>
  <r>
    <x v="13"/>
    <s v="Government expenditure on education, total (% of government expenditure)"/>
    <m/>
    <x v="37"/>
  </r>
  <r>
    <x v="14"/>
    <s v="Government expenditure on education, total (% of government expenditure)"/>
    <m/>
    <x v="37"/>
  </r>
  <r>
    <x v="15"/>
    <s v="Government expenditure on education, total (% of government expenditure)"/>
    <m/>
    <x v="37"/>
  </r>
  <r>
    <x v="16"/>
    <s v="Government expenditure on education, total (% of government expenditure)"/>
    <m/>
    <x v="37"/>
  </r>
  <r>
    <x v="17"/>
    <s v="Government expenditure on education, total (% of government expenditure)"/>
    <m/>
    <x v="37"/>
  </r>
  <r>
    <x v="18"/>
    <s v="Government expenditure on education, total (% of government expenditure)"/>
    <m/>
    <x v="37"/>
  </r>
  <r>
    <x v="19"/>
    <s v="Government expenditure on education, total (% of government expenditure)"/>
    <m/>
    <x v="37"/>
  </r>
  <r>
    <x v="20"/>
    <s v="Government expenditure on education, total (% of government expenditure)"/>
    <m/>
    <x v="37"/>
  </r>
  <r>
    <x v="21"/>
    <s v="Government expenditure on education, total (% of government expenditure)"/>
    <m/>
    <x v="37"/>
  </r>
  <r>
    <x v="22"/>
    <s v="Government expenditure on education, total (% of government expenditure)"/>
    <m/>
    <x v="37"/>
  </r>
  <r>
    <x v="23"/>
    <s v="Government expenditure on education, total (% of government expenditure)"/>
    <m/>
    <x v="37"/>
  </r>
  <r>
    <x v="24"/>
    <s v="Government expenditure on education, total (% of government expenditure)"/>
    <n v="12.6278896331787"/>
    <x v="37"/>
  </r>
  <r>
    <x v="25"/>
    <s v="Government expenditure on education, total (% of government expenditure)"/>
    <m/>
    <x v="37"/>
  </r>
  <r>
    <x v="26"/>
    <s v="Government expenditure on education, total (% of government expenditure)"/>
    <m/>
    <x v="37"/>
  </r>
  <r>
    <x v="27"/>
    <s v="Government expenditure on education, total (% of government expenditure)"/>
    <m/>
    <x v="37"/>
  </r>
  <r>
    <x v="0"/>
    <s v="Government expenditure on education, total (% of government expenditure)"/>
    <m/>
    <x v="38"/>
  </r>
  <r>
    <x v="1"/>
    <s v="Government expenditure on education, total (% of government expenditure)"/>
    <m/>
    <x v="38"/>
  </r>
  <r>
    <x v="2"/>
    <s v="Government expenditure on education, total (% of government expenditure)"/>
    <n v="11.071530342102101"/>
    <x v="38"/>
  </r>
  <r>
    <x v="3"/>
    <s v="Government expenditure on education, total (% of government expenditure)"/>
    <n v="17.1350708007813"/>
    <x v="38"/>
  </r>
  <r>
    <x v="4"/>
    <s v="Government expenditure on education, total (% of government expenditure)"/>
    <m/>
    <x v="38"/>
  </r>
  <r>
    <x v="5"/>
    <s v="Government expenditure on education, total (% of government expenditure)"/>
    <m/>
    <x v="38"/>
  </r>
  <r>
    <x v="6"/>
    <s v="Government expenditure on education, total (% of government expenditure)"/>
    <m/>
    <x v="38"/>
  </r>
  <r>
    <x v="7"/>
    <s v="Government expenditure on education, total (% of government expenditure)"/>
    <m/>
    <x v="38"/>
  </r>
  <r>
    <x v="8"/>
    <s v="Government expenditure on education, total (% of government expenditure)"/>
    <m/>
    <x v="38"/>
  </r>
  <r>
    <x v="9"/>
    <s v="Government expenditure on education, total (% of government expenditure)"/>
    <m/>
    <x v="38"/>
  </r>
  <r>
    <x v="10"/>
    <s v="Government expenditure on education, total (% of government expenditure)"/>
    <m/>
    <x v="38"/>
  </r>
  <r>
    <x v="11"/>
    <s v="Government expenditure on education, total (% of government expenditure)"/>
    <n v="9.3827695846557599"/>
    <x v="38"/>
  </r>
  <r>
    <x v="12"/>
    <s v="Government expenditure on education, total (% of government expenditure)"/>
    <m/>
    <x v="38"/>
  </r>
  <r>
    <x v="13"/>
    <s v="Government expenditure on education, total (% of government expenditure)"/>
    <m/>
    <x v="38"/>
  </r>
  <r>
    <x v="14"/>
    <s v="Government expenditure on education, total (% of government expenditure)"/>
    <m/>
    <x v="38"/>
  </r>
  <r>
    <x v="15"/>
    <s v="Government expenditure on education, total (% of government expenditure)"/>
    <n v="12.053750038146999"/>
    <x v="38"/>
  </r>
  <r>
    <x v="16"/>
    <s v="Government expenditure on education, total (% of government expenditure)"/>
    <m/>
    <x v="38"/>
  </r>
  <r>
    <x v="17"/>
    <s v="Government expenditure on education, total (% of government expenditure)"/>
    <m/>
    <x v="38"/>
  </r>
  <r>
    <x v="18"/>
    <s v="Government expenditure on education, total (% of government expenditure)"/>
    <n v="13.3818197250366"/>
    <x v="38"/>
  </r>
  <r>
    <x v="19"/>
    <s v="Government expenditure on education, total (% of government expenditure)"/>
    <m/>
    <x v="38"/>
  </r>
  <r>
    <x v="20"/>
    <s v="Government expenditure on education, total (% of government expenditure)"/>
    <m/>
    <x v="38"/>
  </r>
  <r>
    <x v="21"/>
    <s v="Government expenditure on education, total (% of government expenditure)"/>
    <m/>
    <x v="38"/>
  </r>
  <r>
    <x v="22"/>
    <s v="Government expenditure on education, total (% of government expenditure)"/>
    <n v="11.668829917907701"/>
    <x v="38"/>
  </r>
  <r>
    <x v="23"/>
    <s v="Government expenditure on education, total (% of government expenditure)"/>
    <n v="15.0724496841431"/>
    <x v="38"/>
  </r>
  <r>
    <x v="24"/>
    <s v="Government expenditure on education, total (% of government expenditure)"/>
    <n v="11.7939701080322"/>
    <x v="38"/>
  </r>
  <r>
    <x v="25"/>
    <s v="Government expenditure on education, total (% of government expenditure)"/>
    <m/>
    <x v="38"/>
  </r>
  <r>
    <x v="26"/>
    <s v="Government expenditure on education, total (% of government expenditure)"/>
    <m/>
    <x v="38"/>
  </r>
  <r>
    <x v="27"/>
    <s v="Government expenditure on education, total (% of government expenditure)"/>
    <m/>
    <x v="38"/>
  </r>
  <r>
    <x v="0"/>
    <s v="Government expenditure on education, total (% of government expenditure)"/>
    <n v="13.518639564514199"/>
    <x v="39"/>
  </r>
  <r>
    <x v="1"/>
    <s v="Government expenditure on education, total (% of government expenditure)"/>
    <m/>
    <x v="39"/>
  </r>
  <r>
    <x v="2"/>
    <s v="Government expenditure on education, total (% of government expenditure)"/>
    <n v="17.059980392456101"/>
    <x v="39"/>
  </r>
  <r>
    <x v="3"/>
    <s v="Government expenditure on education, total (% of government expenditure)"/>
    <m/>
    <x v="39"/>
  </r>
  <r>
    <x v="4"/>
    <s v="Government expenditure on education, total (% of government expenditure)"/>
    <n v="22.896070480346701"/>
    <x v="39"/>
  </r>
  <r>
    <x v="5"/>
    <s v="Government expenditure on education, total (% of government expenditure)"/>
    <m/>
    <x v="39"/>
  </r>
  <r>
    <x v="6"/>
    <s v="Government expenditure on education, total (% of government expenditure)"/>
    <n v="14.6585502624512"/>
    <x v="39"/>
  </r>
  <r>
    <x v="7"/>
    <s v="Government expenditure on education, total (% of government expenditure)"/>
    <m/>
    <x v="39"/>
  </r>
  <r>
    <x v="8"/>
    <s v="Government expenditure on education, total (% of government expenditure)"/>
    <n v="24.0459804534912"/>
    <x v="39"/>
  </r>
  <r>
    <x v="9"/>
    <s v="Government expenditure on education, total (% of government expenditure)"/>
    <m/>
    <x v="39"/>
  </r>
  <r>
    <x v="10"/>
    <s v="Government expenditure on education, total (% of government expenditure)"/>
    <m/>
    <x v="39"/>
  </r>
  <r>
    <x v="11"/>
    <s v="Government expenditure on education, total (% of government expenditure)"/>
    <n v="15.538700103759799"/>
    <x v="39"/>
  </r>
  <r>
    <x v="12"/>
    <s v="Government expenditure on education, total (% of government expenditure)"/>
    <m/>
    <x v="39"/>
  </r>
  <r>
    <x v="13"/>
    <s v="Government expenditure on education, total (% of government expenditure)"/>
    <m/>
    <x v="39"/>
  </r>
  <r>
    <x v="14"/>
    <s v="Government expenditure on education, total (% of government expenditure)"/>
    <n v="14.1224203109741"/>
    <x v="39"/>
  </r>
  <r>
    <x v="15"/>
    <s v="Government expenditure on education, total (% of government expenditure)"/>
    <n v="16.9233207702637"/>
    <x v="39"/>
  </r>
  <r>
    <x v="16"/>
    <s v="Government expenditure on education, total (% of government expenditure)"/>
    <m/>
    <x v="39"/>
  </r>
  <r>
    <x v="17"/>
    <s v="Government expenditure on education, total (% of government expenditure)"/>
    <m/>
    <x v="39"/>
  </r>
  <r>
    <x v="18"/>
    <s v="Government expenditure on education, total (% of government expenditure)"/>
    <n v="14.716799736022899"/>
    <x v="39"/>
  </r>
  <r>
    <x v="19"/>
    <s v="Government expenditure on education, total (% of government expenditure)"/>
    <n v="17.1178092956543"/>
    <x v="39"/>
  </r>
  <r>
    <x v="20"/>
    <s v="Government expenditure on education, total (% of government expenditure)"/>
    <n v="17.250669479370099"/>
    <x v="39"/>
  </r>
  <r>
    <x v="21"/>
    <s v="Government expenditure on education, total (% of government expenditure)"/>
    <m/>
    <x v="39"/>
  </r>
  <r>
    <x v="22"/>
    <s v="Government expenditure on education, total (% of government expenditure)"/>
    <m/>
    <x v="39"/>
  </r>
  <r>
    <x v="23"/>
    <s v="Government expenditure on education, total (% of government expenditure)"/>
    <n v="11.834389686584499"/>
    <x v="39"/>
  </r>
  <r>
    <x v="24"/>
    <s v="Government expenditure on education, total (% of government expenditure)"/>
    <m/>
    <x v="39"/>
  </r>
  <r>
    <x v="25"/>
    <s v="Government expenditure on education, total (% of government expenditure)"/>
    <m/>
    <x v="39"/>
  </r>
  <r>
    <x v="26"/>
    <s v="Government expenditure on education, total (% of government expenditure)"/>
    <m/>
    <x v="39"/>
  </r>
  <r>
    <x v="27"/>
    <s v="Government expenditure on education, total (% of government expenditure)"/>
    <m/>
    <x v="39"/>
  </r>
  <r>
    <x v="0"/>
    <s v="Government expenditure on education, total (% of government expenditure)"/>
    <n v="10.7352600097656"/>
    <x v="40"/>
  </r>
  <r>
    <x v="1"/>
    <s v="Government expenditure on education, total (% of government expenditure)"/>
    <n v="11.6836996078491"/>
    <x v="40"/>
  </r>
  <r>
    <x v="2"/>
    <s v="Government expenditure on education, total (% of government expenditure)"/>
    <n v="12.844490051269499"/>
    <x v="40"/>
  </r>
  <r>
    <x v="3"/>
    <s v="Government expenditure on education, total (% of government expenditure)"/>
    <m/>
    <x v="40"/>
  </r>
  <r>
    <x v="4"/>
    <s v="Government expenditure on education, total (% of government expenditure)"/>
    <n v="29.385950088501001"/>
    <x v="40"/>
  </r>
  <r>
    <x v="5"/>
    <s v="Government expenditure on education, total (% of government expenditure)"/>
    <n v="14.9077301025391"/>
    <x v="40"/>
  </r>
  <r>
    <x v="6"/>
    <s v="Government expenditure on education, total (% of government expenditure)"/>
    <n v="15.195969581604"/>
    <x v="40"/>
  </r>
  <r>
    <x v="7"/>
    <s v="Government expenditure on education, total (% of government expenditure)"/>
    <m/>
    <x v="40"/>
  </r>
  <r>
    <x v="8"/>
    <s v="Government expenditure on education, total (% of government expenditure)"/>
    <n v="23.397010803222699"/>
    <x v="40"/>
  </r>
  <r>
    <x v="9"/>
    <s v="Government expenditure on education, total (% of government expenditure)"/>
    <m/>
    <x v="40"/>
  </r>
  <r>
    <x v="10"/>
    <s v="Government expenditure on education, total (% of government expenditure)"/>
    <m/>
    <x v="40"/>
  </r>
  <r>
    <x v="11"/>
    <s v="Government expenditure on education, total (% of government expenditure)"/>
    <n v="15.890509605407701"/>
    <x v="40"/>
  </r>
  <r>
    <x v="12"/>
    <s v="Government expenditure on education, total (% of government expenditure)"/>
    <m/>
    <x v="40"/>
  </r>
  <r>
    <x v="13"/>
    <s v="Government expenditure on education, total (% of government expenditure)"/>
    <n v="15.323809623718301"/>
    <x v="40"/>
  </r>
  <r>
    <x v="14"/>
    <s v="Government expenditure on education, total (% of government expenditure)"/>
    <n v="12.9239301681519"/>
    <x v="40"/>
  </r>
  <r>
    <x v="15"/>
    <s v="Government expenditure on education, total (% of government expenditure)"/>
    <m/>
    <x v="40"/>
  </r>
  <r>
    <x v="16"/>
    <s v="Government expenditure on education, total (% of government expenditure)"/>
    <m/>
    <x v="40"/>
  </r>
  <r>
    <x v="17"/>
    <s v="Government expenditure on education, total (% of government expenditure)"/>
    <n v="19.113590240478501"/>
    <x v="40"/>
  </r>
  <r>
    <x v="18"/>
    <s v="Government expenditure on education, total (% of government expenditure)"/>
    <n v="14.5736999511719"/>
    <x v="40"/>
  </r>
  <r>
    <x v="19"/>
    <s v="Government expenditure on education, total (% of government expenditure)"/>
    <n v="18.7831707000732"/>
    <x v="40"/>
  </r>
  <r>
    <x v="20"/>
    <s v="Government expenditure on education, total (% of government expenditure)"/>
    <n v="18.835329055786101"/>
    <x v="40"/>
  </r>
  <r>
    <x v="21"/>
    <s v="Government expenditure on education, total (% of government expenditure)"/>
    <m/>
    <x v="40"/>
  </r>
  <r>
    <x v="22"/>
    <s v="Government expenditure on education, total (% of government expenditure)"/>
    <m/>
    <x v="40"/>
  </r>
  <r>
    <x v="23"/>
    <s v="Government expenditure on education, total (% of government expenditure)"/>
    <n v="12.025139808654799"/>
    <x v="40"/>
  </r>
  <r>
    <x v="24"/>
    <s v="Government expenditure on education, total (% of government expenditure)"/>
    <m/>
    <x v="40"/>
  </r>
  <r>
    <x v="25"/>
    <s v="Government expenditure on education, total (% of government expenditure)"/>
    <n v="10.3548698425293"/>
    <x v="40"/>
  </r>
  <r>
    <x v="26"/>
    <s v="Government expenditure on education, total (% of government expenditure)"/>
    <n v="8.3526201248168892"/>
    <x v="40"/>
  </r>
  <r>
    <x v="27"/>
    <s v="Government expenditure on education, total (% of government expenditure)"/>
    <m/>
    <x v="40"/>
  </r>
  <r>
    <x v="0"/>
    <s v="Government expenditure on education, total (% of government expenditure)"/>
    <n v="11.4331302642822"/>
    <x v="41"/>
  </r>
  <r>
    <x v="1"/>
    <s v="Government expenditure on education, total (% of government expenditure)"/>
    <n v="15.733940124511699"/>
    <x v="41"/>
  </r>
  <r>
    <x v="2"/>
    <s v="Government expenditure on education, total (% of government expenditure)"/>
    <n v="13.7868499755859"/>
    <x v="41"/>
  </r>
  <r>
    <x v="3"/>
    <s v="Government expenditure on education, total (% of government expenditure)"/>
    <m/>
    <x v="41"/>
  </r>
  <r>
    <x v="4"/>
    <s v="Government expenditure on education, total (% of government expenditure)"/>
    <n v="26.2800197601318"/>
    <x v="41"/>
  </r>
  <r>
    <x v="5"/>
    <s v="Government expenditure on education, total (% of government expenditure)"/>
    <n v="14.4617700576782"/>
    <x v="41"/>
  </r>
  <r>
    <x v="6"/>
    <s v="Government expenditure on education, total (% of government expenditure)"/>
    <n v="10.3157596588135"/>
    <x v="41"/>
  </r>
  <r>
    <x v="7"/>
    <s v="Government expenditure on education, total (% of government expenditure)"/>
    <m/>
    <x v="41"/>
  </r>
  <r>
    <x v="8"/>
    <s v="Government expenditure on education, total (% of government expenditure)"/>
    <n v="22.395709991455099"/>
    <x v="41"/>
  </r>
  <r>
    <x v="9"/>
    <s v="Government expenditure on education, total (% of government expenditure)"/>
    <m/>
    <x v="41"/>
  </r>
  <r>
    <x v="10"/>
    <s v="Government expenditure on education, total (% of government expenditure)"/>
    <m/>
    <x v="41"/>
  </r>
  <r>
    <x v="11"/>
    <s v="Government expenditure on education, total (% of government expenditure)"/>
    <n v="17.682470321655298"/>
    <x v="41"/>
  </r>
  <r>
    <x v="12"/>
    <s v="Government expenditure on education, total (% of government expenditure)"/>
    <m/>
    <x v="41"/>
  </r>
  <r>
    <x v="13"/>
    <s v="Government expenditure on education, total (% of government expenditure)"/>
    <n v="14.4931898117065"/>
    <x v="41"/>
  </r>
  <r>
    <x v="14"/>
    <s v="Government expenditure on education, total (% of government expenditure)"/>
    <n v="16.424760818481399"/>
    <x v="41"/>
  </r>
  <r>
    <x v="15"/>
    <s v="Government expenditure on education, total (% of government expenditure)"/>
    <m/>
    <x v="41"/>
  </r>
  <r>
    <x v="16"/>
    <s v="Government expenditure on education, total (% of government expenditure)"/>
    <m/>
    <x v="41"/>
  </r>
  <r>
    <x v="17"/>
    <s v="Government expenditure on education, total (% of government expenditure)"/>
    <n v="21.618940353393601"/>
    <x v="41"/>
  </r>
  <r>
    <x v="18"/>
    <s v="Government expenditure on education, total (% of government expenditure)"/>
    <m/>
    <x v="41"/>
  </r>
  <r>
    <x v="19"/>
    <s v="Government expenditure on education, total (% of government expenditure)"/>
    <n v="16.5955696105957"/>
    <x v="41"/>
  </r>
  <r>
    <x v="20"/>
    <s v="Government expenditure on education, total (% of government expenditure)"/>
    <n v="25.3131408691406"/>
    <x v="41"/>
  </r>
  <r>
    <x v="21"/>
    <s v="Government expenditure on education, total (% of government expenditure)"/>
    <m/>
    <x v="41"/>
  </r>
  <r>
    <x v="22"/>
    <s v="Government expenditure on education, total (% of government expenditure)"/>
    <m/>
    <x v="41"/>
  </r>
  <r>
    <x v="23"/>
    <s v="Government expenditure on education, total (% of government expenditure)"/>
    <n v="13.188529968261699"/>
    <x v="41"/>
  </r>
  <r>
    <x v="24"/>
    <s v="Government expenditure on education, total (% of government expenditure)"/>
    <m/>
    <x v="41"/>
  </r>
  <r>
    <x v="25"/>
    <s v="Government expenditure on education, total (% of government expenditure)"/>
    <m/>
    <x v="41"/>
  </r>
  <r>
    <x v="26"/>
    <s v="Government expenditure on education, total (% of government expenditure)"/>
    <m/>
    <x v="41"/>
  </r>
  <r>
    <x v="27"/>
    <s v="Government expenditure on education, total (% of government expenditure)"/>
    <m/>
    <x v="41"/>
  </r>
  <r>
    <x v="0"/>
    <s v="Government expenditure on education, total (% of government expenditure)"/>
    <n v="12.486080169677701"/>
    <x v="42"/>
  </r>
  <r>
    <x v="1"/>
    <s v="Government expenditure on education, total (% of government expenditure)"/>
    <m/>
    <x v="42"/>
  </r>
  <r>
    <x v="2"/>
    <s v="Government expenditure on education, total (% of government expenditure)"/>
    <m/>
    <x v="42"/>
  </r>
  <r>
    <x v="3"/>
    <s v="Government expenditure on education, total (% of government expenditure)"/>
    <n v="15.789719581604"/>
    <x v="42"/>
  </r>
  <r>
    <x v="4"/>
    <s v="Government expenditure on education, total (% of government expenditure)"/>
    <n v="25.4893093109131"/>
    <x v="42"/>
  </r>
  <r>
    <x v="5"/>
    <s v="Government expenditure on education, total (% of government expenditure)"/>
    <n v="16.187749862670799"/>
    <x v="42"/>
  </r>
  <r>
    <x v="6"/>
    <s v="Government expenditure on education, total (% of government expenditure)"/>
    <n v="13.0643196105957"/>
    <x v="42"/>
  </r>
  <r>
    <x v="7"/>
    <s v="Government expenditure on education, total (% of government expenditure)"/>
    <m/>
    <x v="42"/>
  </r>
  <r>
    <x v="8"/>
    <s v="Government expenditure on education, total (% of government expenditure)"/>
    <n v="25.628210067748999"/>
    <x v="42"/>
  </r>
  <r>
    <x v="9"/>
    <s v="Government expenditure on education, total (% of government expenditure)"/>
    <m/>
    <x v="42"/>
  </r>
  <r>
    <x v="10"/>
    <s v="Government expenditure on education, total (% of government expenditure)"/>
    <m/>
    <x v="42"/>
  </r>
  <r>
    <x v="11"/>
    <s v="Government expenditure on education, total (% of government expenditure)"/>
    <n v="17.936759948730501"/>
    <x v="42"/>
  </r>
  <r>
    <x v="12"/>
    <s v="Government expenditure on education, total (% of government expenditure)"/>
    <m/>
    <x v="42"/>
  </r>
  <r>
    <x v="13"/>
    <s v="Government expenditure on education, total (% of government expenditure)"/>
    <n v="14.5252103805541"/>
    <x v="42"/>
  </r>
  <r>
    <x v="14"/>
    <s v="Government expenditure on education, total (% of government expenditure)"/>
    <n v="17.884340286254901"/>
    <x v="42"/>
  </r>
  <r>
    <x v="15"/>
    <s v="Government expenditure on education, total (% of government expenditure)"/>
    <m/>
    <x v="42"/>
  </r>
  <r>
    <x v="16"/>
    <s v="Government expenditure on education, total (% of government expenditure)"/>
    <m/>
    <x v="42"/>
  </r>
  <r>
    <x v="17"/>
    <s v="Government expenditure on education, total (% of government expenditure)"/>
    <n v="20.426349639892599"/>
    <x v="42"/>
  </r>
  <r>
    <x v="18"/>
    <s v="Government expenditure on education, total (% of government expenditure)"/>
    <n v="15.6877899169922"/>
    <x v="42"/>
  </r>
  <r>
    <x v="19"/>
    <s v="Government expenditure on education, total (% of government expenditure)"/>
    <n v="16.652469635009801"/>
    <x v="42"/>
  </r>
  <r>
    <x v="20"/>
    <s v="Government expenditure on education, total (% of government expenditure)"/>
    <m/>
    <x v="42"/>
  </r>
  <r>
    <x v="21"/>
    <s v="Government expenditure on education, total (% of government expenditure)"/>
    <n v="6.4282898902893102"/>
    <x v="42"/>
  </r>
  <r>
    <x v="22"/>
    <s v="Government expenditure on education, total (% of government expenditure)"/>
    <m/>
    <x v="42"/>
  </r>
  <r>
    <x v="23"/>
    <s v="Government expenditure on education, total (% of government expenditure)"/>
    <n v="14.593640327453601"/>
    <x v="42"/>
  </r>
  <r>
    <x v="24"/>
    <s v="Government expenditure on education, total (% of government expenditure)"/>
    <m/>
    <x v="42"/>
  </r>
  <r>
    <x v="25"/>
    <s v="Government expenditure on education, total (% of government expenditure)"/>
    <m/>
    <x v="42"/>
  </r>
  <r>
    <x v="26"/>
    <s v="Government expenditure on education, total (% of government expenditure)"/>
    <m/>
    <x v="42"/>
  </r>
  <r>
    <x v="27"/>
    <s v="Government expenditure on education, total (% of government expenditure)"/>
    <m/>
    <x v="42"/>
  </r>
  <r>
    <x v="0"/>
    <s v="Government expenditure on education, total (% of government expenditure)"/>
    <m/>
    <x v="43"/>
  </r>
  <r>
    <x v="1"/>
    <s v="Government expenditure on education, total (% of government expenditure)"/>
    <n v="21.442020416259801"/>
    <x v="43"/>
  </r>
  <r>
    <x v="2"/>
    <s v="Government expenditure on education, total (% of government expenditure)"/>
    <m/>
    <x v="43"/>
  </r>
  <r>
    <x v="3"/>
    <s v="Government expenditure on education, total (% of government expenditure)"/>
    <m/>
    <x v="43"/>
  </r>
  <r>
    <x v="4"/>
    <s v="Government expenditure on education, total (% of government expenditure)"/>
    <n v="24.271490097045799"/>
    <x v="43"/>
  </r>
  <r>
    <x v="5"/>
    <s v="Government expenditure on education, total (% of government expenditure)"/>
    <m/>
    <x v="43"/>
  </r>
  <r>
    <x v="6"/>
    <s v="Government expenditure on education, total (% of government expenditure)"/>
    <n v="11.6247501373291"/>
    <x v="43"/>
  </r>
  <r>
    <x v="7"/>
    <s v="Government expenditure on education, total (% of government expenditure)"/>
    <m/>
    <x v="43"/>
  </r>
  <r>
    <x v="8"/>
    <s v="Government expenditure on education, total (% of government expenditure)"/>
    <n v="24.980089187622099"/>
    <x v="43"/>
  </r>
  <r>
    <x v="9"/>
    <s v="Government expenditure on education, total (% of government expenditure)"/>
    <m/>
    <x v="43"/>
  </r>
  <r>
    <x v="10"/>
    <s v="Government expenditure on education, total (% of government expenditure)"/>
    <m/>
    <x v="43"/>
  </r>
  <r>
    <x v="11"/>
    <s v="Government expenditure on education, total (% of government expenditure)"/>
    <n v="15.763139724731399"/>
    <x v="43"/>
  </r>
  <r>
    <x v="12"/>
    <s v="Government expenditure on education, total (% of government expenditure)"/>
    <n v="16.552570343017599"/>
    <x v="43"/>
  </r>
  <r>
    <x v="13"/>
    <s v="Government expenditure on education, total (% of government expenditure)"/>
    <n v="18.283760070800799"/>
    <x v="43"/>
  </r>
  <r>
    <x v="14"/>
    <s v="Government expenditure on education, total (% of government expenditure)"/>
    <n v="16.192590713501001"/>
    <x v="43"/>
  </r>
  <r>
    <x v="15"/>
    <s v="Government expenditure on education, total (% of government expenditure)"/>
    <m/>
    <x v="43"/>
  </r>
  <r>
    <x v="16"/>
    <s v="Government expenditure on education, total (% of government expenditure)"/>
    <m/>
    <x v="43"/>
  </r>
  <r>
    <x v="17"/>
    <s v="Government expenditure on education, total (% of government expenditure)"/>
    <n v="21.302179336547901"/>
    <x v="43"/>
  </r>
  <r>
    <x v="18"/>
    <s v="Government expenditure on education, total (% of government expenditure)"/>
    <n v="14.887000083923301"/>
    <x v="43"/>
  </r>
  <r>
    <x v="19"/>
    <s v="Government expenditure on education, total (% of government expenditure)"/>
    <n v="13.8454999923706"/>
    <x v="43"/>
  </r>
  <r>
    <x v="20"/>
    <s v="Government expenditure on education, total (% of government expenditure)"/>
    <m/>
    <x v="43"/>
  </r>
  <r>
    <x v="21"/>
    <s v="Government expenditure on education, total (% of government expenditure)"/>
    <n v="6.6890897750854501"/>
    <x v="43"/>
  </r>
  <r>
    <x v="22"/>
    <s v="Government expenditure on education, total (% of government expenditure)"/>
    <m/>
    <x v="43"/>
  </r>
  <r>
    <x v="23"/>
    <s v="Government expenditure on education, total (% of government expenditure)"/>
    <n v="12.694239616394"/>
    <x v="43"/>
  </r>
  <r>
    <x v="24"/>
    <s v="Government expenditure on education, total (% of government expenditure)"/>
    <m/>
    <x v="43"/>
  </r>
  <r>
    <x v="25"/>
    <s v="Government expenditure on education, total (% of government expenditure)"/>
    <m/>
    <x v="43"/>
  </r>
  <r>
    <x v="26"/>
    <s v="Government expenditure on education, total (% of government expenditure)"/>
    <m/>
    <x v="43"/>
  </r>
  <r>
    <x v="27"/>
    <s v="Government expenditure on education, total (% of government expenditure)"/>
    <m/>
    <x v="43"/>
  </r>
  <r>
    <x v="0"/>
    <s v="Government expenditure on education, total (% of government expenditure)"/>
    <n v="9.1790800094604403"/>
    <x v="44"/>
  </r>
  <r>
    <x v="1"/>
    <s v="Government expenditure on education, total (% of government expenditure)"/>
    <n v="20.847120285034201"/>
    <x v="44"/>
  </r>
  <r>
    <x v="2"/>
    <s v="Government expenditure on education, total (% of government expenditure)"/>
    <n v="11.0319004058838"/>
    <x v="44"/>
  </r>
  <r>
    <x v="3"/>
    <s v="Government expenditure on education, total (% of government expenditure)"/>
    <m/>
    <x v="44"/>
  </r>
  <r>
    <x v="4"/>
    <s v="Government expenditure on education, total (% of government expenditure)"/>
    <n v="24.7011394500732"/>
    <x v="44"/>
  </r>
  <r>
    <x v="5"/>
    <s v="Government expenditure on education, total (% of government expenditure)"/>
    <m/>
    <x v="44"/>
  </r>
  <r>
    <x v="6"/>
    <s v="Government expenditure on education, total (% of government expenditure)"/>
    <n v="12.3133001327515"/>
    <x v="44"/>
  </r>
  <r>
    <x v="7"/>
    <s v="Government expenditure on education, total (% of government expenditure)"/>
    <m/>
    <x v="44"/>
  </r>
  <r>
    <x v="8"/>
    <s v="Government expenditure on education, total (% of government expenditure)"/>
    <n v="26.668149948120099"/>
    <x v="44"/>
  </r>
  <r>
    <x v="9"/>
    <s v="Government expenditure on education, total (% of government expenditure)"/>
    <m/>
    <x v="44"/>
  </r>
  <r>
    <x v="10"/>
    <s v="Government expenditure on education, total (% of government expenditure)"/>
    <m/>
    <x v="44"/>
  </r>
  <r>
    <x v="11"/>
    <s v="Government expenditure on education, total (% of government expenditure)"/>
    <n v="12.9607696533203"/>
    <x v="44"/>
  </r>
  <r>
    <x v="12"/>
    <s v="Government expenditure on education, total (% of government expenditure)"/>
    <m/>
    <x v="44"/>
  </r>
  <r>
    <x v="13"/>
    <s v="Government expenditure on education, total (% of government expenditure)"/>
    <n v="17.736349105835"/>
    <x v="44"/>
  </r>
  <r>
    <x v="14"/>
    <s v="Government expenditure on education, total (% of government expenditure)"/>
    <n v="19.452020645141602"/>
    <x v="44"/>
  </r>
  <r>
    <x v="15"/>
    <s v="Government expenditure on education, total (% of government expenditure)"/>
    <n v="18.001539230346701"/>
    <x v="44"/>
  </r>
  <r>
    <x v="16"/>
    <s v="Government expenditure on education, total (% of government expenditure)"/>
    <m/>
    <x v="44"/>
  </r>
  <r>
    <x v="17"/>
    <s v="Government expenditure on education, total (% of government expenditure)"/>
    <n v="21.60618019104"/>
    <x v="44"/>
  </r>
  <r>
    <x v="18"/>
    <s v="Government expenditure on education, total (% of government expenditure)"/>
    <m/>
    <x v="44"/>
  </r>
  <r>
    <x v="19"/>
    <s v="Government expenditure on education, total (% of government expenditure)"/>
    <m/>
    <x v="44"/>
  </r>
  <r>
    <x v="20"/>
    <s v="Government expenditure on education, total (% of government expenditure)"/>
    <m/>
    <x v="44"/>
  </r>
  <r>
    <x v="21"/>
    <s v="Government expenditure on education, total (% of government expenditure)"/>
    <n v="5.8499097824096697"/>
    <x v="44"/>
  </r>
  <r>
    <x v="22"/>
    <s v="Government expenditure on education, total (% of government expenditure)"/>
    <m/>
    <x v="44"/>
  </r>
  <r>
    <x v="23"/>
    <s v="Government expenditure on education, total (% of government expenditure)"/>
    <n v="13.676759719848601"/>
    <x v="44"/>
  </r>
  <r>
    <x v="24"/>
    <s v="Government expenditure on education, total (% of government expenditure)"/>
    <n v="19.492639541626001"/>
    <x v="44"/>
  </r>
  <r>
    <x v="25"/>
    <s v="Government expenditure on education, total (% of government expenditure)"/>
    <n v="20.3083400726318"/>
    <x v="44"/>
  </r>
  <r>
    <x v="26"/>
    <s v="Government expenditure on education, total (% of government expenditure)"/>
    <n v="10.584989547729499"/>
    <x v="44"/>
  </r>
  <r>
    <x v="27"/>
    <s v="Government expenditure on education, total (% of government expenditure)"/>
    <m/>
    <x v="44"/>
  </r>
  <r>
    <x v="0"/>
    <s v="Government expenditure on education, total (% of government expenditure)"/>
    <n v="10.9592695236206"/>
    <x v="45"/>
  </r>
  <r>
    <x v="1"/>
    <s v="Government expenditure on education, total (% of government expenditure)"/>
    <n v="21.377609252929702"/>
    <x v="45"/>
  </r>
  <r>
    <x v="2"/>
    <s v="Government expenditure on education, total (% of government expenditure)"/>
    <n v="14.672820091247599"/>
    <x v="45"/>
  </r>
  <r>
    <x v="3"/>
    <s v="Government expenditure on education, total (% of government expenditure)"/>
    <m/>
    <x v="45"/>
  </r>
  <r>
    <x v="4"/>
    <s v="Government expenditure on education, total (% of government expenditure)"/>
    <n v="22.715049743652301"/>
    <x v="45"/>
  </r>
  <r>
    <x v="5"/>
    <s v="Government expenditure on education, total (% of government expenditure)"/>
    <m/>
    <x v="45"/>
  </r>
  <r>
    <x v="6"/>
    <s v="Government expenditure on education, total (% of government expenditure)"/>
    <n v="10.9474697113037"/>
    <x v="45"/>
  </r>
  <r>
    <x v="7"/>
    <s v="Government expenditure on education, total (% of government expenditure)"/>
    <m/>
    <x v="45"/>
  </r>
  <r>
    <x v="8"/>
    <s v="Government expenditure on education, total (% of government expenditure)"/>
    <n v="27.4693393707275"/>
    <x v="45"/>
  </r>
  <r>
    <x v="9"/>
    <s v="Government expenditure on education, total (% of government expenditure)"/>
    <m/>
    <x v="45"/>
  </r>
  <r>
    <x v="10"/>
    <s v="Government expenditure on education, total (% of government expenditure)"/>
    <m/>
    <x v="45"/>
  </r>
  <r>
    <x v="11"/>
    <s v="Government expenditure on education, total (% of government expenditure)"/>
    <n v="18.033039093017599"/>
    <x v="45"/>
  </r>
  <r>
    <x v="12"/>
    <s v="Government expenditure on education, total (% of government expenditure)"/>
    <m/>
    <x v="45"/>
  </r>
  <r>
    <x v="13"/>
    <s v="Government expenditure on education, total (% of government expenditure)"/>
    <n v="16.280300140380898"/>
    <x v="45"/>
  </r>
  <r>
    <x v="14"/>
    <s v="Government expenditure on education, total (% of government expenditure)"/>
    <n v="19.2966499328613"/>
    <x v="45"/>
  </r>
  <r>
    <x v="15"/>
    <s v="Government expenditure on education, total (% of government expenditure)"/>
    <n v="22.7181797027588"/>
    <x v="45"/>
  </r>
  <r>
    <x v="16"/>
    <s v="Government expenditure on education, total (% of government expenditure)"/>
    <m/>
    <x v="45"/>
  </r>
  <r>
    <x v="17"/>
    <s v="Government expenditure on education, total (% of government expenditure)"/>
    <n v="22.276889801025401"/>
    <x v="45"/>
  </r>
  <r>
    <x v="18"/>
    <s v="Government expenditure on education, total (% of government expenditure)"/>
    <m/>
    <x v="45"/>
  </r>
  <r>
    <x v="19"/>
    <s v="Government expenditure on education, total (% of government expenditure)"/>
    <m/>
    <x v="45"/>
  </r>
  <r>
    <x v="20"/>
    <s v="Government expenditure on education, total (% of government expenditure)"/>
    <m/>
    <x v="45"/>
  </r>
  <r>
    <x v="21"/>
    <s v="Government expenditure on education, total (% of government expenditure)"/>
    <n v="12.1264896392822"/>
    <x v="45"/>
  </r>
  <r>
    <x v="22"/>
    <s v="Government expenditure on education, total (% of government expenditure)"/>
    <m/>
    <x v="45"/>
  </r>
  <r>
    <x v="23"/>
    <s v="Government expenditure on education, total (% of government expenditure)"/>
    <n v="15.2933797836304"/>
    <x v="45"/>
  </r>
  <r>
    <x v="24"/>
    <s v="Government expenditure on education, total (% of government expenditure)"/>
    <n v="18.143140792846701"/>
    <x v="45"/>
  </r>
  <r>
    <x v="25"/>
    <s v="Government expenditure on education, total (% of government expenditure)"/>
    <m/>
    <x v="45"/>
  </r>
  <r>
    <x v="26"/>
    <s v="Government expenditure on education, total (% of government expenditure)"/>
    <n v="7.7297301292419398"/>
    <x v="45"/>
  </r>
  <r>
    <x v="27"/>
    <s v="Government expenditure on education, total (% of government expenditure)"/>
    <m/>
    <x v="45"/>
  </r>
  <r>
    <x v="0"/>
    <s v="Government expenditure on education, total (% of government expenditure)"/>
    <m/>
    <x v="46"/>
  </r>
  <r>
    <x v="1"/>
    <s v="Government expenditure on education, total (% of government expenditure)"/>
    <n v="20.312650680541999"/>
    <x v="46"/>
  </r>
  <r>
    <x v="2"/>
    <s v="Government expenditure on education, total (% of government expenditure)"/>
    <m/>
    <x v="46"/>
  </r>
  <r>
    <x v="3"/>
    <s v="Government expenditure on education, total (% of government expenditure)"/>
    <m/>
    <x v="46"/>
  </r>
  <r>
    <x v="4"/>
    <s v="Government expenditure on education, total (% of government expenditure)"/>
    <n v="24.707960128784201"/>
    <x v="46"/>
  </r>
  <r>
    <x v="5"/>
    <s v="Government expenditure on education, total (% of government expenditure)"/>
    <n v="23.975379943847699"/>
    <x v="46"/>
  </r>
  <r>
    <x v="6"/>
    <s v="Government expenditure on education, total (% of government expenditure)"/>
    <m/>
    <x v="46"/>
  </r>
  <r>
    <x v="7"/>
    <s v="Government expenditure on education, total (% of government expenditure)"/>
    <m/>
    <x v="46"/>
  </r>
  <r>
    <x v="8"/>
    <s v="Government expenditure on education, total (% of government expenditure)"/>
    <n v="25.0813999176025"/>
    <x v="46"/>
  </r>
  <r>
    <x v="9"/>
    <s v="Government expenditure on education, total (% of government expenditure)"/>
    <m/>
    <x v="46"/>
  </r>
  <r>
    <x v="10"/>
    <s v="Government expenditure on education, total (% of government expenditure)"/>
    <m/>
    <x v="46"/>
  </r>
  <r>
    <x v="11"/>
    <s v="Government expenditure on education, total (% of government expenditure)"/>
    <n v="15.324190139770501"/>
    <x v="46"/>
  </r>
  <r>
    <x v="12"/>
    <s v="Government expenditure on education, total (% of government expenditure)"/>
    <m/>
    <x v="46"/>
  </r>
  <r>
    <x v="13"/>
    <s v="Government expenditure on education, total (% of government expenditure)"/>
    <m/>
    <x v="46"/>
  </r>
  <r>
    <x v="14"/>
    <s v="Government expenditure on education, total (% of government expenditure)"/>
    <n v="18.608819961547901"/>
    <x v="46"/>
  </r>
  <r>
    <x v="15"/>
    <s v="Government expenditure on education, total (% of government expenditure)"/>
    <n v="18.5500392913818"/>
    <x v="46"/>
  </r>
  <r>
    <x v="16"/>
    <s v="Government expenditure on education, total (% of government expenditure)"/>
    <m/>
    <x v="46"/>
  </r>
  <r>
    <x v="17"/>
    <s v="Government expenditure on education, total (% of government expenditure)"/>
    <n v="25.485040664672901"/>
    <x v="46"/>
  </r>
  <r>
    <x v="18"/>
    <s v="Government expenditure on education, total (% of government expenditure)"/>
    <m/>
    <x v="46"/>
  </r>
  <r>
    <x v="19"/>
    <s v="Government expenditure on education, total (% of government expenditure)"/>
    <n v="16.8837699890137"/>
    <x v="46"/>
  </r>
  <r>
    <x v="20"/>
    <s v="Government expenditure on education, total (% of government expenditure)"/>
    <m/>
    <x v="46"/>
  </r>
  <r>
    <x v="21"/>
    <s v="Government expenditure on education, total (% of government expenditure)"/>
    <n v="14.088410377502401"/>
    <x v="46"/>
  </r>
  <r>
    <x v="22"/>
    <s v="Government expenditure on education, total (% of government expenditure)"/>
    <m/>
    <x v="46"/>
  </r>
  <r>
    <x v="23"/>
    <s v="Government expenditure on education, total (% of government expenditure)"/>
    <n v="15.636010169982899"/>
    <x v="46"/>
  </r>
  <r>
    <x v="24"/>
    <s v="Government expenditure on education, total (% of government expenditure)"/>
    <n v="15.0141201019287"/>
    <x v="46"/>
  </r>
  <r>
    <x v="25"/>
    <s v="Government expenditure on education, total (% of government expenditure)"/>
    <m/>
    <x v="46"/>
  </r>
  <r>
    <x v="26"/>
    <s v="Government expenditure on education, total (% of government expenditure)"/>
    <m/>
    <x v="46"/>
  </r>
  <r>
    <x v="27"/>
    <s v="Government expenditure on education, total (% of government expenditure)"/>
    <m/>
    <x v="46"/>
  </r>
  <r>
    <x v="0"/>
    <s v="Government expenditure on education, total (% of government expenditure)"/>
    <m/>
    <x v="47"/>
  </r>
  <r>
    <x v="1"/>
    <s v="Government expenditure on education, total (% of government expenditure)"/>
    <n v="21.568220138549801"/>
    <x v="47"/>
  </r>
  <r>
    <x v="2"/>
    <s v="Government expenditure on education, total (% of government expenditure)"/>
    <m/>
    <x v="47"/>
  </r>
  <r>
    <x v="3"/>
    <s v="Government expenditure on education, total (% of government expenditure)"/>
    <m/>
    <x v="47"/>
  </r>
  <r>
    <x v="4"/>
    <s v="Government expenditure on education, total (% of government expenditure)"/>
    <n v="22.527439117431602"/>
    <x v="47"/>
  </r>
  <r>
    <x v="5"/>
    <s v="Government expenditure on education, total (% of government expenditure)"/>
    <n v="24.699449539184599"/>
    <x v="47"/>
  </r>
  <r>
    <x v="6"/>
    <s v="Government expenditure on education, total (% of government expenditure)"/>
    <m/>
    <x v="47"/>
  </r>
  <r>
    <x v="7"/>
    <s v="Government expenditure on education, total (% of government expenditure)"/>
    <m/>
    <x v="47"/>
  </r>
  <r>
    <x v="8"/>
    <s v="Government expenditure on education, total (% of government expenditure)"/>
    <m/>
    <x v="47"/>
  </r>
  <r>
    <x v="9"/>
    <s v="Government expenditure on education, total (% of government expenditure)"/>
    <m/>
    <x v="47"/>
  </r>
  <r>
    <x v="10"/>
    <s v="Government expenditure on education, total (% of government expenditure)"/>
    <m/>
    <x v="47"/>
  </r>
  <r>
    <x v="11"/>
    <s v="Government expenditure on education, total (% of government expenditure)"/>
    <n v="18.044549942016602"/>
    <x v="47"/>
  </r>
  <r>
    <x v="12"/>
    <s v="Government expenditure on education, total (% of government expenditure)"/>
    <m/>
    <x v="47"/>
  </r>
  <r>
    <x v="13"/>
    <s v="Government expenditure on education, total (% of government expenditure)"/>
    <m/>
    <x v="47"/>
  </r>
  <r>
    <x v="14"/>
    <s v="Government expenditure on education, total (% of government expenditure)"/>
    <n v="19.416969299316399"/>
    <x v="47"/>
  </r>
  <r>
    <x v="15"/>
    <s v="Government expenditure on education, total (% of government expenditure)"/>
    <m/>
    <x v="47"/>
  </r>
  <r>
    <x v="16"/>
    <s v="Government expenditure on education, total (% of government expenditure)"/>
    <m/>
    <x v="47"/>
  </r>
  <r>
    <x v="17"/>
    <s v="Government expenditure on education, total (% of government expenditure)"/>
    <n v="21.128669738769499"/>
    <x v="47"/>
  </r>
  <r>
    <x v="18"/>
    <s v="Government expenditure on education, total (% of government expenditure)"/>
    <m/>
    <x v="47"/>
  </r>
  <r>
    <x v="19"/>
    <s v="Government expenditure on education, total (% of government expenditure)"/>
    <n v="17.375970840454102"/>
    <x v="47"/>
  </r>
  <r>
    <x v="20"/>
    <s v="Government expenditure on education, total (% of government expenditure)"/>
    <n v="17.7865505218506"/>
    <x v="47"/>
  </r>
  <r>
    <x v="21"/>
    <s v="Government expenditure on education, total (% of government expenditure)"/>
    <n v="16.659690856933601"/>
    <x v="47"/>
  </r>
  <r>
    <x v="22"/>
    <s v="Government expenditure on education, total (% of government expenditure)"/>
    <m/>
    <x v="47"/>
  </r>
  <r>
    <x v="23"/>
    <s v="Government expenditure on education, total (% of government expenditure)"/>
    <n v="12.214879989624"/>
    <x v="47"/>
  </r>
  <r>
    <x v="24"/>
    <s v="Government expenditure on education, total (% of government expenditure)"/>
    <n v="19.431739807128899"/>
    <x v="47"/>
  </r>
  <r>
    <x v="25"/>
    <s v="Government expenditure on education, total (% of government expenditure)"/>
    <m/>
    <x v="47"/>
  </r>
  <r>
    <x v="26"/>
    <s v="Government expenditure on education, total (% of government expenditure)"/>
    <n v="6.2279100418090803"/>
    <x v="47"/>
  </r>
  <r>
    <x v="27"/>
    <s v="Government expenditure on education, total (% of government expenditure)"/>
    <m/>
    <x v="47"/>
  </r>
  <r>
    <x v="0"/>
    <s v="Government expenditure on education, total (% of government expenditure)"/>
    <n v="12.6155395507813"/>
    <x v="48"/>
  </r>
  <r>
    <x v="1"/>
    <s v="Government expenditure on education, total (% of government expenditure)"/>
    <n v="15.588640213012701"/>
    <x v="48"/>
  </r>
  <r>
    <x v="2"/>
    <s v="Government expenditure on education, total (% of government expenditure)"/>
    <m/>
    <x v="48"/>
  </r>
  <r>
    <x v="3"/>
    <s v="Government expenditure on education, total (% of government expenditure)"/>
    <n v="29.233119964599599"/>
    <x v="48"/>
  </r>
  <r>
    <x v="4"/>
    <s v="Government expenditure on education, total (% of government expenditure)"/>
    <m/>
    <x v="48"/>
  </r>
  <r>
    <x v="5"/>
    <s v="Government expenditure on education, total (% of government expenditure)"/>
    <n v="26.355730056762699"/>
    <x v="48"/>
  </r>
  <r>
    <x v="6"/>
    <s v="Government expenditure on education, total (% of government expenditure)"/>
    <n v="15.678259849548301"/>
    <x v="48"/>
  </r>
  <r>
    <x v="7"/>
    <s v="Government expenditure on education, total (% of government expenditure)"/>
    <m/>
    <x v="48"/>
  </r>
  <r>
    <x v="8"/>
    <s v="Government expenditure on education, total (% of government expenditure)"/>
    <m/>
    <x v="48"/>
  </r>
  <r>
    <x v="9"/>
    <s v="Government expenditure on education, total (% of government expenditure)"/>
    <m/>
    <x v="48"/>
  </r>
  <r>
    <x v="10"/>
    <s v="Government expenditure on education, total (% of government expenditure)"/>
    <n v="7.27841997146606"/>
    <x v="48"/>
  </r>
  <r>
    <x v="11"/>
    <s v="Government expenditure on education, total (% of government expenditure)"/>
    <n v="16.258140563964801"/>
    <x v="48"/>
  </r>
  <r>
    <x v="12"/>
    <s v="Government expenditure on education, total (% of government expenditure)"/>
    <m/>
    <x v="48"/>
  </r>
  <r>
    <x v="13"/>
    <s v="Government expenditure on education, total (% of government expenditure)"/>
    <n v="18.031690597534201"/>
    <x v="48"/>
  </r>
  <r>
    <x v="14"/>
    <s v="Government expenditure on education, total (% of government expenditure)"/>
    <n v="19.850080490112301"/>
    <x v="48"/>
  </r>
  <r>
    <x v="15"/>
    <s v="Government expenditure on education, total (% of government expenditure)"/>
    <m/>
    <x v="48"/>
  </r>
  <r>
    <x v="16"/>
    <s v="Government expenditure on education, total (% of government expenditure)"/>
    <m/>
    <x v="48"/>
  </r>
  <r>
    <x v="17"/>
    <s v="Government expenditure on education, total (% of government expenditure)"/>
    <n v="22.114820480346701"/>
    <x v="48"/>
  </r>
  <r>
    <x v="18"/>
    <s v="Government expenditure on education, total (% of government expenditure)"/>
    <m/>
    <x v="48"/>
  </r>
  <r>
    <x v="19"/>
    <s v="Government expenditure on education, total (% of government expenditure)"/>
    <n v="16.177330017089801"/>
    <x v="48"/>
  </r>
  <r>
    <x v="20"/>
    <s v="Government expenditure on education, total (% of government expenditure)"/>
    <n v="15.591509819030801"/>
    <x v="48"/>
  </r>
  <r>
    <x v="21"/>
    <s v="Government expenditure on education, total (% of government expenditure)"/>
    <n v="18.243320465087901"/>
    <x v="48"/>
  </r>
  <r>
    <x v="22"/>
    <s v="Government expenditure on education, total (% of government expenditure)"/>
    <m/>
    <x v="48"/>
  </r>
  <r>
    <x v="23"/>
    <s v="Government expenditure on education, total (% of government expenditure)"/>
    <n v="12.800499916076699"/>
    <x v="48"/>
  </r>
  <r>
    <x v="24"/>
    <s v="Government expenditure on education, total (% of government expenditure)"/>
    <n v="18.7784099578857"/>
    <x v="48"/>
  </r>
  <r>
    <x v="25"/>
    <s v="Government expenditure on education, total (% of government expenditure)"/>
    <m/>
    <x v="48"/>
  </r>
  <r>
    <x v="26"/>
    <s v="Government expenditure on education, total (% of government expenditure)"/>
    <n v="5.6518001556396502"/>
    <x v="48"/>
  </r>
  <r>
    <x v="27"/>
    <s v="Government expenditure on education, total (% of government expenditure)"/>
    <m/>
    <x v="48"/>
  </r>
  <r>
    <x v="0"/>
    <s v="Government expenditure on education, total (% of government expenditure)"/>
    <n v="16.301689147949201"/>
    <x v="49"/>
  </r>
  <r>
    <x v="1"/>
    <s v="Government expenditure on education, total (% of government expenditure)"/>
    <n v="19.779790878295799"/>
    <x v="49"/>
  </r>
  <r>
    <x v="2"/>
    <s v="Government expenditure on education, total (% of government expenditure)"/>
    <n v="9.5415897369384801"/>
    <x v="49"/>
  </r>
  <r>
    <x v="3"/>
    <s v="Government expenditure on education, total (% of government expenditure)"/>
    <m/>
    <x v="49"/>
  </r>
  <r>
    <x v="4"/>
    <s v="Government expenditure on education, total (% of government expenditure)"/>
    <m/>
    <x v="49"/>
  </r>
  <r>
    <x v="5"/>
    <s v="Government expenditure on education, total (% of government expenditure)"/>
    <n v="23.5837497711182"/>
    <x v="49"/>
  </r>
  <r>
    <x v="6"/>
    <s v="Government expenditure on education, total (% of government expenditure)"/>
    <n v="13.583399772644"/>
    <x v="49"/>
  </r>
  <r>
    <x v="7"/>
    <s v="Government expenditure on education, total (% of government expenditure)"/>
    <m/>
    <x v="49"/>
  </r>
  <r>
    <x v="8"/>
    <s v="Government expenditure on education, total (% of government expenditure)"/>
    <m/>
    <x v="49"/>
  </r>
  <r>
    <x v="9"/>
    <s v="Government expenditure on education, total (% of government expenditure)"/>
    <m/>
    <x v="49"/>
  </r>
  <r>
    <x v="10"/>
    <s v="Government expenditure on education, total (% of government expenditure)"/>
    <m/>
    <x v="49"/>
  </r>
  <r>
    <x v="11"/>
    <s v="Government expenditure on education, total (% of government expenditure)"/>
    <n v="22.585830688476602"/>
    <x v="49"/>
  </r>
  <r>
    <x v="12"/>
    <s v="Government expenditure on education, total (% of government expenditure)"/>
    <m/>
    <x v="49"/>
  </r>
  <r>
    <x v="13"/>
    <s v="Government expenditure on education, total (% of government expenditure)"/>
    <n v="16.959409713745099"/>
    <x v="49"/>
  </r>
  <r>
    <x v="14"/>
    <s v="Government expenditure on education, total (% of government expenditure)"/>
    <n v="20.992630004882798"/>
    <x v="49"/>
  </r>
  <r>
    <x v="15"/>
    <s v="Government expenditure on education, total (% of government expenditure)"/>
    <m/>
    <x v="49"/>
  </r>
  <r>
    <x v="16"/>
    <s v="Government expenditure on education, total (% of government expenditure)"/>
    <m/>
    <x v="49"/>
  </r>
  <r>
    <x v="17"/>
    <s v="Government expenditure on education, total (% of government expenditure)"/>
    <n v="19.847530364990199"/>
    <x v="49"/>
  </r>
  <r>
    <x v="18"/>
    <s v="Government expenditure on education, total (% of government expenditure)"/>
    <m/>
    <x v="49"/>
  </r>
  <r>
    <x v="19"/>
    <s v="Government expenditure on education, total (% of government expenditure)"/>
    <n v="18.912939071655298"/>
    <x v="49"/>
  </r>
  <r>
    <x v="20"/>
    <s v="Government expenditure on education, total (% of government expenditure)"/>
    <m/>
    <x v="49"/>
  </r>
  <r>
    <x v="21"/>
    <s v="Government expenditure on education, total (% of government expenditure)"/>
    <n v="20.5594997406006"/>
    <x v="49"/>
  </r>
  <r>
    <x v="22"/>
    <s v="Government expenditure on education, total (% of government expenditure)"/>
    <n v="8.2707901000976598"/>
    <x v="49"/>
  </r>
  <r>
    <x v="23"/>
    <s v="Government expenditure on education, total (% of government expenditure)"/>
    <n v="14.312159538269"/>
    <x v="49"/>
  </r>
  <r>
    <x v="24"/>
    <s v="Government expenditure on education, total (% of government expenditure)"/>
    <n v="17.4109191894531"/>
    <x v="49"/>
  </r>
  <r>
    <x v="25"/>
    <s v="Government expenditure on education, total (% of government expenditure)"/>
    <m/>
    <x v="49"/>
  </r>
  <r>
    <x v="26"/>
    <s v="Government expenditure on education, total (% of government expenditure)"/>
    <m/>
    <x v="49"/>
  </r>
  <r>
    <x v="27"/>
    <s v="Government expenditure on education, total (% of government expenditure)"/>
    <m/>
    <x v="49"/>
  </r>
  <r>
    <x v="0"/>
    <s v="Government expenditure on education, total (% of government expenditure)"/>
    <n v="16.588100433349599"/>
    <x v="50"/>
  </r>
  <r>
    <x v="1"/>
    <s v="Government expenditure on education, total (% of government expenditure)"/>
    <n v="18.753889083862301"/>
    <x v="50"/>
  </r>
  <r>
    <x v="2"/>
    <s v="Government expenditure on education, total (% of government expenditure)"/>
    <n v="8.1192798614502006"/>
    <x v="50"/>
  </r>
  <r>
    <x v="3"/>
    <s v="Government expenditure on education, total (% of government expenditure)"/>
    <m/>
    <x v="50"/>
  </r>
  <r>
    <x v="4"/>
    <s v="Government expenditure on education, total (% of government expenditure)"/>
    <n v="12.3283996582031"/>
    <x v="50"/>
  </r>
  <r>
    <x v="5"/>
    <s v="Government expenditure on education, total (% of government expenditure)"/>
    <n v="26.304040908813501"/>
    <x v="50"/>
  </r>
  <r>
    <x v="6"/>
    <s v="Government expenditure on education, total (% of government expenditure)"/>
    <n v="12.4383201599121"/>
    <x v="50"/>
  </r>
  <r>
    <x v="7"/>
    <s v="Government expenditure on education, total (% of government expenditure)"/>
    <m/>
    <x v="50"/>
  </r>
  <r>
    <x v="8"/>
    <s v="Government expenditure on education, total (% of government expenditure)"/>
    <n v="20.5559902191162"/>
    <x v="50"/>
  </r>
  <r>
    <x v="9"/>
    <s v="Government expenditure on education, total (% of government expenditure)"/>
    <m/>
    <x v="50"/>
  </r>
  <r>
    <x v="10"/>
    <s v="Government expenditure on education, total (% of government expenditure)"/>
    <m/>
    <x v="50"/>
  </r>
  <r>
    <x v="11"/>
    <s v="Government expenditure on education, total (% of government expenditure)"/>
    <m/>
    <x v="50"/>
  </r>
  <r>
    <x v="12"/>
    <s v="Government expenditure on education, total (% of government expenditure)"/>
    <n v="12.5179595947266"/>
    <x v="50"/>
  </r>
  <r>
    <x v="13"/>
    <s v="Government expenditure on education, total (% of government expenditure)"/>
    <n v="16.503910064697301"/>
    <x v="50"/>
  </r>
  <r>
    <x v="14"/>
    <s v="Government expenditure on education, total (% of government expenditure)"/>
    <n v="22.267009735107401"/>
    <x v="50"/>
  </r>
  <r>
    <x v="15"/>
    <s v="Government expenditure on education, total (% of government expenditure)"/>
    <m/>
    <x v="50"/>
  </r>
  <r>
    <x v="16"/>
    <s v="Government expenditure on education, total (% of government expenditure)"/>
    <m/>
    <x v="50"/>
  </r>
  <r>
    <x v="17"/>
    <s v="Government expenditure on education, total (% of government expenditure)"/>
    <n v="16.024829864501999"/>
    <x v="50"/>
  </r>
  <r>
    <x v="18"/>
    <s v="Government expenditure on education, total (% of government expenditure)"/>
    <n v="22.753669738769499"/>
    <x v="50"/>
  </r>
  <r>
    <x v="19"/>
    <s v="Government expenditure on education, total (% of government expenditure)"/>
    <n v="18.104040145873999"/>
    <x v="50"/>
  </r>
  <r>
    <x v="20"/>
    <s v="Government expenditure on education, total (% of government expenditure)"/>
    <n v="17.548059463501001"/>
    <x v="50"/>
  </r>
  <r>
    <x v="21"/>
    <s v="Government expenditure on education, total (% of government expenditure)"/>
    <n v="19.3235893249512"/>
    <x v="50"/>
  </r>
  <r>
    <x v="22"/>
    <s v="Government expenditure on education, total (% of government expenditure)"/>
    <n v="8.6056604385375994"/>
    <x v="50"/>
  </r>
  <r>
    <x v="23"/>
    <s v="Government expenditure on education, total (% of government expenditure)"/>
    <n v="15.3314504623413"/>
    <x v="50"/>
  </r>
  <r>
    <x v="24"/>
    <s v="Government expenditure on education, total (% of government expenditure)"/>
    <n v="19.6480102539063"/>
    <x v="50"/>
  </r>
  <r>
    <x v="25"/>
    <s v="Government expenditure on education, total (% of government expenditure)"/>
    <n v="10.104889869689901"/>
    <x v="50"/>
  </r>
  <r>
    <x v="26"/>
    <s v="Government expenditure on education, total (% of government expenditure)"/>
    <m/>
    <x v="50"/>
  </r>
  <r>
    <x v="27"/>
    <s v="Government expenditure on education, total (% of government expenditure)"/>
    <n v="8.7209100723266602"/>
    <x v="50"/>
  </r>
  <r>
    <x v="0"/>
    <s v="Government expenditure on education, total (% of government expenditure)"/>
    <n v="14.9792995452881"/>
    <x v="51"/>
  </r>
  <r>
    <x v="1"/>
    <s v="Government expenditure on education, total (% of government expenditure)"/>
    <n v="14.867770195007299"/>
    <x v="51"/>
  </r>
  <r>
    <x v="2"/>
    <s v="Government expenditure on education, total (% of government expenditure)"/>
    <n v="10.083259582519499"/>
    <x v="51"/>
  </r>
  <r>
    <x v="3"/>
    <s v="Government expenditure on education, total (% of government expenditure)"/>
    <n v="21.414869308471701"/>
    <x v="51"/>
  </r>
  <r>
    <x v="4"/>
    <s v="Government expenditure on education, total (% of government expenditure)"/>
    <m/>
    <x v="51"/>
  </r>
  <r>
    <x v="5"/>
    <s v="Government expenditure on education, total (% of government expenditure)"/>
    <n v="29.674430847168001"/>
    <x v="51"/>
  </r>
  <r>
    <x v="6"/>
    <s v="Government expenditure on education, total (% of government expenditure)"/>
    <n v="14.2593097686768"/>
    <x v="51"/>
  </r>
  <r>
    <x v="7"/>
    <s v="Government expenditure on education, total (% of government expenditure)"/>
    <m/>
    <x v="51"/>
  </r>
  <r>
    <x v="8"/>
    <s v="Government expenditure on education, total (% of government expenditure)"/>
    <n v="19.252830505371101"/>
    <x v="51"/>
  </r>
  <r>
    <x v="9"/>
    <s v="Government expenditure on education, total (% of government expenditure)"/>
    <m/>
    <x v="51"/>
  </r>
  <r>
    <x v="10"/>
    <s v="Government expenditure on education, total (% of government expenditure)"/>
    <m/>
    <x v="51"/>
  </r>
  <r>
    <x v="11"/>
    <s v="Government expenditure on education, total (% of government expenditure)"/>
    <n v="19.779699325561499"/>
    <x v="51"/>
  </r>
  <r>
    <x v="12"/>
    <s v="Government expenditure on education, total (% of government expenditure)"/>
    <n v="15.0978803634644"/>
    <x v="51"/>
  </r>
  <r>
    <x v="13"/>
    <s v="Government expenditure on education, total (% of government expenditure)"/>
    <n v="18.2583408355713"/>
    <x v="51"/>
  </r>
  <r>
    <x v="14"/>
    <s v="Government expenditure on education, total (% of government expenditure)"/>
    <n v="21.915880203247099"/>
    <x v="51"/>
  </r>
  <r>
    <x v="15"/>
    <s v="Government expenditure on education, total (% of government expenditure)"/>
    <m/>
    <x v="51"/>
  </r>
  <r>
    <x v="16"/>
    <s v="Government expenditure on education, total (% of government expenditure)"/>
    <n v="5.3991999626159703"/>
    <x v="51"/>
  </r>
  <r>
    <x v="17"/>
    <s v="Government expenditure on education, total (% of government expenditure)"/>
    <n v="17.976860046386701"/>
    <x v="51"/>
  </r>
  <r>
    <x v="18"/>
    <s v="Government expenditure on education, total (% of government expenditure)"/>
    <m/>
    <x v="51"/>
  </r>
  <r>
    <x v="19"/>
    <s v="Government expenditure on education, total (% of government expenditure)"/>
    <n v="21.675809860229499"/>
    <x v="51"/>
  </r>
  <r>
    <x v="20"/>
    <s v="Government expenditure on education, total (% of government expenditure)"/>
    <n v="15.343379974365201"/>
    <x v="51"/>
  </r>
  <r>
    <x v="21"/>
    <s v="Government expenditure on education, total (% of government expenditure)"/>
    <m/>
    <x v="51"/>
  </r>
  <r>
    <x v="22"/>
    <s v="Government expenditure on education, total (% of government expenditure)"/>
    <n v="9.1101598739624006"/>
    <x v="51"/>
  </r>
  <r>
    <x v="23"/>
    <s v="Government expenditure on education, total (% of government expenditure)"/>
    <n v="14.560509681701699"/>
    <x v="51"/>
  </r>
  <r>
    <x v="24"/>
    <s v="Government expenditure on education, total (% of government expenditure)"/>
    <m/>
    <x v="51"/>
  </r>
  <r>
    <x v="25"/>
    <s v="Government expenditure on education, total (% of government expenditure)"/>
    <n v="13.611370086669901"/>
    <x v="51"/>
  </r>
  <r>
    <x v="26"/>
    <s v="Government expenditure on education, total (% of government expenditure)"/>
    <m/>
    <x v="51"/>
  </r>
  <r>
    <x v="27"/>
    <s v="Government expenditure on education, total (% of government expenditure)"/>
    <m/>
    <x v="51"/>
  </r>
  <r>
    <x v="0"/>
    <s v="Government expenditure on education, total (% of government expenditure)"/>
    <n v="16.428319931030298"/>
    <x v="52"/>
  </r>
  <r>
    <x v="1"/>
    <s v="Government expenditure on education, total (% of government expenditure)"/>
    <n v="15.176219940185501"/>
    <x v="52"/>
  </r>
  <r>
    <x v="2"/>
    <s v="Government expenditure on education, total (% of government expenditure)"/>
    <n v="9.2124099731445295"/>
    <x v="52"/>
  </r>
  <r>
    <x v="3"/>
    <s v="Government expenditure on education, total (% of government expenditure)"/>
    <n v="18.491510391235401"/>
    <x v="52"/>
  </r>
  <r>
    <x v="4"/>
    <s v="Government expenditure on education, total (% of government expenditure)"/>
    <m/>
    <x v="52"/>
  </r>
  <r>
    <x v="5"/>
    <s v="Government expenditure on education, total (% of government expenditure)"/>
    <n v="30.5395393371582"/>
    <x v="52"/>
  </r>
  <r>
    <x v="6"/>
    <s v="Government expenditure on education, total (% of government expenditure)"/>
    <n v="9.4606103897094709"/>
    <x v="52"/>
  </r>
  <r>
    <x v="7"/>
    <s v="Government expenditure on education, total (% of government expenditure)"/>
    <m/>
    <x v="52"/>
  </r>
  <r>
    <x v="8"/>
    <s v="Government expenditure on education, total (% of government expenditure)"/>
    <n v="19.923900604248001"/>
    <x v="52"/>
  </r>
  <r>
    <x v="9"/>
    <s v="Government expenditure on education, total (% of government expenditure)"/>
    <m/>
    <x v="52"/>
  </r>
  <r>
    <x v="10"/>
    <s v="Government expenditure on education, total (% of government expenditure)"/>
    <n v="8.1017599105834996"/>
    <x v="52"/>
  </r>
  <r>
    <x v="11"/>
    <s v="Government expenditure on education, total (% of government expenditure)"/>
    <n v="20.325799942016602"/>
    <x v="52"/>
  </r>
  <r>
    <x v="12"/>
    <s v="Government expenditure on education, total (% of government expenditure)"/>
    <m/>
    <x v="52"/>
  </r>
  <r>
    <x v="13"/>
    <s v="Government expenditure on education, total (% of government expenditure)"/>
    <n v="22.403379440307599"/>
    <x v="52"/>
  </r>
  <r>
    <x v="14"/>
    <s v="Government expenditure on education, total (% of government expenditure)"/>
    <n v="20.741970062255898"/>
    <x v="52"/>
  </r>
  <r>
    <x v="15"/>
    <s v="Government expenditure on education, total (% of government expenditure)"/>
    <n v="19.701820373535199"/>
    <x v="52"/>
  </r>
  <r>
    <x v="16"/>
    <s v="Government expenditure on education, total (% of government expenditure)"/>
    <m/>
    <x v="52"/>
  </r>
  <r>
    <x v="17"/>
    <s v="Government expenditure on education, total (% of government expenditure)"/>
    <n v="17.437080383300799"/>
    <x v="52"/>
  </r>
  <r>
    <x v="18"/>
    <s v="Government expenditure on education, total (% of government expenditure)"/>
    <m/>
    <x v="52"/>
  </r>
  <r>
    <x v="19"/>
    <s v="Government expenditure on education, total (% of government expenditure)"/>
    <n v="19.192020416259801"/>
    <x v="52"/>
  </r>
  <r>
    <x v="20"/>
    <s v="Government expenditure on education, total (% of government expenditure)"/>
    <n v="15.8154697418213"/>
    <x v="52"/>
  </r>
  <r>
    <x v="21"/>
    <s v="Government expenditure on education, total (% of government expenditure)"/>
    <n v="13.7196702957153"/>
    <x v="52"/>
  </r>
  <r>
    <x v="22"/>
    <s v="Government expenditure on education, total (% of government expenditure)"/>
    <n v="8.3940296173095703"/>
    <x v="52"/>
  </r>
  <r>
    <x v="23"/>
    <s v="Government expenditure on education, total (% of government expenditure)"/>
    <n v="16.3502407073975"/>
    <x v="52"/>
  </r>
  <r>
    <x v="24"/>
    <s v="Government expenditure on education, total (% of government expenditure)"/>
    <m/>
    <x v="52"/>
  </r>
  <r>
    <x v="25"/>
    <s v="Government expenditure on education, total (% of government expenditure)"/>
    <n v="11.4518995285034"/>
    <x v="52"/>
  </r>
  <r>
    <x v="26"/>
    <s v="Government expenditure on education, total (% of government expenditure)"/>
    <m/>
    <x v="52"/>
  </r>
  <r>
    <x v="27"/>
    <s v="Government expenditure on education, total (% of government expenditure)"/>
    <n v="29.7510890960693"/>
    <x v="52"/>
  </r>
  <r>
    <x v="0"/>
    <s v="Government expenditure on education, total (% of government expenditure)"/>
    <n v="17.243259429931602"/>
    <x v="53"/>
  </r>
  <r>
    <x v="1"/>
    <s v="Government expenditure on education, total (% of government expenditure)"/>
    <n v="13.8249502182007"/>
    <x v="53"/>
  </r>
  <r>
    <x v="2"/>
    <s v="Government expenditure on education, total (% of government expenditure)"/>
    <n v="12.4614601135254"/>
    <x v="53"/>
  </r>
  <r>
    <x v="3"/>
    <s v="Government expenditure on education, total (% of government expenditure)"/>
    <n v="16.0707302093506"/>
    <x v="53"/>
  </r>
  <r>
    <x v="4"/>
    <s v="Government expenditure on education, total (% of government expenditure)"/>
    <m/>
    <x v="53"/>
  </r>
  <r>
    <x v="5"/>
    <s v="Government expenditure on education, total (% of government expenditure)"/>
    <n v="27.0210990905762"/>
    <x v="53"/>
  </r>
  <r>
    <x v="6"/>
    <s v="Government expenditure on education, total (% of government expenditure)"/>
    <n v="14.132809638977101"/>
    <x v="53"/>
  </r>
  <r>
    <x v="7"/>
    <s v="Government expenditure on education, total (% of government expenditure)"/>
    <m/>
    <x v="53"/>
  </r>
  <r>
    <x v="8"/>
    <s v="Government expenditure on education, total (% of government expenditure)"/>
    <n v="19.1356906890869"/>
    <x v="53"/>
  </r>
  <r>
    <x v="9"/>
    <s v="Government expenditure on education, total (% of government expenditure)"/>
    <m/>
    <x v="53"/>
  </r>
  <r>
    <x v="10"/>
    <s v="Government expenditure on education, total (% of government expenditure)"/>
    <m/>
    <x v="53"/>
  </r>
  <r>
    <x v="11"/>
    <s v="Government expenditure on education, total (% of government expenditure)"/>
    <n v="13.9893798828125"/>
    <x v="53"/>
  </r>
  <r>
    <x v="12"/>
    <s v="Government expenditure on education, total (% of government expenditure)"/>
    <n v="20.424200057983299"/>
    <x v="53"/>
  </r>
  <r>
    <x v="13"/>
    <s v="Government expenditure on education, total (% of government expenditure)"/>
    <n v="16.623449325561499"/>
    <x v="53"/>
  </r>
  <r>
    <x v="14"/>
    <s v="Government expenditure on education, total (% of government expenditure)"/>
    <m/>
    <x v="53"/>
  </r>
  <r>
    <x v="15"/>
    <s v="Government expenditure on education, total (% of government expenditure)"/>
    <n v="18.978090286254901"/>
    <x v="53"/>
  </r>
  <r>
    <x v="16"/>
    <s v="Government expenditure on education, total (% of government expenditure)"/>
    <m/>
    <x v="53"/>
  </r>
  <r>
    <x v="17"/>
    <s v="Government expenditure on education, total (% of government expenditure)"/>
    <n v="17.569639205932599"/>
    <x v="53"/>
  </r>
  <r>
    <x v="18"/>
    <s v="Government expenditure on education, total (% of government expenditure)"/>
    <m/>
    <x v="53"/>
  </r>
  <r>
    <x v="19"/>
    <s v="Government expenditure on education, total (% of government expenditure)"/>
    <n v="18.084529876708999"/>
    <x v="53"/>
  </r>
  <r>
    <x v="20"/>
    <s v="Government expenditure on education, total (% of government expenditure)"/>
    <n v="16.8596305847168"/>
    <x v="53"/>
  </r>
  <r>
    <x v="21"/>
    <s v="Government expenditure on education, total (% of government expenditure)"/>
    <n v="18.8266296386719"/>
    <x v="53"/>
  </r>
  <r>
    <x v="22"/>
    <s v="Government expenditure on education, total (% of government expenditure)"/>
    <n v="9.4199495315551793"/>
    <x v="53"/>
  </r>
  <r>
    <x v="23"/>
    <s v="Government expenditure on education, total (% of government expenditure)"/>
    <m/>
    <x v="53"/>
  </r>
  <r>
    <x v="24"/>
    <s v="Government expenditure on education, total (% of government expenditure)"/>
    <m/>
    <x v="53"/>
  </r>
  <r>
    <x v="25"/>
    <s v="Government expenditure on education, total (% of government expenditure)"/>
    <n v="11.743120193481399"/>
    <x v="53"/>
  </r>
  <r>
    <x v="26"/>
    <s v="Government expenditure on education, total (% of government expenditure)"/>
    <m/>
    <x v="53"/>
  </r>
  <r>
    <x v="27"/>
    <s v="Government expenditure on education, total (% of government expenditure)"/>
    <n v="28.6603393554688"/>
    <x v="53"/>
  </r>
  <r>
    <x v="0"/>
    <s v="Government expenditure on education, total (% of government expenditure)"/>
    <m/>
    <x v="54"/>
  </r>
  <r>
    <x v="1"/>
    <s v="Government expenditure on education, total (% of government expenditure)"/>
    <m/>
    <x v="54"/>
  </r>
  <r>
    <x v="2"/>
    <s v="Government expenditure on education, total (% of government expenditure)"/>
    <m/>
    <x v="54"/>
  </r>
  <r>
    <x v="3"/>
    <s v="Government expenditure on education, total (% of government expenditure)"/>
    <n v="18.910009384155298"/>
    <x v="54"/>
  </r>
  <r>
    <x v="4"/>
    <s v="Government expenditure on education, total (% of government expenditure)"/>
    <m/>
    <x v="54"/>
  </r>
  <r>
    <x v="5"/>
    <s v="Government expenditure on education, total (% of government expenditure)"/>
    <m/>
    <x v="54"/>
  </r>
  <r>
    <x v="6"/>
    <s v="Government expenditure on education, total (% of government expenditure)"/>
    <n v="11.989509582519499"/>
    <x v="54"/>
  </r>
  <r>
    <x v="7"/>
    <s v="Government expenditure on education, total (% of government expenditure)"/>
    <m/>
    <x v="54"/>
  </r>
  <r>
    <x v="8"/>
    <s v="Government expenditure on education, total (% of government expenditure)"/>
    <n v="17.081029891967798"/>
    <x v="54"/>
  </r>
  <r>
    <x v="9"/>
    <s v="Government expenditure on education, total (% of government expenditure)"/>
    <m/>
    <x v="54"/>
  </r>
  <r>
    <x v="10"/>
    <s v="Government expenditure on education, total (% of government expenditure)"/>
    <m/>
    <x v="54"/>
  </r>
  <r>
    <x v="11"/>
    <s v="Government expenditure on education, total (% of government expenditure)"/>
    <m/>
    <x v="54"/>
  </r>
  <r>
    <x v="12"/>
    <s v="Government expenditure on education, total (% of government expenditure)"/>
    <n v="16.334030151367202"/>
    <x v="54"/>
  </r>
  <r>
    <x v="13"/>
    <s v="Government expenditure on education, total (% of government expenditure)"/>
    <n v="18.224260330200199"/>
    <x v="54"/>
  </r>
  <r>
    <x v="14"/>
    <s v="Government expenditure on education, total (% of government expenditure)"/>
    <n v="18.765100479126001"/>
    <x v="54"/>
  </r>
  <r>
    <x v="15"/>
    <s v="Government expenditure on education, total (% of government expenditure)"/>
    <m/>
    <x v="54"/>
  </r>
  <r>
    <x v="16"/>
    <s v="Government expenditure on education, total (% of government expenditure)"/>
    <m/>
    <x v="54"/>
  </r>
  <r>
    <x v="17"/>
    <s v="Government expenditure on education, total (% of government expenditure)"/>
    <n v="18.2812900543213"/>
    <x v="54"/>
  </r>
  <r>
    <x v="18"/>
    <s v="Government expenditure on education, total (% of government expenditure)"/>
    <m/>
    <x v="54"/>
  </r>
  <r>
    <x v="19"/>
    <s v="Government expenditure on education, total (% of government expenditure)"/>
    <n v="21.661500930786101"/>
    <x v="54"/>
  </r>
  <r>
    <x v="20"/>
    <s v="Government expenditure on education, total (% of government expenditure)"/>
    <m/>
    <x v="54"/>
  </r>
  <r>
    <x v="21"/>
    <s v="Government expenditure on education, total (% of government expenditure)"/>
    <n v="12.322600364685099"/>
    <x v="54"/>
  </r>
  <r>
    <x v="22"/>
    <s v="Government expenditure on education, total (% of government expenditure)"/>
    <n v="10.8239603042603"/>
    <x v="54"/>
  </r>
  <r>
    <x v="23"/>
    <s v="Government expenditure on education, total (% of government expenditure)"/>
    <m/>
    <x v="54"/>
  </r>
  <r>
    <x v="24"/>
    <s v="Government expenditure on education, total (% of government expenditure)"/>
    <n v="17.2971000671387"/>
    <x v="54"/>
  </r>
  <r>
    <x v="25"/>
    <s v="Government expenditure on education, total (% of government expenditure)"/>
    <n v="10.8759603500366"/>
    <x v="54"/>
  </r>
  <r>
    <x v="26"/>
    <s v="Government expenditure on education, total (% of government expenditure)"/>
    <m/>
    <x v="54"/>
  </r>
  <r>
    <x v="27"/>
    <s v="Government expenditure on education, total (% of government expenditure)"/>
    <n v="30.0076198577881"/>
    <x v="54"/>
  </r>
  <r>
    <x v="0"/>
    <s v="Government expenditure on education, total (% of government expenditure)"/>
    <m/>
    <x v="55"/>
  </r>
  <r>
    <x v="1"/>
    <s v="Government expenditure on education, total (% of government expenditure)"/>
    <m/>
    <x v="55"/>
  </r>
  <r>
    <x v="2"/>
    <s v="Government expenditure on education, total (% of government expenditure)"/>
    <m/>
    <x v="55"/>
  </r>
  <r>
    <x v="3"/>
    <s v="Government expenditure on education, total (% of government expenditure)"/>
    <n v="15.3416900634766"/>
    <x v="55"/>
  </r>
  <r>
    <x v="4"/>
    <s v="Government expenditure on education, total (% of government expenditure)"/>
    <m/>
    <x v="55"/>
  </r>
  <r>
    <x v="5"/>
    <s v="Government expenditure on education, total (% of government expenditure)"/>
    <m/>
    <x v="55"/>
  </r>
  <r>
    <x v="6"/>
    <s v="Government expenditure on education, total (% of government expenditure)"/>
    <m/>
    <x v="55"/>
  </r>
  <r>
    <x v="7"/>
    <s v="Government expenditure on education, total (% of government expenditure)"/>
    <m/>
    <x v="55"/>
  </r>
  <r>
    <x v="8"/>
    <s v="Government expenditure on education, total (% of government expenditure)"/>
    <n v="16.664659500122099"/>
    <x v="55"/>
  </r>
  <r>
    <x v="9"/>
    <s v="Government expenditure on education, total (% of government expenditure)"/>
    <m/>
    <x v="55"/>
  </r>
  <r>
    <x v="10"/>
    <s v="Government expenditure on education, total (% of government expenditure)"/>
    <m/>
    <x v="55"/>
  </r>
  <r>
    <x v="11"/>
    <s v="Government expenditure on education, total (% of government expenditure)"/>
    <m/>
    <x v="55"/>
  </r>
  <r>
    <x v="12"/>
    <s v="Government expenditure on education, total (% of government expenditure)"/>
    <n v="21.551580429077099"/>
    <x v="55"/>
  </r>
  <r>
    <x v="13"/>
    <s v="Government expenditure on education, total (% of government expenditure)"/>
    <n v="18.155490875244102"/>
    <x v="55"/>
  </r>
  <r>
    <x v="14"/>
    <s v="Government expenditure on education, total (% of government expenditure)"/>
    <m/>
    <x v="55"/>
  </r>
  <r>
    <x v="15"/>
    <s v="Government expenditure on education, total (% of government expenditure)"/>
    <m/>
    <x v="55"/>
  </r>
  <r>
    <x v="16"/>
    <s v="Government expenditure on education, total (% of government expenditure)"/>
    <m/>
    <x v="55"/>
  </r>
  <r>
    <x v="17"/>
    <s v="Government expenditure on education, total (% of government expenditure)"/>
    <n v="16.989660263061499"/>
    <x v="55"/>
  </r>
  <r>
    <x v="18"/>
    <s v="Government expenditure on education, total (% of government expenditure)"/>
    <m/>
    <x v="55"/>
  </r>
  <r>
    <x v="19"/>
    <s v="Government expenditure on education, total (% of government expenditure)"/>
    <n v="18.510860443115199"/>
    <x v="55"/>
  </r>
  <r>
    <x v="20"/>
    <s v="Government expenditure on education, total (% of government expenditure)"/>
    <m/>
    <x v="55"/>
  </r>
  <r>
    <x v="21"/>
    <s v="Government expenditure on education, total (% of government expenditure)"/>
    <m/>
    <x v="55"/>
  </r>
  <r>
    <x v="22"/>
    <s v="Government expenditure on education, total (% of government expenditure)"/>
    <n v="10.9502601623535"/>
    <x v="55"/>
  </r>
  <r>
    <x v="23"/>
    <s v="Government expenditure on education, total (% of government expenditure)"/>
    <n v="16.4433898925781"/>
    <x v="55"/>
  </r>
  <r>
    <x v="24"/>
    <s v="Government expenditure on education, total (% of government expenditure)"/>
    <m/>
    <x v="55"/>
  </r>
  <r>
    <x v="25"/>
    <s v="Government expenditure on education, total (% of government expenditure)"/>
    <m/>
    <x v="55"/>
  </r>
  <r>
    <x v="26"/>
    <s v="Government expenditure on education, total (% of government expenditure)"/>
    <m/>
    <x v="55"/>
  </r>
  <r>
    <x v="27"/>
    <s v="Government expenditure on education, total (% of government expenditure)"/>
    <m/>
    <x v="55"/>
  </r>
  <r>
    <x v="0"/>
    <s v="Government expenditure on education, total (% of government expenditure)"/>
    <m/>
    <x v="56"/>
  </r>
  <r>
    <x v="1"/>
    <s v="Government expenditure on education, total (% of government expenditure)"/>
    <m/>
    <x v="56"/>
  </r>
  <r>
    <x v="2"/>
    <s v="Government expenditure on education, total (% of government expenditure)"/>
    <m/>
    <x v="56"/>
  </r>
  <r>
    <x v="3"/>
    <s v="Government expenditure on education, total (% of government expenditure)"/>
    <m/>
    <x v="56"/>
  </r>
  <r>
    <x v="4"/>
    <s v="Government expenditure on education, total (% of government expenditure)"/>
    <m/>
    <x v="56"/>
  </r>
  <r>
    <x v="5"/>
    <s v="Government expenditure on education, total (% of government expenditure)"/>
    <m/>
    <x v="56"/>
  </r>
  <r>
    <x v="6"/>
    <s v="Government expenditure on education, total (% of government expenditure)"/>
    <m/>
    <x v="56"/>
  </r>
  <r>
    <x v="7"/>
    <s v="Government expenditure on education, total (% of government expenditure)"/>
    <m/>
    <x v="56"/>
  </r>
  <r>
    <x v="8"/>
    <s v="Government expenditure on education, total (% of government expenditure)"/>
    <m/>
    <x v="56"/>
  </r>
  <r>
    <x v="9"/>
    <s v="Government expenditure on education, total (% of government expenditure)"/>
    <m/>
    <x v="56"/>
  </r>
  <r>
    <x v="10"/>
    <s v="Government expenditure on education, total (% of government expenditure)"/>
    <m/>
    <x v="56"/>
  </r>
  <r>
    <x v="11"/>
    <s v="Government expenditure on education, total (% of government expenditure)"/>
    <m/>
    <x v="56"/>
  </r>
  <r>
    <x v="12"/>
    <s v="Government expenditure on education, total (% of government expenditure)"/>
    <n v="17.161849975585898"/>
    <x v="56"/>
  </r>
  <r>
    <x v="13"/>
    <s v="Government expenditure on education, total (% of government expenditure)"/>
    <m/>
    <x v="56"/>
  </r>
  <r>
    <x v="14"/>
    <s v="Government expenditure on education, total (% of government expenditure)"/>
    <n v="18.491819381713899"/>
    <x v="56"/>
  </r>
  <r>
    <x v="15"/>
    <s v="Government expenditure on education, total (% of government expenditure)"/>
    <m/>
    <x v="56"/>
  </r>
  <r>
    <x v="16"/>
    <s v="Government expenditure on education, total (% of government expenditure)"/>
    <m/>
    <x v="56"/>
  </r>
  <r>
    <x v="17"/>
    <s v="Government expenditure on education, total (% of government expenditure)"/>
    <m/>
    <x v="56"/>
  </r>
  <r>
    <x v="18"/>
    <s v="Government expenditure on education, total (% of government expenditure)"/>
    <m/>
    <x v="56"/>
  </r>
  <r>
    <x v="19"/>
    <s v="Government expenditure on education, total (% of government expenditure)"/>
    <m/>
    <x v="56"/>
  </r>
  <r>
    <x v="20"/>
    <s v="Government expenditure on education, total (% of government expenditure)"/>
    <n v="12.278389930725099"/>
    <x v="56"/>
  </r>
  <r>
    <x v="21"/>
    <s v="Government expenditure on education, total (% of government expenditure)"/>
    <m/>
    <x v="56"/>
  </r>
  <r>
    <x v="22"/>
    <s v="Government expenditure on education, total (% of government expenditure)"/>
    <n v="17.728759765625"/>
    <x v="56"/>
  </r>
  <r>
    <x v="23"/>
    <s v="Government expenditure on education, total (% of government expenditure)"/>
    <m/>
    <x v="56"/>
  </r>
  <r>
    <x v="24"/>
    <s v="Government expenditure on education, total (% of government expenditure)"/>
    <m/>
    <x v="56"/>
  </r>
  <r>
    <x v="25"/>
    <s v="Government expenditure on education, total (% of government expenditure)"/>
    <m/>
    <x v="56"/>
  </r>
  <r>
    <x v="26"/>
    <s v="Government expenditure on education, total (% of government expenditure)"/>
    <m/>
    <x v="56"/>
  </r>
  <r>
    <x v="27"/>
    <s v="Government expenditure on education, total (% of government expenditure)"/>
    <m/>
    <x v="56"/>
  </r>
  <r>
    <x v="0"/>
    <s v="Government expenditure on education, total (% of government expenditure)"/>
    <m/>
    <x v="57"/>
  </r>
  <r>
    <x v="1"/>
    <s v="Government expenditure on education, total (% of government expenditure)"/>
    <m/>
    <x v="57"/>
  </r>
  <r>
    <x v="2"/>
    <s v="Government expenditure on education, total (% of government expenditure)"/>
    <m/>
    <x v="57"/>
  </r>
  <r>
    <x v="3"/>
    <s v="Government expenditure on education, total (% of government expenditure)"/>
    <m/>
    <x v="57"/>
  </r>
  <r>
    <x v="4"/>
    <s v="Government expenditure on education, total (% of government expenditure)"/>
    <m/>
    <x v="57"/>
  </r>
  <r>
    <x v="5"/>
    <s v="Government expenditure on education, total (% of government expenditure)"/>
    <m/>
    <x v="57"/>
  </r>
  <r>
    <x v="6"/>
    <s v="Government expenditure on education, total (% of government expenditure)"/>
    <m/>
    <x v="57"/>
  </r>
  <r>
    <x v="7"/>
    <s v="Government expenditure on education, total (% of government expenditure)"/>
    <m/>
    <x v="57"/>
  </r>
  <r>
    <x v="8"/>
    <s v="Government expenditure on education, total (% of government expenditure)"/>
    <m/>
    <x v="57"/>
  </r>
  <r>
    <x v="9"/>
    <s v="Government expenditure on education, total (% of government expenditure)"/>
    <m/>
    <x v="57"/>
  </r>
  <r>
    <x v="10"/>
    <s v="Government expenditure on education, total (% of government expenditure)"/>
    <m/>
    <x v="57"/>
  </r>
  <r>
    <x v="11"/>
    <s v="Government expenditure on education, total (% of government expenditure)"/>
    <m/>
    <x v="57"/>
  </r>
  <r>
    <x v="12"/>
    <s v="Government expenditure on education, total (% of government expenditure)"/>
    <m/>
    <x v="57"/>
  </r>
  <r>
    <x v="13"/>
    <s v="Government expenditure on education, total (% of government expenditure)"/>
    <m/>
    <x v="57"/>
  </r>
  <r>
    <x v="14"/>
    <s v="Government expenditure on education, total (% of government expenditure)"/>
    <m/>
    <x v="57"/>
  </r>
  <r>
    <x v="15"/>
    <s v="Government expenditure on education, total (% of government expenditure)"/>
    <m/>
    <x v="57"/>
  </r>
  <r>
    <x v="16"/>
    <s v="Government expenditure on education, total (% of government expenditure)"/>
    <m/>
    <x v="57"/>
  </r>
  <r>
    <x v="17"/>
    <s v="Government expenditure on education, total (% of government expenditure)"/>
    <m/>
    <x v="57"/>
  </r>
  <r>
    <x v="18"/>
    <s v="Government expenditure on education, total (% of government expenditure)"/>
    <m/>
    <x v="57"/>
  </r>
  <r>
    <x v="19"/>
    <s v="Government expenditure on education, total (% of government expenditure)"/>
    <m/>
    <x v="57"/>
  </r>
  <r>
    <x v="20"/>
    <s v="Government expenditure on education, total (% of government expenditure)"/>
    <m/>
    <x v="57"/>
  </r>
  <r>
    <x v="21"/>
    <s v="Government expenditure on education, total (% of government expenditure)"/>
    <m/>
    <x v="57"/>
  </r>
  <r>
    <x v="22"/>
    <s v="Government expenditure on education, total (% of government expenditure)"/>
    <m/>
    <x v="57"/>
  </r>
  <r>
    <x v="23"/>
    <s v="Government expenditure on education, total (% of government expenditure)"/>
    <m/>
    <x v="57"/>
  </r>
  <r>
    <x v="24"/>
    <s v="Government expenditure on education, total (% of government expenditure)"/>
    <m/>
    <x v="57"/>
  </r>
  <r>
    <x v="25"/>
    <s v="Government expenditure on education, total (% of government expenditure)"/>
    <m/>
    <x v="57"/>
  </r>
  <r>
    <x v="26"/>
    <s v="Government expenditure on education, total (% of government expenditure)"/>
    <m/>
    <x v="57"/>
  </r>
  <r>
    <x v="27"/>
    <s v="Government expenditure on education, total (% of government expenditure)"/>
    <m/>
    <x v="5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624">
  <r>
    <x v="0"/>
    <s v="School enrollment, primary (% gross)"/>
    <m/>
    <x v="0"/>
  </r>
  <r>
    <x v="1"/>
    <s v="School enrollment, primary (% gross)"/>
    <m/>
    <x v="0"/>
  </r>
  <r>
    <x v="2"/>
    <s v="School enrollment, primary (% gross)"/>
    <m/>
    <x v="0"/>
  </r>
  <r>
    <x v="3"/>
    <s v="School enrollment, primary (% gross)"/>
    <m/>
    <x v="0"/>
  </r>
  <r>
    <x v="4"/>
    <s v="School enrollment, primary (% gross)"/>
    <m/>
    <x v="0"/>
  </r>
  <r>
    <x v="5"/>
    <s v="School enrollment, primary (% gross)"/>
    <m/>
    <x v="0"/>
  </r>
  <r>
    <x v="6"/>
    <s v="School enrollment, primary (% gross)"/>
    <m/>
    <x v="0"/>
  </r>
  <r>
    <x v="7"/>
    <s v="School enrollment, primary (% gross)"/>
    <m/>
    <x v="0"/>
  </r>
  <r>
    <x v="8"/>
    <s v="School enrollment, primary (% gross)"/>
    <m/>
    <x v="0"/>
  </r>
  <r>
    <x v="9"/>
    <s v="School enrollment, primary (% gross)"/>
    <m/>
    <x v="0"/>
  </r>
  <r>
    <x v="10"/>
    <s v="School enrollment, primary (% gross)"/>
    <m/>
    <x v="0"/>
  </r>
  <r>
    <x v="11"/>
    <s v="School enrollment, primary (% gross)"/>
    <m/>
    <x v="0"/>
  </r>
  <r>
    <x v="12"/>
    <s v="School enrollment, primary (% gross)"/>
    <m/>
    <x v="0"/>
  </r>
  <r>
    <x v="13"/>
    <s v="School enrollment, primary (% gross)"/>
    <m/>
    <x v="0"/>
  </r>
  <r>
    <x v="14"/>
    <s v="School enrollment, primary (% gross)"/>
    <m/>
    <x v="0"/>
  </r>
  <r>
    <x v="15"/>
    <s v="School enrollment, primary (% gross)"/>
    <m/>
    <x v="0"/>
  </r>
  <r>
    <x v="16"/>
    <s v="School enrollment, primary (% gross)"/>
    <m/>
    <x v="0"/>
  </r>
  <r>
    <x v="17"/>
    <s v="School enrollment, primary (% gross)"/>
    <m/>
    <x v="0"/>
  </r>
  <r>
    <x v="18"/>
    <s v="School enrollment, primary (% gross)"/>
    <m/>
    <x v="0"/>
  </r>
  <r>
    <x v="19"/>
    <s v="School enrollment, primary (% gross)"/>
    <m/>
    <x v="0"/>
  </r>
  <r>
    <x v="20"/>
    <s v="School enrollment, primary (% gross)"/>
    <m/>
    <x v="0"/>
  </r>
  <r>
    <x v="21"/>
    <s v="School enrollment, primary (% gross)"/>
    <m/>
    <x v="0"/>
  </r>
  <r>
    <x v="22"/>
    <s v="School enrollment, primary (% gross)"/>
    <m/>
    <x v="0"/>
  </r>
  <r>
    <x v="23"/>
    <s v="School enrollment, primary (% gross)"/>
    <m/>
    <x v="0"/>
  </r>
  <r>
    <x v="24"/>
    <s v="School enrollment, primary (% gross)"/>
    <m/>
    <x v="0"/>
  </r>
  <r>
    <x v="25"/>
    <s v="School enrollment, primary (% gross)"/>
    <m/>
    <x v="0"/>
  </r>
  <r>
    <x v="26"/>
    <s v="School enrollment, primary (% gross)"/>
    <m/>
    <x v="0"/>
  </r>
  <r>
    <x v="27"/>
    <s v="School enrollment, primary (% gross)"/>
    <m/>
    <x v="0"/>
  </r>
  <r>
    <x v="0"/>
    <s v="School enrollment, primary (% gross)"/>
    <m/>
    <x v="1"/>
  </r>
  <r>
    <x v="1"/>
    <s v="School enrollment, primary (% gross)"/>
    <m/>
    <x v="1"/>
  </r>
  <r>
    <x v="2"/>
    <s v="School enrollment, primary (% gross)"/>
    <m/>
    <x v="1"/>
  </r>
  <r>
    <x v="3"/>
    <s v="School enrollment, primary (% gross)"/>
    <m/>
    <x v="1"/>
  </r>
  <r>
    <x v="4"/>
    <s v="School enrollment, primary (% gross)"/>
    <m/>
    <x v="1"/>
  </r>
  <r>
    <x v="5"/>
    <s v="School enrollment, primary (% gross)"/>
    <m/>
    <x v="1"/>
  </r>
  <r>
    <x v="6"/>
    <s v="School enrollment, primary (% gross)"/>
    <m/>
    <x v="1"/>
  </r>
  <r>
    <x v="7"/>
    <s v="School enrollment, primary (% gross)"/>
    <m/>
    <x v="1"/>
  </r>
  <r>
    <x v="8"/>
    <s v="School enrollment, primary (% gross)"/>
    <m/>
    <x v="1"/>
  </r>
  <r>
    <x v="9"/>
    <s v="School enrollment, primary (% gross)"/>
    <m/>
    <x v="1"/>
  </r>
  <r>
    <x v="10"/>
    <s v="School enrollment, primary (% gross)"/>
    <m/>
    <x v="1"/>
  </r>
  <r>
    <x v="11"/>
    <s v="School enrollment, primary (% gross)"/>
    <m/>
    <x v="1"/>
  </r>
  <r>
    <x v="12"/>
    <s v="School enrollment, primary (% gross)"/>
    <m/>
    <x v="1"/>
  </r>
  <r>
    <x v="13"/>
    <s v="School enrollment, primary (% gross)"/>
    <m/>
    <x v="1"/>
  </r>
  <r>
    <x v="14"/>
    <s v="School enrollment, primary (% gross)"/>
    <m/>
    <x v="1"/>
  </r>
  <r>
    <x v="15"/>
    <s v="School enrollment, primary (% gross)"/>
    <m/>
    <x v="1"/>
  </r>
  <r>
    <x v="16"/>
    <s v="School enrollment, primary (% gross)"/>
    <m/>
    <x v="1"/>
  </r>
  <r>
    <x v="17"/>
    <s v="School enrollment, primary (% gross)"/>
    <m/>
    <x v="1"/>
  </r>
  <r>
    <x v="18"/>
    <s v="School enrollment, primary (% gross)"/>
    <m/>
    <x v="1"/>
  </r>
  <r>
    <x v="19"/>
    <s v="School enrollment, primary (% gross)"/>
    <m/>
    <x v="1"/>
  </r>
  <r>
    <x v="20"/>
    <s v="School enrollment, primary (% gross)"/>
    <m/>
    <x v="1"/>
  </r>
  <r>
    <x v="21"/>
    <s v="School enrollment, primary (% gross)"/>
    <m/>
    <x v="1"/>
  </r>
  <r>
    <x v="22"/>
    <s v="School enrollment, primary (% gross)"/>
    <m/>
    <x v="1"/>
  </r>
  <r>
    <x v="23"/>
    <s v="School enrollment, primary (% gross)"/>
    <m/>
    <x v="1"/>
  </r>
  <r>
    <x v="24"/>
    <s v="School enrollment, primary (% gross)"/>
    <m/>
    <x v="1"/>
  </r>
  <r>
    <x v="25"/>
    <s v="School enrollment, primary (% gross)"/>
    <m/>
    <x v="1"/>
  </r>
  <r>
    <x v="26"/>
    <s v="School enrollment, primary (% gross)"/>
    <m/>
    <x v="1"/>
  </r>
  <r>
    <x v="27"/>
    <s v="School enrollment, primary (% gross)"/>
    <m/>
    <x v="1"/>
  </r>
  <r>
    <x v="0"/>
    <s v="School enrollment, primary (% gross)"/>
    <m/>
    <x v="2"/>
  </r>
  <r>
    <x v="1"/>
    <s v="School enrollment, primary (% gross)"/>
    <m/>
    <x v="2"/>
  </r>
  <r>
    <x v="2"/>
    <s v="School enrollment, primary (% gross)"/>
    <m/>
    <x v="2"/>
  </r>
  <r>
    <x v="3"/>
    <s v="School enrollment, primary (% gross)"/>
    <m/>
    <x v="2"/>
  </r>
  <r>
    <x v="4"/>
    <s v="School enrollment, primary (% gross)"/>
    <m/>
    <x v="2"/>
  </r>
  <r>
    <x v="5"/>
    <s v="School enrollment, primary (% gross)"/>
    <m/>
    <x v="2"/>
  </r>
  <r>
    <x v="6"/>
    <s v="School enrollment, primary (% gross)"/>
    <m/>
    <x v="2"/>
  </r>
  <r>
    <x v="7"/>
    <s v="School enrollment, primary (% gross)"/>
    <m/>
    <x v="2"/>
  </r>
  <r>
    <x v="8"/>
    <s v="School enrollment, primary (% gross)"/>
    <m/>
    <x v="2"/>
  </r>
  <r>
    <x v="9"/>
    <s v="School enrollment, primary (% gross)"/>
    <m/>
    <x v="2"/>
  </r>
  <r>
    <x v="10"/>
    <s v="School enrollment, primary (% gross)"/>
    <m/>
    <x v="2"/>
  </r>
  <r>
    <x v="11"/>
    <s v="School enrollment, primary (% gross)"/>
    <m/>
    <x v="2"/>
  </r>
  <r>
    <x v="12"/>
    <s v="School enrollment, primary (% gross)"/>
    <m/>
    <x v="2"/>
  </r>
  <r>
    <x v="13"/>
    <s v="School enrollment, primary (% gross)"/>
    <m/>
    <x v="2"/>
  </r>
  <r>
    <x v="14"/>
    <s v="School enrollment, primary (% gross)"/>
    <m/>
    <x v="2"/>
  </r>
  <r>
    <x v="15"/>
    <s v="School enrollment, primary (% gross)"/>
    <m/>
    <x v="2"/>
  </r>
  <r>
    <x v="16"/>
    <s v="School enrollment, primary (% gross)"/>
    <m/>
    <x v="2"/>
  </r>
  <r>
    <x v="17"/>
    <s v="School enrollment, primary (% gross)"/>
    <m/>
    <x v="2"/>
  </r>
  <r>
    <x v="18"/>
    <s v="School enrollment, primary (% gross)"/>
    <m/>
    <x v="2"/>
  </r>
  <r>
    <x v="19"/>
    <s v="School enrollment, primary (% gross)"/>
    <m/>
    <x v="2"/>
  </r>
  <r>
    <x v="20"/>
    <s v="School enrollment, primary (% gross)"/>
    <m/>
    <x v="2"/>
  </r>
  <r>
    <x v="21"/>
    <s v="School enrollment, primary (% gross)"/>
    <m/>
    <x v="2"/>
  </r>
  <r>
    <x v="22"/>
    <s v="School enrollment, primary (% gross)"/>
    <m/>
    <x v="2"/>
  </r>
  <r>
    <x v="23"/>
    <s v="School enrollment, primary (% gross)"/>
    <m/>
    <x v="2"/>
  </r>
  <r>
    <x v="24"/>
    <s v="School enrollment, primary (% gross)"/>
    <m/>
    <x v="2"/>
  </r>
  <r>
    <x v="25"/>
    <s v="School enrollment, primary (% gross)"/>
    <m/>
    <x v="2"/>
  </r>
  <r>
    <x v="26"/>
    <s v="School enrollment, primary (% gross)"/>
    <m/>
    <x v="2"/>
  </r>
  <r>
    <x v="27"/>
    <s v="School enrollment, primary (% gross)"/>
    <m/>
    <x v="2"/>
  </r>
  <r>
    <x v="0"/>
    <s v="School enrollment, primary (% gross)"/>
    <m/>
    <x v="3"/>
  </r>
  <r>
    <x v="1"/>
    <s v="School enrollment, primary (% gross)"/>
    <m/>
    <x v="3"/>
  </r>
  <r>
    <x v="2"/>
    <s v="School enrollment, primary (% gross)"/>
    <m/>
    <x v="3"/>
  </r>
  <r>
    <x v="3"/>
    <s v="School enrollment, primary (% gross)"/>
    <m/>
    <x v="3"/>
  </r>
  <r>
    <x v="4"/>
    <s v="School enrollment, primary (% gross)"/>
    <m/>
    <x v="3"/>
  </r>
  <r>
    <x v="5"/>
    <s v="School enrollment, primary (% gross)"/>
    <m/>
    <x v="3"/>
  </r>
  <r>
    <x v="6"/>
    <s v="School enrollment, primary (% gross)"/>
    <m/>
    <x v="3"/>
  </r>
  <r>
    <x v="7"/>
    <s v="School enrollment, primary (% gross)"/>
    <m/>
    <x v="3"/>
  </r>
  <r>
    <x v="8"/>
    <s v="School enrollment, primary (% gross)"/>
    <m/>
    <x v="3"/>
  </r>
  <r>
    <x v="9"/>
    <s v="School enrollment, primary (% gross)"/>
    <m/>
    <x v="3"/>
  </r>
  <r>
    <x v="10"/>
    <s v="School enrollment, primary (% gross)"/>
    <m/>
    <x v="3"/>
  </r>
  <r>
    <x v="11"/>
    <s v="School enrollment, primary (% gross)"/>
    <m/>
    <x v="3"/>
  </r>
  <r>
    <x v="12"/>
    <s v="School enrollment, primary (% gross)"/>
    <m/>
    <x v="3"/>
  </r>
  <r>
    <x v="13"/>
    <s v="School enrollment, primary (% gross)"/>
    <m/>
    <x v="3"/>
  </r>
  <r>
    <x v="14"/>
    <s v="School enrollment, primary (% gross)"/>
    <m/>
    <x v="3"/>
  </r>
  <r>
    <x v="15"/>
    <s v="School enrollment, primary (% gross)"/>
    <m/>
    <x v="3"/>
  </r>
  <r>
    <x v="16"/>
    <s v="School enrollment, primary (% gross)"/>
    <m/>
    <x v="3"/>
  </r>
  <r>
    <x v="17"/>
    <s v="School enrollment, primary (% gross)"/>
    <m/>
    <x v="3"/>
  </r>
  <r>
    <x v="18"/>
    <s v="School enrollment, primary (% gross)"/>
    <m/>
    <x v="3"/>
  </r>
  <r>
    <x v="19"/>
    <s v="School enrollment, primary (% gross)"/>
    <m/>
    <x v="3"/>
  </r>
  <r>
    <x v="20"/>
    <s v="School enrollment, primary (% gross)"/>
    <m/>
    <x v="3"/>
  </r>
  <r>
    <x v="21"/>
    <s v="School enrollment, primary (% gross)"/>
    <m/>
    <x v="3"/>
  </r>
  <r>
    <x v="22"/>
    <s v="School enrollment, primary (% gross)"/>
    <m/>
    <x v="3"/>
  </r>
  <r>
    <x v="23"/>
    <s v="School enrollment, primary (% gross)"/>
    <m/>
    <x v="3"/>
  </r>
  <r>
    <x v="24"/>
    <s v="School enrollment, primary (% gross)"/>
    <m/>
    <x v="3"/>
  </r>
  <r>
    <x v="25"/>
    <s v="School enrollment, primary (% gross)"/>
    <m/>
    <x v="3"/>
  </r>
  <r>
    <x v="26"/>
    <s v="School enrollment, primary (% gross)"/>
    <m/>
    <x v="3"/>
  </r>
  <r>
    <x v="27"/>
    <s v="School enrollment, primary (% gross)"/>
    <m/>
    <x v="3"/>
  </r>
  <r>
    <x v="0"/>
    <s v="School enrollment, primary (% gross)"/>
    <m/>
    <x v="4"/>
  </r>
  <r>
    <x v="1"/>
    <s v="School enrollment, primary (% gross)"/>
    <m/>
    <x v="4"/>
  </r>
  <r>
    <x v="2"/>
    <s v="School enrollment, primary (% gross)"/>
    <m/>
    <x v="4"/>
  </r>
  <r>
    <x v="3"/>
    <s v="School enrollment, primary (% gross)"/>
    <m/>
    <x v="4"/>
  </r>
  <r>
    <x v="4"/>
    <s v="School enrollment, primary (% gross)"/>
    <m/>
    <x v="4"/>
  </r>
  <r>
    <x v="5"/>
    <s v="School enrollment, primary (% gross)"/>
    <m/>
    <x v="4"/>
  </r>
  <r>
    <x v="6"/>
    <s v="School enrollment, primary (% gross)"/>
    <m/>
    <x v="4"/>
  </r>
  <r>
    <x v="7"/>
    <s v="School enrollment, primary (% gross)"/>
    <m/>
    <x v="4"/>
  </r>
  <r>
    <x v="8"/>
    <s v="School enrollment, primary (% gross)"/>
    <m/>
    <x v="4"/>
  </r>
  <r>
    <x v="9"/>
    <s v="School enrollment, primary (% gross)"/>
    <m/>
    <x v="4"/>
  </r>
  <r>
    <x v="10"/>
    <s v="School enrollment, primary (% gross)"/>
    <m/>
    <x v="4"/>
  </r>
  <r>
    <x v="11"/>
    <s v="School enrollment, primary (% gross)"/>
    <m/>
    <x v="4"/>
  </r>
  <r>
    <x v="12"/>
    <s v="School enrollment, primary (% gross)"/>
    <m/>
    <x v="4"/>
  </r>
  <r>
    <x v="13"/>
    <s v="School enrollment, primary (% gross)"/>
    <m/>
    <x v="4"/>
  </r>
  <r>
    <x v="14"/>
    <s v="School enrollment, primary (% gross)"/>
    <m/>
    <x v="4"/>
  </r>
  <r>
    <x v="15"/>
    <s v="School enrollment, primary (% gross)"/>
    <m/>
    <x v="4"/>
  </r>
  <r>
    <x v="16"/>
    <s v="School enrollment, primary (% gross)"/>
    <m/>
    <x v="4"/>
  </r>
  <r>
    <x v="17"/>
    <s v="School enrollment, primary (% gross)"/>
    <m/>
    <x v="4"/>
  </r>
  <r>
    <x v="18"/>
    <s v="School enrollment, primary (% gross)"/>
    <m/>
    <x v="4"/>
  </r>
  <r>
    <x v="19"/>
    <s v="School enrollment, primary (% gross)"/>
    <m/>
    <x v="4"/>
  </r>
  <r>
    <x v="20"/>
    <s v="School enrollment, primary (% gross)"/>
    <m/>
    <x v="4"/>
  </r>
  <r>
    <x v="21"/>
    <s v="School enrollment, primary (% gross)"/>
    <m/>
    <x v="4"/>
  </r>
  <r>
    <x v="22"/>
    <s v="School enrollment, primary (% gross)"/>
    <m/>
    <x v="4"/>
  </r>
  <r>
    <x v="23"/>
    <s v="School enrollment, primary (% gross)"/>
    <m/>
    <x v="4"/>
  </r>
  <r>
    <x v="24"/>
    <s v="School enrollment, primary (% gross)"/>
    <m/>
    <x v="4"/>
  </r>
  <r>
    <x v="25"/>
    <s v="School enrollment, primary (% gross)"/>
    <m/>
    <x v="4"/>
  </r>
  <r>
    <x v="26"/>
    <s v="School enrollment, primary (% gross)"/>
    <m/>
    <x v="4"/>
  </r>
  <r>
    <x v="27"/>
    <s v="School enrollment, primary (% gross)"/>
    <m/>
    <x v="4"/>
  </r>
  <r>
    <x v="0"/>
    <s v="School enrollment, primary (% gross)"/>
    <m/>
    <x v="5"/>
  </r>
  <r>
    <x v="1"/>
    <s v="School enrollment, primary (% gross)"/>
    <m/>
    <x v="5"/>
  </r>
  <r>
    <x v="2"/>
    <s v="School enrollment, primary (% gross)"/>
    <m/>
    <x v="5"/>
  </r>
  <r>
    <x v="3"/>
    <s v="School enrollment, primary (% gross)"/>
    <m/>
    <x v="5"/>
  </r>
  <r>
    <x v="4"/>
    <s v="School enrollment, primary (% gross)"/>
    <m/>
    <x v="5"/>
  </r>
  <r>
    <x v="5"/>
    <s v="School enrollment, primary (% gross)"/>
    <m/>
    <x v="5"/>
  </r>
  <r>
    <x v="6"/>
    <s v="School enrollment, primary (% gross)"/>
    <m/>
    <x v="5"/>
  </r>
  <r>
    <x v="7"/>
    <s v="School enrollment, primary (% gross)"/>
    <m/>
    <x v="5"/>
  </r>
  <r>
    <x v="8"/>
    <s v="School enrollment, primary (% gross)"/>
    <m/>
    <x v="5"/>
  </r>
  <r>
    <x v="9"/>
    <s v="School enrollment, primary (% gross)"/>
    <m/>
    <x v="5"/>
  </r>
  <r>
    <x v="10"/>
    <s v="School enrollment, primary (% gross)"/>
    <m/>
    <x v="5"/>
  </r>
  <r>
    <x v="11"/>
    <s v="School enrollment, primary (% gross)"/>
    <m/>
    <x v="5"/>
  </r>
  <r>
    <x v="12"/>
    <s v="School enrollment, primary (% gross)"/>
    <m/>
    <x v="5"/>
  </r>
  <r>
    <x v="13"/>
    <s v="School enrollment, primary (% gross)"/>
    <m/>
    <x v="5"/>
  </r>
  <r>
    <x v="14"/>
    <s v="School enrollment, primary (% gross)"/>
    <m/>
    <x v="5"/>
  </r>
  <r>
    <x v="15"/>
    <s v="School enrollment, primary (% gross)"/>
    <m/>
    <x v="5"/>
  </r>
  <r>
    <x v="16"/>
    <s v="School enrollment, primary (% gross)"/>
    <m/>
    <x v="5"/>
  </r>
  <r>
    <x v="17"/>
    <s v="School enrollment, primary (% gross)"/>
    <m/>
    <x v="5"/>
  </r>
  <r>
    <x v="18"/>
    <s v="School enrollment, primary (% gross)"/>
    <m/>
    <x v="5"/>
  </r>
  <r>
    <x v="19"/>
    <s v="School enrollment, primary (% gross)"/>
    <m/>
    <x v="5"/>
  </r>
  <r>
    <x v="20"/>
    <s v="School enrollment, primary (% gross)"/>
    <m/>
    <x v="5"/>
  </r>
  <r>
    <x v="21"/>
    <s v="School enrollment, primary (% gross)"/>
    <m/>
    <x v="5"/>
  </r>
  <r>
    <x v="22"/>
    <s v="School enrollment, primary (% gross)"/>
    <m/>
    <x v="5"/>
  </r>
  <r>
    <x v="23"/>
    <s v="School enrollment, primary (% gross)"/>
    <m/>
    <x v="5"/>
  </r>
  <r>
    <x v="24"/>
    <s v="School enrollment, primary (% gross)"/>
    <m/>
    <x v="5"/>
  </r>
  <r>
    <x v="25"/>
    <s v="School enrollment, primary (% gross)"/>
    <m/>
    <x v="5"/>
  </r>
  <r>
    <x v="26"/>
    <s v="School enrollment, primary (% gross)"/>
    <m/>
    <x v="5"/>
  </r>
  <r>
    <x v="27"/>
    <s v="School enrollment, primary (% gross)"/>
    <m/>
    <x v="5"/>
  </r>
  <r>
    <x v="0"/>
    <s v="School enrollment, primary (% gross)"/>
    <m/>
    <x v="6"/>
  </r>
  <r>
    <x v="1"/>
    <s v="School enrollment, primary (% gross)"/>
    <m/>
    <x v="6"/>
  </r>
  <r>
    <x v="2"/>
    <s v="School enrollment, primary (% gross)"/>
    <m/>
    <x v="6"/>
  </r>
  <r>
    <x v="3"/>
    <s v="School enrollment, primary (% gross)"/>
    <m/>
    <x v="6"/>
  </r>
  <r>
    <x v="4"/>
    <s v="School enrollment, primary (% gross)"/>
    <m/>
    <x v="6"/>
  </r>
  <r>
    <x v="5"/>
    <s v="School enrollment, primary (% gross)"/>
    <m/>
    <x v="6"/>
  </r>
  <r>
    <x v="6"/>
    <s v="School enrollment, primary (% gross)"/>
    <m/>
    <x v="6"/>
  </r>
  <r>
    <x v="7"/>
    <s v="School enrollment, primary (% gross)"/>
    <m/>
    <x v="6"/>
  </r>
  <r>
    <x v="8"/>
    <s v="School enrollment, primary (% gross)"/>
    <m/>
    <x v="6"/>
  </r>
  <r>
    <x v="9"/>
    <s v="School enrollment, primary (% gross)"/>
    <m/>
    <x v="6"/>
  </r>
  <r>
    <x v="10"/>
    <s v="School enrollment, primary (% gross)"/>
    <m/>
    <x v="6"/>
  </r>
  <r>
    <x v="11"/>
    <s v="School enrollment, primary (% gross)"/>
    <m/>
    <x v="6"/>
  </r>
  <r>
    <x v="12"/>
    <s v="School enrollment, primary (% gross)"/>
    <m/>
    <x v="6"/>
  </r>
  <r>
    <x v="13"/>
    <s v="School enrollment, primary (% gross)"/>
    <m/>
    <x v="6"/>
  </r>
  <r>
    <x v="14"/>
    <s v="School enrollment, primary (% gross)"/>
    <m/>
    <x v="6"/>
  </r>
  <r>
    <x v="15"/>
    <s v="School enrollment, primary (% gross)"/>
    <m/>
    <x v="6"/>
  </r>
  <r>
    <x v="16"/>
    <s v="School enrollment, primary (% gross)"/>
    <m/>
    <x v="6"/>
  </r>
  <r>
    <x v="17"/>
    <s v="School enrollment, primary (% gross)"/>
    <m/>
    <x v="6"/>
  </r>
  <r>
    <x v="18"/>
    <s v="School enrollment, primary (% gross)"/>
    <m/>
    <x v="6"/>
  </r>
  <r>
    <x v="19"/>
    <s v="School enrollment, primary (% gross)"/>
    <m/>
    <x v="6"/>
  </r>
  <r>
    <x v="20"/>
    <s v="School enrollment, primary (% gross)"/>
    <m/>
    <x v="6"/>
  </r>
  <r>
    <x v="21"/>
    <s v="School enrollment, primary (% gross)"/>
    <m/>
    <x v="6"/>
  </r>
  <r>
    <x v="22"/>
    <s v="School enrollment, primary (% gross)"/>
    <m/>
    <x v="6"/>
  </r>
  <r>
    <x v="23"/>
    <s v="School enrollment, primary (% gross)"/>
    <m/>
    <x v="6"/>
  </r>
  <r>
    <x v="24"/>
    <s v="School enrollment, primary (% gross)"/>
    <m/>
    <x v="6"/>
  </r>
  <r>
    <x v="25"/>
    <s v="School enrollment, primary (% gross)"/>
    <m/>
    <x v="6"/>
  </r>
  <r>
    <x v="26"/>
    <s v="School enrollment, primary (% gross)"/>
    <m/>
    <x v="6"/>
  </r>
  <r>
    <x v="27"/>
    <s v="School enrollment, primary (% gross)"/>
    <m/>
    <x v="6"/>
  </r>
  <r>
    <x v="0"/>
    <s v="School enrollment, primary (% gross)"/>
    <m/>
    <x v="7"/>
  </r>
  <r>
    <x v="1"/>
    <s v="School enrollment, primary (% gross)"/>
    <m/>
    <x v="7"/>
  </r>
  <r>
    <x v="2"/>
    <s v="School enrollment, primary (% gross)"/>
    <m/>
    <x v="7"/>
  </r>
  <r>
    <x v="3"/>
    <s v="School enrollment, primary (% gross)"/>
    <m/>
    <x v="7"/>
  </r>
  <r>
    <x v="4"/>
    <s v="School enrollment, primary (% gross)"/>
    <m/>
    <x v="7"/>
  </r>
  <r>
    <x v="5"/>
    <s v="School enrollment, primary (% gross)"/>
    <m/>
    <x v="7"/>
  </r>
  <r>
    <x v="6"/>
    <s v="School enrollment, primary (% gross)"/>
    <m/>
    <x v="7"/>
  </r>
  <r>
    <x v="7"/>
    <s v="School enrollment, primary (% gross)"/>
    <m/>
    <x v="7"/>
  </r>
  <r>
    <x v="8"/>
    <s v="School enrollment, primary (% gross)"/>
    <m/>
    <x v="7"/>
  </r>
  <r>
    <x v="9"/>
    <s v="School enrollment, primary (% gross)"/>
    <m/>
    <x v="7"/>
  </r>
  <r>
    <x v="10"/>
    <s v="School enrollment, primary (% gross)"/>
    <m/>
    <x v="7"/>
  </r>
  <r>
    <x v="11"/>
    <s v="School enrollment, primary (% gross)"/>
    <m/>
    <x v="7"/>
  </r>
  <r>
    <x v="12"/>
    <s v="School enrollment, primary (% gross)"/>
    <m/>
    <x v="7"/>
  </r>
  <r>
    <x v="13"/>
    <s v="School enrollment, primary (% gross)"/>
    <m/>
    <x v="7"/>
  </r>
  <r>
    <x v="14"/>
    <s v="School enrollment, primary (% gross)"/>
    <m/>
    <x v="7"/>
  </r>
  <r>
    <x v="15"/>
    <s v="School enrollment, primary (% gross)"/>
    <m/>
    <x v="7"/>
  </r>
  <r>
    <x v="16"/>
    <s v="School enrollment, primary (% gross)"/>
    <m/>
    <x v="7"/>
  </r>
  <r>
    <x v="17"/>
    <s v="School enrollment, primary (% gross)"/>
    <m/>
    <x v="7"/>
  </r>
  <r>
    <x v="18"/>
    <s v="School enrollment, primary (% gross)"/>
    <m/>
    <x v="7"/>
  </r>
  <r>
    <x v="19"/>
    <s v="School enrollment, primary (% gross)"/>
    <m/>
    <x v="7"/>
  </r>
  <r>
    <x v="20"/>
    <s v="School enrollment, primary (% gross)"/>
    <m/>
    <x v="7"/>
  </r>
  <r>
    <x v="21"/>
    <s v="School enrollment, primary (% gross)"/>
    <m/>
    <x v="7"/>
  </r>
  <r>
    <x v="22"/>
    <s v="School enrollment, primary (% gross)"/>
    <m/>
    <x v="7"/>
  </r>
  <r>
    <x v="23"/>
    <s v="School enrollment, primary (% gross)"/>
    <m/>
    <x v="7"/>
  </r>
  <r>
    <x v="24"/>
    <s v="School enrollment, primary (% gross)"/>
    <m/>
    <x v="7"/>
  </r>
  <r>
    <x v="25"/>
    <s v="School enrollment, primary (% gross)"/>
    <m/>
    <x v="7"/>
  </r>
  <r>
    <x v="26"/>
    <s v="School enrollment, primary (% gross)"/>
    <m/>
    <x v="7"/>
  </r>
  <r>
    <x v="27"/>
    <s v="School enrollment, primary (% gross)"/>
    <m/>
    <x v="7"/>
  </r>
  <r>
    <x v="0"/>
    <s v="School enrollment, primary (% gross)"/>
    <m/>
    <x v="8"/>
  </r>
  <r>
    <x v="1"/>
    <s v="School enrollment, primary (% gross)"/>
    <m/>
    <x v="8"/>
  </r>
  <r>
    <x v="2"/>
    <s v="School enrollment, primary (% gross)"/>
    <m/>
    <x v="8"/>
  </r>
  <r>
    <x v="3"/>
    <s v="School enrollment, primary (% gross)"/>
    <m/>
    <x v="8"/>
  </r>
  <r>
    <x v="4"/>
    <s v="School enrollment, primary (% gross)"/>
    <m/>
    <x v="8"/>
  </r>
  <r>
    <x v="5"/>
    <s v="School enrollment, primary (% gross)"/>
    <m/>
    <x v="8"/>
  </r>
  <r>
    <x v="6"/>
    <s v="School enrollment, primary (% gross)"/>
    <m/>
    <x v="8"/>
  </r>
  <r>
    <x v="7"/>
    <s v="School enrollment, primary (% gross)"/>
    <m/>
    <x v="8"/>
  </r>
  <r>
    <x v="8"/>
    <s v="School enrollment, primary (% gross)"/>
    <m/>
    <x v="8"/>
  </r>
  <r>
    <x v="9"/>
    <s v="School enrollment, primary (% gross)"/>
    <m/>
    <x v="8"/>
  </r>
  <r>
    <x v="10"/>
    <s v="School enrollment, primary (% gross)"/>
    <m/>
    <x v="8"/>
  </r>
  <r>
    <x v="11"/>
    <s v="School enrollment, primary (% gross)"/>
    <m/>
    <x v="8"/>
  </r>
  <r>
    <x v="12"/>
    <s v="School enrollment, primary (% gross)"/>
    <m/>
    <x v="8"/>
  </r>
  <r>
    <x v="13"/>
    <s v="School enrollment, primary (% gross)"/>
    <m/>
    <x v="8"/>
  </r>
  <r>
    <x v="14"/>
    <s v="School enrollment, primary (% gross)"/>
    <m/>
    <x v="8"/>
  </r>
  <r>
    <x v="15"/>
    <s v="School enrollment, primary (% gross)"/>
    <m/>
    <x v="8"/>
  </r>
  <r>
    <x v="16"/>
    <s v="School enrollment, primary (% gross)"/>
    <m/>
    <x v="8"/>
  </r>
  <r>
    <x v="17"/>
    <s v="School enrollment, primary (% gross)"/>
    <m/>
    <x v="8"/>
  </r>
  <r>
    <x v="18"/>
    <s v="School enrollment, primary (% gross)"/>
    <m/>
    <x v="8"/>
  </r>
  <r>
    <x v="19"/>
    <s v="School enrollment, primary (% gross)"/>
    <m/>
    <x v="8"/>
  </r>
  <r>
    <x v="20"/>
    <s v="School enrollment, primary (% gross)"/>
    <m/>
    <x v="8"/>
  </r>
  <r>
    <x v="21"/>
    <s v="School enrollment, primary (% gross)"/>
    <m/>
    <x v="8"/>
  </r>
  <r>
    <x v="22"/>
    <s v="School enrollment, primary (% gross)"/>
    <m/>
    <x v="8"/>
  </r>
  <r>
    <x v="23"/>
    <s v="School enrollment, primary (% gross)"/>
    <m/>
    <x v="8"/>
  </r>
  <r>
    <x v="24"/>
    <s v="School enrollment, primary (% gross)"/>
    <m/>
    <x v="8"/>
  </r>
  <r>
    <x v="25"/>
    <s v="School enrollment, primary (% gross)"/>
    <m/>
    <x v="8"/>
  </r>
  <r>
    <x v="26"/>
    <s v="School enrollment, primary (% gross)"/>
    <m/>
    <x v="8"/>
  </r>
  <r>
    <x v="27"/>
    <s v="School enrollment, primary (% gross)"/>
    <m/>
    <x v="8"/>
  </r>
  <r>
    <x v="0"/>
    <s v="School enrollment, primary (% gross)"/>
    <m/>
    <x v="9"/>
  </r>
  <r>
    <x v="1"/>
    <s v="School enrollment, primary (% gross)"/>
    <m/>
    <x v="9"/>
  </r>
  <r>
    <x v="2"/>
    <s v="School enrollment, primary (% gross)"/>
    <m/>
    <x v="9"/>
  </r>
  <r>
    <x v="3"/>
    <s v="School enrollment, primary (% gross)"/>
    <m/>
    <x v="9"/>
  </r>
  <r>
    <x v="4"/>
    <s v="School enrollment, primary (% gross)"/>
    <m/>
    <x v="9"/>
  </r>
  <r>
    <x v="5"/>
    <s v="School enrollment, primary (% gross)"/>
    <m/>
    <x v="9"/>
  </r>
  <r>
    <x v="6"/>
    <s v="School enrollment, primary (% gross)"/>
    <m/>
    <x v="9"/>
  </r>
  <r>
    <x v="7"/>
    <s v="School enrollment, primary (% gross)"/>
    <m/>
    <x v="9"/>
  </r>
  <r>
    <x v="8"/>
    <s v="School enrollment, primary (% gross)"/>
    <m/>
    <x v="9"/>
  </r>
  <r>
    <x v="9"/>
    <s v="School enrollment, primary (% gross)"/>
    <m/>
    <x v="9"/>
  </r>
  <r>
    <x v="10"/>
    <s v="School enrollment, primary (% gross)"/>
    <m/>
    <x v="9"/>
  </r>
  <r>
    <x v="11"/>
    <s v="School enrollment, primary (% gross)"/>
    <m/>
    <x v="9"/>
  </r>
  <r>
    <x v="12"/>
    <s v="School enrollment, primary (% gross)"/>
    <m/>
    <x v="9"/>
  </r>
  <r>
    <x v="13"/>
    <s v="School enrollment, primary (% gross)"/>
    <m/>
    <x v="9"/>
  </r>
  <r>
    <x v="14"/>
    <s v="School enrollment, primary (% gross)"/>
    <m/>
    <x v="9"/>
  </r>
  <r>
    <x v="15"/>
    <s v="School enrollment, primary (% gross)"/>
    <m/>
    <x v="9"/>
  </r>
  <r>
    <x v="16"/>
    <s v="School enrollment, primary (% gross)"/>
    <m/>
    <x v="9"/>
  </r>
  <r>
    <x v="17"/>
    <s v="School enrollment, primary (% gross)"/>
    <m/>
    <x v="9"/>
  </r>
  <r>
    <x v="18"/>
    <s v="School enrollment, primary (% gross)"/>
    <m/>
    <x v="9"/>
  </r>
  <r>
    <x v="19"/>
    <s v="School enrollment, primary (% gross)"/>
    <m/>
    <x v="9"/>
  </r>
  <r>
    <x v="20"/>
    <s v="School enrollment, primary (% gross)"/>
    <m/>
    <x v="9"/>
  </r>
  <r>
    <x v="21"/>
    <s v="School enrollment, primary (% gross)"/>
    <m/>
    <x v="9"/>
  </r>
  <r>
    <x v="22"/>
    <s v="School enrollment, primary (% gross)"/>
    <m/>
    <x v="9"/>
  </r>
  <r>
    <x v="23"/>
    <s v="School enrollment, primary (% gross)"/>
    <m/>
    <x v="9"/>
  </r>
  <r>
    <x v="24"/>
    <s v="School enrollment, primary (% gross)"/>
    <m/>
    <x v="9"/>
  </r>
  <r>
    <x v="25"/>
    <s v="School enrollment, primary (% gross)"/>
    <m/>
    <x v="9"/>
  </r>
  <r>
    <x v="26"/>
    <s v="School enrollment, primary (% gross)"/>
    <m/>
    <x v="9"/>
  </r>
  <r>
    <x v="27"/>
    <s v="School enrollment, primary (% gross)"/>
    <m/>
    <x v="9"/>
  </r>
  <r>
    <x v="0"/>
    <s v="School enrollment, primary (% gross)"/>
    <m/>
    <x v="10"/>
  </r>
  <r>
    <x v="1"/>
    <s v="School enrollment, primary (% gross)"/>
    <m/>
    <x v="10"/>
  </r>
  <r>
    <x v="2"/>
    <s v="School enrollment, primary (% gross)"/>
    <m/>
    <x v="10"/>
  </r>
  <r>
    <x v="3"/>
    <s v="School enrollment, primary (% gross)"/>
    <m/>
    <x v="10"/>
  </r>
  <r>
    <x v="4"/>
    <s v="School enrollment, primary (% gross)"/>
    <m/>
    <x v="10"/>
  </r>
  <r>
    <x v="5"/>
    <s v="School enrollment, primary (% gross)"/>
    <m/>
    <x v="10"/>
  </r>
  <r>
    <x v="6"/>
    <s v="School enrollment, primary (% gross)"/>
    <m/>
    <x v="10"/>
  </r>
  <r>
    <x v="7"/>
    <s v="School enrollment, primary (% gross)"/>
    <m/>
    <x v="10"/>
  </r>
  <r>
    <x v="8"/>
    <s v="School enrollment, primary (% gross)"/>
    <n v="62.8223686218262"/>
    <x v="10"/>
  </r>
  <r>
    <x v="9"/>
    <s v="School enrollment, primary (% gross)"/>
    <m/>
    <x v="10"/>
  </r>
  <r>
    <x v="10"/>
    <s v="School enrollment, primary (% gross)"/>
    <n v="36.469570159912102"/>
    <x v="10"/>
  </r>
  <r>
    <x v="11"/>
    <s v="School enrollment, primary (% gross)"/>
    <m/>
    <x v="10"/>
  </r>
  <r>
    <x v="12"/>
    <s v="School enrollment, primary (% gross)"/>
    <m/>
    <x v="10"/>
  </r>
  <r>
    <x v="13"/>
    <s v="School enrollment, primary (% gross)"/>
    <m/>
    <x v="10"/>
  </r>
  <r>
    <x v="14"/>
    <s v="School enrollment, primary (% gross)"/>
    <m/>
    <x v="10"/>
  </r>
  <r>
    <x v="15"/>
    <s v="School enrollment, primary (% gross)"/>
    <m/>
    <x v="10"/>
  </r>
  <r>
    <x v="16"/>
    <s v="School enrollment, primary (% gross)"/>
    <m/>
    <x v="10"/>
  </r>
  <r>
    <x v="17"/>
    <s v="School enrollment, primary (% gross)"/>
    <n v="25.7564601898193"/>
    <x v="10"/>
  </r>
  <r>
    <x v="18"/>
    <s v="School enrollment, primary (% gross)"/>
    <n v="67.150367736816406"/>
    <x v="10"/>
  </r>
  <r>
    <x v="19"/>
    <s v="School enrollment, primary (% gross)"/>
    <m/>
    <x v="10"/>
  </r>
  <r>
    <x v="20"/>
    <s v="School enrollment, primary (% gross)"/>
    <m/>
    <x v="10"/>
  </r>
  <r>
    <x v="21"/>
    <s v="School enrollment, primary (% gross)"/>
    <m/>
    <x v="10"/>
  </r>
  <r>
    <x v="22"/>
    <s v="School enrollment, primary (% gross)"/>
    <n v="101.31500244140599"/>
    <x v="10"/>
  </r>
  <r>
    <x v="23"/>
    <s v="School enrollment, primary (% gross)"/>
    <m/>
    <x v="10"/>
  </r>
  <r>
    <x v="24"/>
    <s v="School enrollment, primary (% gross)"/>
    <n v="33.822910308837898"/>
    <x v="10"/>
  </r>
  <r>
    <x v="25"/>
    <s v="School enrollment, primary (% gross)"/>
    <n v="39.614181518554702"/>
    <x v="10"/>
  </r>
  <r>
    <x v="26"/>
    <s v="School enrollment, primary (% gross)"/>
    <n v="88.129356384277301"/>
    <x v="10"/>
  </r>
  <r>
    <x v="27"/>
    <s v="School enrollment, primary (% gross)"/>
    <n v="72.592468261718807"/>
    <x v="10"/>
  </r>
  <r>
    <x v="0"/>
    <s v="School enrollment, primary (% gross)"/>
    <n v="28.352819442748999"/>
    <x v="11"/>
  </r>
  <r>
    <x v="1"/>
    <s v="School enrollment, primary (% gross)"/>
    <n v="92.668029785156307"/>
    <x v="11"/>
  </r>
  <r>
    <x v="2"/>
    <s v="School enrollment, primary (% gross)"/>
    <n v="32.285968780517599"/>
    <x v="11"/>
  </r>
  <r>
    <x v="3"/>
    <s v="School enrollment, primary (% gross)"/>
    <n v="39.269779205322301"/>
    <x v="11"/>
  </r>
  <r>
    <x v="4"/>
    <s v="School enrollment, primary (% gross)"/>
    <n v="24.621400833129901"/>
    <x v="11"/>
  </r>
  <r>
    <x v="5"/>
    <s v="School enrollment, primary (% gross)"/>
    <n v="15.02952003479"/>
    <x v="11"/>
  </r>
  <r>
    <x v="6"/>
    <s v="School enrollment, primary (% gross)"/>
    <n v="30.5165691375732"/>
    <x v="11"/>
  </r>
  <r>
    <x v="7"/>
    <s v="School enrollment, primary (% gross)"/>
    <n v="50.091758728027301"/>
    <x v="11"/>
  </r>
  <r>
    <x v="8"/>
    <s v="School enrollment, primary (% gross)"/>
    <n v="64.684112548828097"/>
    <x v="11"/>
  </r>
  <r>
    <x v="9"/>
    <s v="School enrollment, primary (% gross)"/>
    <m/>
    <x v="11"/>
  </r>
  <r>
    <x v="10"/>
    <s v="School enrollment, primary (% gross)"/>
    <n v="37.702919006347699"/>
    <x v="11"/>
  </r>
  <r>
    <x v="11"/>
    <s v="School enrollment, primary (% gross)"/>
    <n v="86.115676879882798"/>
    <x v="11"/>
  </r>
  <r>
    <x v="12"/>
    <s v="School enrollment, primary (% gross)"/>
    <n v="40.436740875244098"/>
    <x v="11"/>
  </r>
  <r>
    <x v="13"/>
    <s v="School enrollment, primary (% gross)"/>
    <n v="23.407140731811499"/>
    <x v="11"/>
  </r>
  <r>
    <x v="14"/>
    <s v="School enrollment, primary (% gross)"/>
    <m/>
    <x v="11"/>
  </r>
  <r>
    <x v="15"/>
    <s v="School enrollment, primary (% gross)"/>
    <n v="39.027359008789098"/>
    <x v="11"/>
  </r>
  <r>
    <x v="16"/>
    <s v="School enrollment, primary (% gross)"/>
    <n v="88.139251708984403"/>
    <x v="11"/>
  </r>
  <r>
    <x v="17"/>
    <s v="School enrollment, primary (% gross)"/>
    <m/>
    <x v="11"/>
  </r>
  <r>
    <x v="18"/>
    <s v="School enrollment, primary (% gross)"/>
    <n v="70.097389221191406"/>
    <x v="11"/>
  </r>
  <r>
    <x v="19"/>
    <s v="School enrollment, primary (% gross)"/>
    <n v="11.7142896652222"/>
    <x v="11"/>
  </r>
  <r>
    <x v="20"/>
    <s v="School enrollment, primary (% gross)"/>
    <n v="64.660423278808494"/>
    <x v="11"/>
  </r>
  <r>
    <x v="21"/>
    <s v="School enrollment, primary (% gross)"/>
    <n v="111.11385345459"/>
    <x v="11"/>
  </r>
  <r>
    <x v="22"/>
    <s v="School enrollment, primary (% gross)"/>
    <n v="103.136596679688"/>
    <x v="11"/>
  </r>
  <r>
    <x v="23"/>
    <s v="School enrollment, primary (% gross)"/>
    <m/>
    <x v="11"/>
  </r>
  <r>
    <x v="24"/>
    <s v="School enrollment, primary (% gross)"/>
    <n v="35.227928161621101"/>
    <x v="11"/>
  </r>
  <r>
    <x v="25"/>
    <s v="School enrollment, primary (% gross)"/>
    <n v="41.765918731689503"/>
    <x v="11"/>
  </r>
  <r>
    <x v="26"/>
    <s v="School enrollment, primary (% gross)"/>
    <n v="88.931472778320298"/>
    <x v="11"/>
  </r>
  <r>
    <x v="27"/>
    <s v="School enrollment, primary (% gross)"/>
    <n v="66.160293579101605"/>
    <x v="11"/>
  </r>
  <r>
    <x v="0"/>
    <s v="School enrollment, primary (% gross)"/>
    <n v="27.411329269409201"/>
    <x v="12"/>
  </r>
  <r>
    <x v="1"/>
    <s v="School enrollment, primary (% gross)"/>
    <n v="90.052101135253906"/>
    <x v="12"/>
  </r>
  <r>
    <x v="2"/>
    <s v="School enrollment, primary (% gross)"/>
    <n v="31.660230636596701"/>
    <x v="12"/>
  </r>
  <r>
    <x v="3"/>
    <s v="School enrollment, primary (% gross)"/>
    <n v="39.828208923339801"/>
    <x v="12"/>
  </r>
  <r>
    <x v="4"/>
    <s v="School enrollment, primary (% gross)"/>
    <n v="24.761020660400401"/>
    <x v="12"/>
  </r>
  <r>
    <x v="5"/>
    <s v="School enrollment, primary (% gross)"/>
    <n v="15.861590385436999"/>
    <x v="12"/>
  </r>
  <r>
    <x v="6"/>
    <s v="School enrollment, primary (% gross)"/>
    <n v="25.976890563964801"/>
    <x v="12"/>
  </r>
  <r>
    <x v="7"/>
    <s v="School enrollment, primary (% gross)"/>
    <n v="52.154811859130902"/>
    <x v="12"/>
  </r>
  <r>
    <x v="8"/>
    <s v="School enrollment, primary (% gross)"/>
    <n v="68.682319641113295"/>
    <x v="12"/>
  </r>
  <r>
    <x v="9"/>
    <s v="School enrollment, primary (% gross)"/>
    <m/>
    <x v="12"/>
  </r>
  <r>
    <x v="10"/>
    <s v="School enrollment, primary (% gross)"/>
    <n v="38.820808410644503"/>
    <x v="12"/>
  </r>
  <r>
    <x v="11"/>
    <s v="School enrollment, primary (% gross)"/>
    <n v="89.400016784667997"/>
    <x v="12"/>
  </r>
  <r>
    <x v="12"/>
    <s v="School enrollment, primary (% gross)"/>
    <n v="46.947750091552699"/>
    <x v="12"/>
  </r>
  <r>
    <x v="13"/>
    <s v="School enrollment, primary (% gross)"/>
    <n v="24.551010131835898"/>
    <x v="12"/>
  </r>
  <r>
    <x v="14"/>
    <s v="School enrollment, primary (% gross)"/>
    <m/>
    <x v="12"/>
  </r>
  <r>
    <x v="15"/>
    <s v="School enrollment, primary (% gross)"/>
    <n v="34.419410705566399"/>
    <x v="12"/>
  </r>
  <r>
    <x v="16"/>
    <s v="School enrollment, primary (% gross)"/>
    <n v="86.609153747558494"/>
    <x v="12"/>
  </r>
  <r>
    <x v="17"/>
    <s v="School enrollment, primary (% gross)"/>
    <n v="40.847110748291001"/>
    <x v="12"/>
  </r>
  <r>
    <x v="18"/>
    <s v="School enrollment, primary (% gross)"/>
    <n v="69.975158691406307"/>
    <x v="12"/>
  </r>
  <r>
    <x v="19"/>
    <s v="School enrollment, primary (% gross)"/>
    <n v="12.1438798904419"/>
    <x v="12"/>
  </r>
  <r>
    <x v="20"/>
    <s v="School enrollment, primary (% gross)"/>
    <n v="61.474010467529197"/>
    <x v="12"/>
  </r>
  <r>
    <x v="21"/>
    <s v="School enrollment, primary (% gross)"/>
    <n v="123.414993286133"/>
    <x v="12"/>
  </r>
  <r>
    <x v="22"/>
    <s v="School enrollment, primary (% gross)"/>
    <n v="93.407119750976605"/>
    <x v="12"/>
  </r>
  <r>
    <x v="23"/>
    <s v="School enrollment, primary (% gross)"/>
    <m/>
    <x v="12"/>
  </r>
  <r>
    <x v="24"/>
    <s v="School enrollment, primary (% gross)"/>
    <n v="37.571338653564503"/>
    <x v="12"/>
  </r>
  <r>
    <x v="25"/>
    <s v="School enrollment, primary (% gross)"/>
    <n v="39.956188201904197"/>
    <x v="12"/>
  </r>
  <r>
    <x v="26"/>
    <s v="School enrollment, primary (% gross)"/>
    <n v="91.105667114257798"/>
    <x v="12"/>
  </r>
  <r>
    <x v="27"/>
    <s v="School enrollment, primary (% gross)"/>
    <n v="69.1793212890625"/>
    <x v="12"/>
  </r>
  <r>
    <x v="0"/>
    <s v="School enrollment, primary (% gross)"/>
    <n v="23.656980514526399"/>
    <x v="13"/>
  </r>
  <r>
    <x v="1"/>
    <s v="School enrollment, primary (% gross)"/>
    <n v="90.312149047851605"/>
    <x v="13"/>
  </r>
  <r>
    <x v="2"/>
    <s v="School enrollment, primary (% gross)"/>
    <n v="31.629350662231399"/>
    <x v="13"/>
  </r>
  <r>
    <x v="3"/>
    <s v="School enrollment, primary (% gross)"/>
    <n v="50.284141540527301"/>
    <x v="13"/>
  </r>
  <r>
    <x v="4"/>
    <s v="School enrollment, primary (% gross)"/>
    <n v="25.7512607574463"/>
    <x v="13"/>
  </r>
  <r>
    <x v="5"/>
    <s v="School enrollment, primary (% gross)"/>
    <n v="16.2753791809082"/>
    <x v="13"/>
  </r>
  <r>
    <x v="6"/>
    <s v="School enrollment, primary (% gross)"/>
    <n v="30.002609252929702"/>
    <x v="13"/>
  </r>
  <r>
    <x v="7"/>
    <s v="School enrollment, primary (% gross)"/>
    <n v="53.558010101318402"/>
    <x v="13"/>
  </r>
  <r>
    <x v="8"/>
    <s v="School enrollment, primary (% gross)"/>
    <n v="71.798088073730497"/>
    <x v="13"/>
  </r>
  <r>
    <x v="9"/>
    <s v="School enrollment, primary (% gross)"/>
    <m/>
    <x v="13"/>
  </r>
  <r>
    <x v="10"/>
    <s v="School enrollment, primary (% gross)"/>
    <m/>
    <x v="13"/>
  </r>
  <r>
    <x v="11"/>
    <s v="School enrollment, primary (% gross)"/>
    <n v="88.877746582031307"/>
    <x v="13"/>
  </r>
  <r>
    <x v="12"/>
    <s v="School enrollment, primary (% gross)"/>
    <n v="50.795909881591697"/>
    <x v="13"/>
  </r>
  <r>
    <x v="13"/>
    <s v="School enrollment, primary (% gross)"/>
    <n v="24.877140045166001"/>
    <x v="13"/>
  </r>
  <r>
    <x v="14"/>
    <s v="School enrollment, primary (% gross)"/>
    <m/>
    <x v="13"/>
  </r>
  <r>
    <x v="15"/>
    <s v="School enrollment, primary (% gross)"/>
    <n v="43.162258148193402"/>
    <x v="13"/>
  </r>
  <r>
    <x v="16"/>
    <s v="School enrollment, primary (% gross)"/>
    <n v="87.014869689941406"/>
    <x v="13"/>
  </r>
  <r>
    <x v="17"/>
    <s v="School enrollment, primary (% gross)"/>
    <n v="42.3950004577637"/>
    <x v="13"/>
  </r>
  <r>
    <x v="18"/>
    <s v="School enrollment, primary (% gross)"/>
    <n v="71.615737915039105"/>
    <x v="13"/>
  </r>
  <r>
    <x v="19"/>
    <s v="School enrollment, primary (% gross)"/>
    <n v="12.5519399642944"/>
    <x v="13"/>
  </r>
  <r>
    <x v="20"/>
    <s v="School enrollment, primary (% gross)"/>
    <n v="59.732181549072301"/>
    <x v="13"/>
  </r>
  <r>
    <x v="21"/>
    <s v="School enrollment, primary (% gross)"/>
    <n v="145.99952697753901"/>
    <x v="13"/>
  </r>
  <r>
    <x v="22"/>
    <s v="School enrollment, primary (% gross)"/>
    <n v="90.800468444824205"/>
    <x v="13"/>
  </r>
  <r>
    <x v="23"/>
    <s v="School enrollment, primary (% gross)"/>
    <m/>
    <x v="13"/>
  </r>
  <r>
    <x v="24"/>
    <s v="School enrollment, primary (% gross)"/>
    <n v="40.140731811523402"/>
    <x v="13"/>
  </r>
  <r>
    <x v="25"/>
    <s v="School enrollment, primary (% gross)"/>
    <n v="40.295120239257798"/>
    <x v="13"/>
  </r>
  <r>
    <x v="26"/>
    <s v="School enrollment, primary (% gross)"/>
    <n v="91.357482910156307"/>
    <x v="13"/>
  </r>
  <r>
    <x v="27"/>
    <s v="School enrollment, primary (% gross)"/>
    <n v="69.772727966308494"/>
    <x v="13"/>
  </r>
  <r>
    <x v="0"/>
    <s v="School enrollment, primary (% gross)"/>
    <n v="21.581249237060501"/>
    <x v="14"/>
  </r>
  <r>
    <x v="1"/>
    <s v="School enrollment, primary (% gross)"/>
    <n v="91.349853515625"/>
    <x v="14"/>
  </r>
  <r>
    <x v="2"/>
    <s v="School enrollment, primary (% gross)"/>
    <n v="32.430019378662102"/>
    <x v="14"/>
  </r>
  <r>
    <x v="3"/>
    <s v="School enrollment, primary (% gross)"/>
    <n v="56.839679718017599"/>
    <x v="14"/>
  </r>
  <r>
    <x v="4"/>
    <s v="School enrollment, primary (% gross)"/>
    <n v="26.2495002746582"/>
    <x v="14"/>
  </r>
  <r>
    <x v="5"/>
    <s v="School enrollment, primary (% gross)"/>
    <n v="17.7330207824707"/>
    <x v="14"/>
  </r>
  <r>
    <x v="6"/>
    <s v="School enrollment, primary (% gross)"/>
    <n v="30.793289184570298"/>
    <x v="14"/>
  </r>
  <r>
    <x v="7"/>
    <s v="School enrollment, primary (% gross)"/>
    <n v="55.128490447997997"/>
    <x v="14"/>
  </r>
  <r>
    <x v="8"/>
    <s v="School enrollment, primary (% gross)"/>
    <n v="106.334663391113"/>
    <x v="14"/>
  </r>
  <r>
    <x v="9"/>
    <s v="School enrollment, primary (% gross)"/>
    <m/>
    <x v="14"/>
  </r>
  <r>
    <x v="10"/>
    <s v="School enrollment, primary (% gross)"/>
    <m/>
    <x v="14"/>
  </r>
  <r>
    <x v="11"/>
    <s v="School enrollment, primary (% gross)"/>
    <n v="86.495918273925795"/>
    <x v="14"/>
  </r>
  <r>
    <x v="12"/>
    <s v="School enrollment, primary (% gross)"/>
    <n v="55.758460998535199"/>
    <x v="14"/>
  </r>
  <r>
    <x v="13"/>
    <s v="School enrollment, primary (% gross)"/>
    <n v="25.5872592926025"/>
    <x v="14"/>
  </r>
  <r>
    <x v="14"/>
    <s v="School enrollment, primary (% gross)"/>
    <m/>
    <x v="14"/>
  </r>
  <r>
    <x v="15"/>
    <s v="School enrollment, primary (% gross)"/>
    <m/>
    <x v="14"/>
  </r>
  <r>
    <x v="16"/>
    <s v="School enrollment, primary (% gross)"/>
    <n v="86.151260375976605"/>
    <x v="14"/>
  </r>
  <r>
    <x v="17"/>
    <s v="School enrollment, primary (% gross)"/>
    <n v="46.540519714355497"/>
    <x v="14"/>
  </r>
  <r>
    <x v="18"/>
    <s v="School enrollment, primary (% gross)"/>
    <n v="71.281532287597699"/>
    <x v="14"/>
  </r>
  <r>
    <x v="19"/>
    <s v="School enrollment, primary (% gross)"/>
    <n v="13.2995300292969"/>
    <x v="14"/>
  </r>
  <r>
    <x v="20"/>
    <s v="School enrollment, primary (% gross)"/>
    <n v="58.366851806640597"/>
    <x v="14"/>
  </r>
  <r>
    <x v="21"/>
    <s v="School enrollment, primary (% gross)"/>
    <n v="115.790069580078"/>
    <x v="14"/>
  </r>
  <r>
    <x v="22"/>
    <s v="School enrollment, primary (% gross)"/>
    <n v="85.548660278320298"/>
    <x v="14"/>
  </r>
  <r>
    <x v="23"/>
    <s v="School enrollment, primary (% gross)"/>
    <m/>
    <x v="14"/>
  </r>
  <r>
    <x v="24"/>
    <s v="School enrollment, primary (% gross)"/>
    <n v="43.410930633544901"/>
    <x v="14"/>
  </r>
  <r>
    <x v="25"/>
    <s v="School enrollment, primary (% gross)"/>
    <n v="42.155330657958999"/>
    <x v="14"/>
  </r>
  <r>
    <x v="26"/>
    <s v="School enrollment, primary (% gross)"/>
    <n v="93.370429992675795"/>
    <x v="14"/>
  </r>
  <r>
    <x v="27"/>
    <s v="School enrollment, primary (% gross)"/>
    <n v="71.26806640625"/>
    <x v="14"/>
  </r>
  <r>
    <x v="0"/>
    <s v="School enrollment, primary (% gross)"/>
    <n v="21.824699401855501"/>
    <x v="15"/>
  </r>
  <r>
    <x v="1"/>
    <s v="School enrollment, primary (% gross)"/>
    <n v="93.579559326171903"/>
    <x v="15"/>
  </r>
  <r>
    <x v="2"/>
    <s v="School enrollment, primary (% gross)"/>
    <n v="32.299839019775398"/>
    <x v="15"/>
  </r>
  <r>
    <x v="3"/>
    <s v="School enrollment, primary (% gross)"/>
    <n v="68.585807800292997"/>
    <x v="15"/>
  </r>
  <r>
    <x v="4"/>
    <s v="School enrollment, primary (% gross)"/>
    <n v="26.493949890136701"/>
    <x v="15"/>
  </r>
  <r>
    <x v="5"/>
    <s v="School enrollment, primary (% gross)"/>
    <n v="19.229900360107401"/>
    <x v="15"/>
  </r>
  <r>
    <x v="6"/>
    <s v="School enrollment, primary (% gross)"/>
    <n v="31.815259933471701"/>
    <x v="15"/>
  </r>
  <r>
    <x v="7"/>
    <s v="School enrollment, primary (% gross)"/>
    <n v="56.6939697265625"/>
    <x v="15"/>
  </r>
  <r>
    <x v="8"/>
    <s v="School enrollment, primary (% gross)"/>
    <n v="109.28610992431599"/>
    <x v="15"/>
  </r>
  <r>
    <x v="9"/>
    <s v="School enrollment, primary (% gross)"/>
    <m/>
    <x v="15"/>
  </r>
  <r>
    <x v="10"/>
    <s v="School enrollment, primary (% gross)"/>
    <n v="40.8320503234863"/>
    <x v="15"/>
  </r>
  <r>
    <x v="11"/>
    <s v="School enrollment, primary (% gross)"/>
    <n v="92.054031372070298"/>
    <x v="15"/>
  </r>
  <r>
    <x v="12"/>
    <s v="School enrollment, primary (% gross)"/>
    <n v="61.358211517333999"/>
    <x v="15"/>
  </r>
  <r>
    <x v="13"/>
    <s v="School enrollment, primary (% gross)"/>
    <n v="25.443479537963899"/>
    <x v="15"/>
  </r>
  <r>
    <x v="14"/>
    <s v="School enrollment, primary (% gross)"/>
    <m/>
    <x v="15"/>
  </r>
  <r>
    <x v="15"/>
    <s v="School enrollment, primary (% gross)"/>
    <n v="59.0891304016113"/>
    <x v="15"/>
  </r>
  <r>
    <x v="16"/>
    <s v="School enrollment, primary (% gross)"/>
    <m/>
    <x v="15"/>
  </r>
  <r>
    <x v="17"/>
    <s v="School enrollment, primary (% gross)"/>
    <n v="52.466190338134801"/>
    <x v="15"/>
  </r>
  <r>
    <x v="18"/>
    <s v="School enrollment, primary (% gross)"/>
    <n v="73.151107788085895"/>
    <x v="15"/>
  </r>
  <r>
    <x v="19"/>
    <s v="School enrollment, primary (% gross)"/>
    <n v="14.153440475463899"/>
    <x v="15"/>
  </r>
  <r>
    <x v="20"/>
    <s v="School enrollment, primary (% gross)"/>
    <n v="55.616130828857401"/>
    <x v="15"/>
  </r>
  <r>
    <x v="21"/>
    <s v="School enrollment, primary (% gross)"/>
    <n v="117.795219421387"/>
    <x v="15"/>
  </r>
  <r>
    <x v="22"/>
    <s v="School enrollment, primary (% gross)"/>
    <n v="82.587753295898395"/>
    <x v="15"/>
  </r>
  <r>
    <x v="23"/>
    <s v="School enrollment, primary (% gross)"/>
    <m/>
    <x v="15"/>
  </r>
  <r>
    <x v="24"/>
    <s v="School enrollment, primary (% gross)"/>
    <n v="53.148609161377003"/>
    <x v="15"/>
  </r>
  <r>
    <x v="25"/>
    <s v="School enrollment, primary (% gross)"/>
    <n v="45.452018737792997"/>
    <x v="15"/>
  </r>
  <r>
    <x v="26"/>
    <s v="School enrollment, primary (% gross)"/>
    <n v="91.860420227050795"/>
    <x v="15"/>
  </r>
  <r>
    <x v="27"/>
    <s v="School enrollment, primary (% gross)"/>
    <n v="71.441612243652301"/>
    <x v="15"/>
  </r>
  <r>
    <x v="0"/>
    <s v="School enrollment, primary (% gross)"/>
    <n v="21.707309722900401"/>
    <x v="16"/>
  </r>
  <r>
    <x v="1"/>
    <s v="School enrollment, primary (% gross)"/>
    <n v="94.940322875976605"/>
    <x v="16"/>
  </r>
  <r>
    <x v="2"/>
    <s v="School enrollment, primary (% gross)"/>
    <n v="33.453811645507798"/>
    <x v="16"/>
  </r>
  <r>
    <x v="3"/>
    <s v="School enrollment, primary (% gross)"/>
    <n v="83.920249938964801"/>
    <x v="16"/>
  </r>
  <r>
    <x v="4"/>
    <s v="School enrollment, primary (% gross)"/>
    <n v="25.49880027771"/>
    <x v="16"/>
  </r>
  <r>
    <x v="5"/>
    <s v="School enrollment, primary (% gross)"/>
    <n v="21.251789093017599"/>
    <x v="16"/>
  </r>
  <r>
    <x v="6"/>
    <s v="School enrollment, primary (% gross)"/>
    <n v="31.254409790039102"/>
    <x v="16"/>
  </r>
  <r>
    <x v="7"/>
    <s v="School enrollment, primary (% gross)"/>
    <n v="60.523658752441399"/>
    <x v="16"/>
  </r>
  <r>
    <x v="8"/>
    <s v="School enrollment, primary (% gross)"/>
    <n v="105.017791748047"/>
    <x v="16"/>
  </r>
  <r>
    <x v="9"/>
    <s v="School enrollment, primary (% gross)"/>
    <m/>
    <x v="16"/>
  </r>
  <r>
    <x v="10"/>
    <s v="School enrollment, primary (% gross)"/>
    <n v="38.268581390380902"/>
    <x v="16"/>
  </r>
  <r>
    <x v="11"/>
    <s v="School enrollment, primary (% gross)"/>
    <n v="95.772331237792997"/>
    <x v="16"/>
  </r>
  <r>
    <x v="12"/>
    <s v="School enrollment, primary (% gross)"/>
    <n v="61.952480316162102"/>
    <x v="16"/>
  </r>
  <r>
    <x v="13"/>
    <s v="School enrollment, primary (% gross)"/>
    <n v="26.2606296539307"/>
    <x v="16"/>
  </r>
  <r>
    <x v="14"/>
    <s v="School enrollment, primary (% gross)"/>
    <m/>
    <x v="16"/>
  </r>
  <r>
    <x v="15"/>
    <s v="School enrollment, primary (% gross)"/>
    <m/>
    <x v="16"/>
  </r>
  <r>
    <x v="16"/>
    <s v="School enrollment, primary (% gross)"/>
    <n v="84.913398742675795"/>
    <x v="16"/>
  </r>
  <r>
    <x v="17"/>
    <s v="School enrollment, primary (% gross)"/>
    <n v="61.060928344726598"/>
    <x v="16"/>
  </r>
  <r>
    <x v="18"/>
    <s v="School enrollment, primary (% gross)"/>
    <n v="75.507972717285199"/>
    <x v="16"/>
  </r>
  <r>
    <x v="19"/>
    <s v="School enrollment, primary (% gross)"/>
    <n v="16.277290344238299"/>
    <x v="16"/>
  </r>
  <r>
    <x v="20"/>
    <s v="School enrollment, primary (% gross)"/>
    <n v="56.581981658935497"/>
    <x v="16"/>
  </r>
  <r>
    <x v="21"/>
    <s v="School enrollment, primary (% gross)"/>
    <n v="151.00918579101599"/>
    <x v="16"/>
  </r>
  <r>
    <x v="22"/>
    <s v="School enrollment, primary (% gross)"/>
    <n v="81.903961181640597"/>
    <x v="16"/>
  </r>
  <r>
    <x v="23"/>
    <s v="School enrollment, primary (% gross)"/>
    <m/>
    <x v="16"/>
  </r>
  <r>
    <x v="24"/>
    <s v="School enrollment, primary (% gross)"/>
    <n v="63.088130950927699"/>
    <x v="16"/>
  </r>
  <r>
    <x v="25"/>
    <s v="School enrollment, primary (% gross)"/>
    <n v="46.870510101318402"/>
    <x v="16"/>
  </r>
  <r>
    <x v="26"/>
    <s v="School enrollment, primary (% gross)"/>
    <n v="92.465408325195298"/>
    <x v="16"/>
  </r>
  <r>
    <x v="27"/>
    <s v="School enrollment, primary (% gross)"/>
    <n v="70.822517395019503"/>
    <x v="16"/>
  </r>
  <r>
    <x v="0"/>
    <s v="School enrollment, primary (% gross)"/>
    <n v="21.8879909515381"/>
    <x v="17"/>
  </r>
  <r>
    <x v="1"/>
    <s v="School enrollment, primary (% gross)"/>
    <n v="93.554161071777301"/>
    <x v="17"/>
  </r>
  <r>
    <x v="2"/>
    <s v="School enrollment, primary (% gross)"/>
    <n v="33.856521606445298"/>
    <x v="17"/>
  </r>
  <r>
    <x v="3"/>
    <s v="School enrollment, primary (% gross)"/>
    <n v="96.039382934570298"/>
    <x v="17"/>
  </r>
  <r>
    <x v="4"/>
    <s v="School enrollment, primary (% gross)"/>
    <n v="23.683780670166001"/>
    <x v="17"/>
  </r>
  <r>
    <x v="5"/>
    <s v="School enrollment, primary (% gross)"/>
    <n v="22.831239700317401"/>
    <x v="17"/>
  </r>
  <r>
    <x v="6"/>
    <s v="School enrollment, primary (% gross)"/>
    <n v="35.504230499267599"/>
    <x v="17"/>
  </r>
  <r>
    <x v="7"/>
    <s v="School enrollment, primary (% gross)"/>
    <n v="61.618690490722699"/>
    <x v="17"/>
  </r>
  <r>
    <x v="8"/>
    <s v="School enrollment, primary (% gross)"/>
    <n v="104.061889648438"/>
    <x v="17"/>
  </r>
  <r>
    <x v="9"/>
    <s v="School enrollment, primary (% gross)"/>
    <m/>
    <x v="17"/>
  </r>
  <r>
    <x v="10"/>
    <s v="School enrollment, primary (% gross)"/>
    <m/>
    <x v="17"/>
  </r>
  <r>
    <x v="11"/>
    <s v="School enrollment, primary (% gross)"/>
    <n v="118.27223205566401"/>
    <x v="17"/>
  </r>
  <r>
    <x v="12"/>
    <s v="School enrollment, primary (% gross)"/>
    <n v="60.886020660400398"/>
    <x v="17"/>
  </r>
  <r>
    <x v="13"/>
    <s v="School enrollment, primary (% gross)"/>
    <n v="26.986869812011701"/>
    <x v="17"/>
  </r>
  <r>
    <x v="14"/>
    <s v="School enrollment, primary (% gross)"/>
    <m/>
    <x v="17"/>
  </r>
  <r>
    <x v="15"/>
    <s v="School enrollment, primary (% gross)"/>
    <n v="105.196617126465"/>
    <x v="17"/>
  </r>
  <r>
    <x v="16"/>
    <s v="School enrollment, primary (% gross)"/>
    <n v="84.939903259277301"/>
    <x v="17"/>
  </r>
  <r>
    <x v="17"/>
    <s v="School enrollment, primary (% gross)"/>
    <n v="70.921661376953097"/>
    <x v="17"/>
  </r>
  <r>
    <x v="18"/>
    <s v="School enrollment, primary (% gross)"/>
    <n v="74.467597961425795"/>
    <x v="17"/>
  </r>
  <r>
    <x v="19"/>
    <s v="School enrollment, primary (% gross)"/>
    <n v="17.879499435424801"/>
    <x v="17"/>
  </r>
  <r>
    <x v="20"/>
    <s v="School enrollment, primary (% gross)"/>
    <n v="59.621410369872997"/>
    <x v="17"/>
  </r>
  <r>
    <x v="21"/>
    <s v="School enrollment, primary (% gross)"/>
    <n v="129.069412231445"/>
    <x v="17"/>
  </r>
  <r>
    <x v="22"/>
    <s v="School enrollment, primary (% gross)"/>
    <n v="86.775192260742202"/>
    <x v="17"/>
  </r>
  <r>
    <x v="23"/>
    <s v="School enrollment, primary (% gross)"/>
    <m/>
    <x v="17"/>
  </r>
  <r>
    <x v="24"/>
    <s v="School enrollment, primary (% gross)"/>
    <n v="71.033309936523395"/>
    <x v="17"/>
  </r>
  <r>
    <x v="25"/>
    <s v="School enrollment, primary (% gross)"/>
    <n v="49.859100341796903"/>
    <x v="17"/>
  </r>
  <r>
    <x v="26"/>
    <s v="School enrollment, primary (% gross)"/>
    <n v="92.176460266113295"/>
    <x v="17"/>
  </r>
  <r>
    <x v="27"/>
    <s v="School enrollment, primary (% gross)"/>
    <n v="69.255699157714801"/>
    <x v="17"/>
  </r>
  <r>
    <x v="0"/>
    <s v="School enrollment, primary (% gross)"/>
    <n v="23.524839401245099"/>
    <x v="18"/>
  </r>
  <r>
    <x v="1"/>
    <s v="School enrollment, primary (% gross)"/>
    <n v="94.664627075195298"/>
    <x v="18"/>
  </r>
  <r>
    <x v="2"/>
    <s v="School enrollment, primary (% gross)"/>
    <m/>
    <x v="18"/>
  </r>
  <r>
    <x v="3"/>
    <s v="School enrollment, primary (% gross)"/>
    <m/>
    <x v="18"/>
  </r>
  <r>
    <x v="4"/>
    <s v="School enrollment, primary (% gross)"/>
    <n v="26.556690216064499"/>
    <x v="18"/>
  </r>
  <r>
    <x v="5"/>
    <s v="School enrollment, primary (% gross)"/>
    <n v="21.956119537353501"/>
    <x v="18"/>
  </r>
  <r>
    <x v="6"/>
    <s v="School enrollment, primary (% gross)"/>
    <n v="37.318309783935497"/>
    <x v="18"/>
  </r>
  <r>
    <x v="7"/>
    <s v="School enrollment, primary (% gross)"/>
    <n v="61.743648529052699"/>
    <x v="18"/>
  </r>
  <r>
    <x v="8"/>
    <s v="School enrollment, primary (% gross)"/>
    <n v="99.702499389648395"/>
    <x v="18"/>
  </r>
  <r>
    <x v="9"/>
    <s v="School enrollment, primary (% gross)"/>
    <m/>
    <x v="18"/>
  </r>
  <r>
    <x v="10"/>
    <s v="School enrollment, primary (% gross)"/>
    <n v="46.353870391845703"/>
    <x v="18"/>
  </r>
  <r>
    <x v="11"/>
    <s v="School enrollment, primary (% gross)"/>
    <n v="122.07749176025401"/>
    <x v="18"/>
  </r>
  <r>
    <x v="12"/>
    <s v="School enrollment, primary (% gross)"/>
    <n v="59.087379455566399"/>
    <x v="18"/>
  </r>
  <r>
    <x v="13"/>
    <s v="School enrollment, primary (% gross)"/>
    <n v="27.738090515136701"/>
    <x v="18"/>
  </r>
  <r>
    <x v="14"/>
    <s v="School enrollment, primary (% gross)"/>
    <m/>
    <x v="18"/>
  </r>
  <r>
    <x v="15"/>
    <s v="School enrollment, primary (% gross)"/>
    <n v="108.54286956787099"/>
    <x v="18"/>
  </r>
  <r>
    <x v="16"/>
    <s v="School enrollment, primary (% gross)"/>
    <n v="86.473617553710895"/>
    <x v="18"/>
  </r>
  <r>
    <x v="17"/>
    <s v="School enrollment, primary (% gross)"/>
    <n v="78.559310913085895"/>
    <x v="18"/>
  </r>
  <r>
    <x v="18"/>
    <s v="School enrollment, primary (% gross)"/>
    <n v="72.295852661132798"/>
    <x v="18"/>
  </r>
  <r>
    <x v="19"/>
    <s v="School enrollment, primary (% gross)"/>
    <n v="19.210170745849599"/>
    <x v="18"/>
  </r>
  <r>
    <x v="20"/>
    <s v="School enrollment, primary (% gross)"/>
    <n v="61.736698150634801"/>
    <x v="18"/>
  </r>
  <r>
    <x v="21"/>
    <s v="School enrollment, primary (% gross)"/>
    <n v="140.31506347656301"/>
    <x v="18"/>
  </r>
  <r>
    <x v="22"/>
    <s v="School enrollment, primary (% gross)"/>
    <n v="91.707237243652301"/>
    <x v="18"/>
  </r>
  <r>
    <x v="23"/>
    <s v="School enrollment, primary (% gross)"/>
    <m/>
    <x v="18"/>
  </r>
  <r>
    <x v="24"/>
    <s v="School enrollment, primary (% gross)"/>
    <n v="90.416877746582003"/>
    <x v="18"/>
  </r>
  <r>
    <x v="25"/>
    <s v="School enrollment, primary (% gross)"/>
    <n v="51.263248443603501"/>
    <x v="18"/>
  </r>
  <r>
    <x v="26"/>
    <s v="School enrollment, primary (% gross)"/>
    <n v="91.536300659179702"/>
    <x v="18"/>
  </r>
  <r>
    <x v="27"/>
    <s v="School enrollment, primary (% gross)"/>
    <n v="62.220741271972699"/>
    <x v="18"/>
  </r>
  <r>
    <x v="0"/>
    <s v="School enrollment, primary (% gross)"/>
    <n v="23.9002895355225"/>
    <x v="19"/>
  </r>
  <r>
    <x v="1"/>
    <s v="School enrollment, primary (% gross)"/>
    <n v="95.239776611328097"/>
    <x v="19"/>
  </r>
  <r>
    <x v="2"/>
    <s v="School enrollment, primary (% gross)"/>
    <m/>
    <x v="19"/>
  </r>
  <r>
    <x v="3"/>
    <s v="School enrollment, primary (% gross)"/>
    <n v="105.16561889648401"/>
    <x v="19"/>
  </r>
  <r>
    <x v="4"/>
    <s v="School enrollment, primary (% gross)"/>
    <n v="26.630830764770501"/>
    <x v="19"/>
  </r>
  <r>
    <x v="5"/>
    <s v="School enrollment, primary (% gross)"/>
    <n v="26.123640060424801"/>
    <x v="19"/>
  </r>
  <r>
    <x v="6"/>
    <s v="School enrollment, primary (% gross)"/>
    <n v="39.255500793457003"/>
    <x v="19"/>
  </r>
  <r>
    <x v="7"/>
    <s v="School enrollment, primary (% gross)"/>
    <n v="62.381221771240199"/>
    <x v="19"/>
  </r>
  <r>
    <x v="8"/>
    <s v="School enrollment, primary (% gross)"/>
    <n v="119.332321166992"/>
    <x v="19"/>
  </r>
  <r>
    <x v="9"/>
    <s v="School enrollment, primary (% gross)"/>
    <m/>
    <x v="19"/>
  </r>
  <r>
    <x v="10"/>
    <s v="School enrollment, primary (% gross)"/>
    <n v="46.455421447753899"/>
    <x v="19"/>
  </r>
  <r>
    <x v="11"/>
    <s v="School enrollment, primary (% gross)"/>
    <n v="122.89080047607401"/>
    <x v="19"/>
  </r>
  <r>
    <x v="12"/>
    <s v="School enrollment, primary (% gross)"/>
    <n v="59.675270080566399"/>
    <x v="19"/>
  </r>
  <r>
    <x v="13"/>
    <s v="School enrollment, primary (% gross)"/>
    <n v="28.177940368652301"/>
    <x v="19"/>
  </r>
  <r>
    <x v="14"/>
    <s v="School enrollment, primary (% gross)"/>
    <m/>
    <x v="19"/>
  </r>
  <r>
    <x v="15"/>
    <s v="School enrollment, primary (% gross)"/>
    <n v="110.095268249512"/>
    <x v="19"/>
  </r>
  <r>
    <x v="16"/>
    <s v="School enrollment, primary (% gross)"/>
    <n v="87.684791564941406"/>
    <x v="19"/>
  </r>
  <r>
    <x v="17"/>
    <s v="School enrollment, primary (% gross)"/>
    <n v="88.543472290039105"/>
    <x v="19"/>
  </r>
  <r>
    <x v="18"/>
    <s v="School enrollment, primary (% gross)"/>
    <n v="77.762451171875"/>
    <x v="19"/>
  </r>
  <r>
    <x v="19"/>
    <s v="School enrollment, primary (% gross)"/>
    <n v="19.7563991546631"/>
    <x v="19"/>
  </r>
  <r>
    <x v="20"/>
    <s v="School enrollment, primary (% gross)"/>
    <n v="66.4287109375"/>
    <x v="19"/>
  </r>
  <r>
    <x v="21"/>
    <s v="School enrollment, primary (% gross)"/>
    <m/>
    <x v="19"/>
  </r>
  <r>
    <x v="22"/>
    <s v="School enrollment, primary (% gross)"/>
    <n v="94.950126647949205"/>
    <x v="19"/>
  </r>
  <r>
    <x v="23"/>
    <s v="School enrollment, primary (% gross)"/>
    <m/>
    <x v="19"/>
  </r>
  <r>
    <x v="24"/>
    <s v="School enrollment, primary (% gross)"/>
    <n v="93.870246887207003"/>
    <x v="19"/>
  </r>
  <r>
    <x v="25"/>
    <s v="School enrollment, primary (% gross)"/>
    <n v="50.3974418640137"/>
    <x v="19"/>
  </r>
  <r>
    <x v="26"/>
    <s v="School enrollment, primary (% gross)"/>
    <n v="91.142860412597699"/>
    <x v="19"/>
  </r>
  <r>
    <x v="27"/>
    <s v="School enrollment, primary (% gross)"/>
    <n v="60.420539855957003"/>
    <x v="19"/>
  </r>
  <r>
    <x v="0"/>
    <s v="School enrollment, primary (% gross)"/>
    <n v="25.978530883789102"/>
    <x v="20"/>
  </r>
  <r>
    <x v="1"/>
    <s v="School enrollment, primary (% gross)"/>
    <n v="95.666366577148395"/>
    <x v="20"/>
  </r>
  <r>
    <x v="2"/>
    <s v="School enrollment, primary (% gross)"/>
    <m/>
    <x v="20"/>
  </r>
  <r>
    <x v="3"/>
    <s v="School enrollment, primary (% gross)"/>
    <m/>
    <x v="20"/>
  </r>
  <r>
    <x v="4"/>
    <s v="School enrollment, primary (% gross)"/>
    <n v="26.614120483398398"/>
    <x v="20"/>
  </r>
  <r>
    <x v="5"/>
    <s v="School enrollment, primary (% gross)"/>
    <n v="33.763401031494098"/>
    <x v="20"/>
  </r>
  <r>
    <x v="6"/>
    <s v="School enrollment, primary (% gross)"/>
    <n v="40.525440216064503"/>
    <x v="20"/>
  </r>
  <r>
    <x v="7"/>
    <s v="School enrollment, primary (% gross)"/>
    <n v="67.844131469726605"/>
    <x v="20"/>
  </r>
  <r>
    <x v="8"/>
    <s v="School enrollment, primary (% gross)"/>
    <n v="119.864608764648"/>
    <x v="20"/>
  </r>
  <r>
    <x v="9"/>
    <s v="School enrollment, primary (% gross)"/>
    <m/>
    <x v="20"/>
  </r>
  <r>
    <x v="10"/>
    <s v="School enrollment, primary (% gross)"/>
    <n v="49.053199768066399"/>
    <x v="20"/>
  </r>
  <r>
    <x v="11"/>
    <s v="School enrollment, primary (% gross)"/>
    <n v="130.89309692382801"/>
    <x v="20"/>
  </r>
  <r>
    <x v="12"/>
    <s v="School enrollment, primary (% gross)"/>
    <n v="63.36083984375"/>
    <x v="20"/>
  </r>
  <r>
    <x v="13"/>
    <s v="School enrollment, primary (% gross)"/>
    <n v="27.936439514160199"/>
    <x v="20"/>
  </r>
  <r>
    <x v="14"/>
    <s v="School enrollment, primary (% gross)"/>
    <m/>
    <x v="20"/>
  </r>
  <r>
    <x v="15"/>
    <s v="School enrollment, primary (% gross)"/>
    <m/>
    <x v="20"/>
  </r>
  <r>
    <x v="16"/>
    <s v="School enrollment, primary (% gross)"/>
    <n v="89.146026611328097"/>
    <x v="20"/>
  </r>
  <r>
    <x v="17"/>
    <s v="School enrollment, primary (% gross)"/>
    <n v="91.174392700195298"/>
    <x v="20"/>
  </r>
  <r>
    <x v="18"/>
    <s v="School enrollment, primary (% gross)"/>
    <n v="86.2158203125"/>
    <x v="20"/>
  </r>
  <r>
    <x v="19"/>
    <s v="School enrollment, primary (% gross)"/>
    <n v="21.515499114990199"/>
    <x v="20"/>
  </r>
  <r>
    <x v="20"/>
    <s v="School enrollment, primary (% gross)"/>
    <n v="69.555862426757798"/>
    <x v="20"/>
  </r>
  <r>
    <x v="21"/>
    <s v="School enrollment, primary (% gross)"/>
    <n v="159.35328674316401"/>
    <x v="20"/>
  </r>
  <r>
    <x v="22"/>
    <s v="School enrollment, primary (% gross)"/>
    <n v="99.025062561035199"/>
    <x v="20"/>
  </r>
  <r>
    <x v="23"/>
    <s v="School enrollment, primary (% gross)"/>
    <m/>
    <x v="20"/>
  </r>
  <r>
    <x v="24"/>
    <s v="School enrollment, primary (% gross)"/>
    <n v="95.398002624511705"/>
    <x v="20"/>
  </r>
  <r>
    <x v="25"/>
    <s v="School enrollment, primary (% gross)"/>
    <n v="52.240810394287102"/>
    <x v="20"/>
  </r>
  <r>
    <x v="26"/>
    <s v="School enrollment, primary (% gross)"/>
    <n v="91.848129272460895"/>
    <x v="20"/>
  </r>
  <r>
    <x v="27"/>
    <s v="School enrollment, primary (% gross)"/>
    <n v="86.403739929199205"/>
    <x v="20"/>
  </r>
  <r>
    <x v="0"/>
    <s v="School enrollment, primary (% gross)"/>
    <n v="28.4558506011963"/>
    <x v="21"/>
  </r>
  <r>
    <x v="1"/>
    <s v="School enrollment, primary (% gross)"/>
    <n v="98.156158447265597"/>
    <x v="21"/>
  </r>
  <r>
    <x v="2"/>
    <s v="School enrollment, primary (% gross)"/>
    <m/>
    <x v="21"/>
  </r>
  <r>
    <x v="3"/>
    <s v="School enrollment, primary (% gross)"/>
    <n v="117.65087890625"/>
    <x v="21"/>
  </r>
  <r>
    <x v="4"/>
    <s v="School enrollment, primary (% gross)"/>
    <n v="27.850629806518601"/>
    <x v="21"/>
  </r>
  <r>
    <x v="5"/>
    <s v="School enrollment, primary (% gross)"/>
    <n v="38.856410980224602"/>
    <x v="21"/>
  </r>
  <r>
    <x v="6"/>
    <s v="School enrollment, primary (% gross)"/>
    <n v="39.273200988769503"/>
    <x v="21"/>
  </r>
  <r>
    <x v="7"/>
    <s v="School enrollment, primary (% gross)"/>
    <n v="74.512687683105497"/>
    <x v="21"/>
  </r>
  <r>
    <x v="8"/>
    <s v="School enrollment, primary (% gross)"/>
    <n v="116.051719665527"/>
    <x v="21"/>
  </r>
  <r>
    <x v="9"/>
    <s v="School enrollment, primary (% gross)"/>
    <m/>
    <x v="21"/>
  </r>
  <r>
    <x v="10"/>
    <s v="School enrollment, primary (% gross)"/>
    <m/>
    <x v="21"/>
  </r>
  <r>
    <x v="11"/>
    <s v="School enrollment, primary (% gross)"/>
    <n v="137.29318237304699"/>
    <x v="21"/>
  </r>
  <r>
    <x v="12"/>
    <s v="School enrollment, primary (% gross)"/>
    <n v="63.7058715820313"/>
    <x v="21"/>
  </r>
  <r>
    <x v="13"/>
    <s v="School enrollment, primary (% gross)"/>
    <n v="26.636499404907202"/>
    <x v="21"/>
  </r>
  <r>
    <x v="14"/>
    <s v="School enrollment, primary (% gross)"/>
    <n v="82.667152404785199"/>
    <x v="21"/>
  </r>
  <r>
    <x v="15"/>
    <s v="School enrollment, primary (% gross)"/>
    <n v="100.611198425293"/>
    <x v="21"/>
  </r>
  <r>
    <x v="16"/>
    <s v="School enrollment, primary (% gross)"/>
    <n v="91.807479858398395"/>
    <x v="21"/>
  </r>
  <r>
    <x v="17"/>
    <s v="School enrollment, primary (% gross)"/>
    <n v="71.736923217773395"/>
    <x v="21"/>
  </r>
  <r>
    <x v="18"/>
    <s v="School enrollment, primary (% gross)"/>
    <m/>
    <x v="21"/>
  </r>
  <r>
    <x v="19"/>
    <s v="School enrollment, primary (% gross)"/>
    <n v="23.0036506652832"/>
    <x v="21"/>
  </r>
  <r>
    <x v="20"/>
    <s v="School enrollment, primary (% gross)"/>
    <n v="73.902328491210895"/>
    <x v="21"/>
  </r>
  <r>
    <x v="21"/>
    <s v="School enrollment, primary (% gross)"/>
    <n v="157.85618591308599"/>
    <x v="21"/>
  </r>
  <r>
    <x v="22"/>
    <s v="School enrollment, primary (% gross)"/>
    <n v="101.26393127441401"/>
    <x v="21"/>
  </r>
  <r>
    <x v="23"/>
    <s v="School enrollment, primary (% gross)"/>
    <m/>
    <x v="21"/>
  </r>
  <r>
    <x v="24"/>
    <s v="School enrollment, primary (% gross)"/>
    <n v="96.950248718261705"/>
    <x v="21"/>
  </r>
  <r>
    <x v="25"/>
    <s v="School enrollment, primary (% gross)"/>
    <n v="54.7929496765137"/>
    <x v="21"/>
  </r>
  <r>
    <x v="26"/>
    <s v="School enrollment, primary (% gross)"/>
    <n v="90.995437622070298"/>
    <x v="21"/>
  </r>
  <r>
    <x v="27"/>
    <s v="School enrollment, primary (% gross)"/>
    <n v="115.81024169921901"/>
    <x v="21"/>
  </r>
  <r>
    <x v="0"/>
    <s v="School enrollment, primary (% gross)"/>
    <n v="32.990550994872997"/>
    <x v="22"/>
  </r>
  <r>
    <x v="1"/>
    <s v="School enrollment, primary (% gross)"/>
    <n v="99.140937805175795"/>
    <x v="22"/>
  </r>
  <r>
    <x v="2"/>
    <s v="School enrollment, primary (% gross)"/>
    <m/>
    <x v="22"/>
  </r>
  <r>
    <x v="3"/>
    <s v="School enrollment, primary (% gross)"/>
    <m/>
    <x v="22"/>
  </r>
  <r>
    <x v="4"/>
    <s v="School enrollment, primary (% gross)"/>
    <n v="30.096839904785199"/>
    <x v="22"/>
  </r>
  <r>
    <x v="5"/>
    <s v="School enrollment, primary (% gross)"/>
    <n v="41.638359069824197"/>
    <x v="22"/>
  </r>
  <r>
    <x v="6"/>
    <s v="School enrollment, primary (% gross)"/>
    <n v="37.296249389648402"/>
    <x v="22"/>
  </r>
  <r>
    <x v="7"/>
    <s v="School enrollment, primary (% gross)"/>
    <n v="75.290908813476605"/>
    <x v="22"/>
  </r>
  <r>
    <x v="8"/>
    <s v="School enrollment, primary (% gross)"/>
    <n v="117.455192565918"/>
    <x v="22"/>
  </r>
  <r>
    <x v="9"/>
    <s v="School enrollment, primary (% gross)"/>
    <m/>
    <x v="22"/>
  </r>
  <r>
    <x v="10"/>
    <s v="School enrollment, primary (% gross)"/>
    <m/>
    <x v="22"/>
  </r>
  <r>
    <x v="11"/>
    <s v="School enrollment, primary (% gross)"/>
    <n v="133.42367553710901"/>
    <x v="22"/>
  </r>
  <r>
    <x v="12"/>
    <s v="School enrollment, primary (% gross)"/>
    <n v="67.449989318847699"/>
    <x v="22"/>
  </r>
  <r>
    <x v="13"/>
    <s v="School enrollment, primary (% gross)"/>
    <n v="25.950750350952099"/>
    <x v="22"/>
  </r>
  <r>
    <x v="14"/>
    <s v="School enrollment, primary (% gross)"/>
    <m/>
    <x v="22"/>
  </r>
  <r>
    <x v="15"/>
    <s v="School enrollment, primary (% gross)"/>
    <n v="90.324180603027301"/>
    <x v="22"/>
  </r>
  <r>
    <x v="16"/>
    <s v="School enrollment, primary (% gross)"/>
    <n v="95.661857604980497"/>
    <x v="22"/>
  </r>
  <r>
    <x v="17"/>
    <s v="School enrollment, primary (% gross)"/>
    <n v="74.100997924804702"/>
    <x v="22"/>
  </r>
  <r>
    <x v="18"/>
    <s v="School enrollment, primary (% gross)"/>
    <n v="86.920600891113295"/>
    <x v="22"/>
  </r>
  <r>
    <x v="19"/>
    <s v="School enrollment, primary (% gross)"/>
    <n v="23.236320495605501"/>
    <x v="22"/>
  </r>
  <r>
    <x v="20"/>
    <s v="School enrollment, primary (% gross)"/>
    <n v="74.781822204589801"/>
    <x v="22"/>
  </r>
  <r>
    <x v="21"/>
    <s v="School enrollment, primary (% gross)"/>
    <n v="155.25018310546901"/>
    <x v="22"/>
  </r>
  <r>
    <x v="22"/>
    <s v="School enrollment, primary (% gross)"/>
    <n v="100.93068695068401"/>
    <x v="22"/>
  </r>
  <r>
    <x v="23"/>
    <s v="School enrollment, primary (% gross)"/>
    <m/>
    <x v="22"/>
  </r>
  <r>
    <x v="24"/>
    <s v="School enrollment, primary (% gross)"/>
    <n v="93.023429870605497"/>
    <x v="22"/>
  </r>
  <r>
    <x v="25"/>
    <s v="School enrollment, primary (% gross)"/>
    <n v="61.043228149414098"/>
    <x v="22"/>
  </r>
  <r>
    <x v="26"/>
    <s v="School enrollment, primary (% gross)"/>
    <n v="91.443199157714801"/>
    <x v="22"/>
  </r>
  <r>
    <x v="27"/>
    <s v="School enrollment, primary (% gross)"/>
    <n v="123.92392730712901"/>
    <x v="22"/>
  </r>
  <r>
    <x v="0"/>
    <s v="School enrollment, primary (% gross)"/>
    <n v="40.551441192627003"/>
    <x v="23"/>
  </r>
  <r>
    <x v="1"/>
    <s v="School enrollment, primary (% gross)"/>
    <n v="101.704536437988"/>
    <x v="23"/>
  </r>
  <r>
    <x v="2"/>
    <s v="School enrollment, primary (% gross)"/>
    <m/>
    <x v="23"/>
  </r>
  <r>
    <x v="3"/>
    <s v="School enrollment, primary (% gross)"/>
    <n v="113.873657226563"/>
    <x v="23"/>
  </r>
  <r>
    <x v="4"/>
    <s v="School enrollment, primary (% gross)"/>
    <n v="31.516359329223601"/>
    <x v="23"/>
  </r>
  <r>
    <x v="5"/>
    <s v="School enrollment, primary (% gross)"/>
    <n v="42.2387504577637"/>
    <x v="23"/>
  </r>
  <r>
    <x v="6"/>
    <s v="School enrollment, primary (% gross)"/>
    <n v="35.907058715820298"/>
    <x v="23"/>
  </r>
  <r>
    <x v="7"/>
    <s v="School enrollment, primary (% gross)"/>
    <n v="81.044052124023395"/>
    <x v="23"/>
  </r>
  <r>
    <x v="8"/>
    <s v="School enrollment, primary (% gross)"/>
    <n v="116.49749755859401"/>
    <x v="23"/>
  </r>
  <r>
    <x v="9"/>
    <s v="School enrollment, primary (% gross)"/>
    <m/>
    <x v="23"/>
  </r>
  <r>
    <x v="10"/>
    <s v="School enrollment, primary (% gross)"/>
    <m/>
    <x v="23"/>
  </r>
  <r>
    <x v="11"/>
    <s v="School enrollment, primary (% gross)"/>
    <n v="126.832763671875"/>
    <x v="23"/>
  </r>
  <r>
    <x v="12"/>
    <s v="School enrollment, primary (% gross)"/>
    <n v="63.732841491699197"/>
    <x v="23"/>
  </r>
  <r>
    <x v="13"/>
    <s v="School enrollment, primary (% gross)"/>
    <n v="25.5748291015625"/>
    <x v="23"/>
  </r>
  <r>
    <x v="14"/>
    <s v="School enrollment, primary (% gross)"/>
    <m/>
    <x v="23"/>
  </r>
  <r>
    <x v="15"/>
    <s v="School enrollment, primary (% gross)"/>
    <n v="82.489967346191406"/>
    <x v="23"/>
  </r>
  <r>
    <x v="16"/>
    <s v="School enrollment, primary (% gross)"/>
    <n v="96.741691589355497"/>
    <x v="23"/>
  </r>
  <r>
    <x v="17"/>
    <s v="School enrollment, primary (% gross)"/>
    <n v="79.318931579589801"/>
    <x v="23"/>
  </r>
  <r>
    <x v="18"/>
    <s v="School enrollment, primary (% gross)"/>
    <n v="88.728553771972699"/>
    <x v="23"/>
  </r>
  <r>
    <x v="19"/>
    <s v="School enrollment, primary (% gross)"/>
    <n v="23.178960800170799"/>
    <x v="23"/>
  </r>
  <r>
    <x v="20"/>
    <s v="School enrollment, primary (% gross)"/>
    <n v="71.556289672851605"/>
    <x v="23"/>
  </r>
  <r>
    <x v="21"/>
    <s v="School enrollment, primary (% gross)"/>
    <n v="146.96969604492199"/>
    <x v="23"/>
  </r>
  <r>
    <x v="22"/>
    <s v="School enrollment, primary (% gross)"/>
    <n v="100.06430816650401"/>
    <x v="23"/>
  </r>
  <r>
    <x v="23"/>
    <s v="School enrollment, primary (% gross)"/>
    <m/>
    <x v="23"/>
  </r>
  <r>
    <x v="24"/>
    <s v="School enrollment, primary (% gross)"/>
    <n v="91.149177551269503"/>
    <x v="23"/>
  </r>
  <r>
    <x v="25"/>
    <s v="School enrollment, primary (% gross)"/>
    <n v="63.287551879882798"/>
    <x v="23"/>
  </r>
  <r>
    <x v="26"/>
    <s v="School enrollment, primary (% gross)"/>
    <n v="93.822898864745994"/>
    <x v="23"/>
  </r>
  <r>
    <x v="27"/>
    <s v="School enrollment, primary (% gross)"/>
    <n v="127.760116577148"/>
    <x v="23"/>
  </r>
  <r>
    <x v="0"/>
    <s v="School enrollment, primary (% gross)"/>
    <n v="45.846431732177699"/>
    <x v="24"/>
  </r>
  <r>
    <x v="1"/>
    <s v="School enrollment, primary (% gross)"/>
    <n v="99.949508666992202"/>
    <x v="24"/>
  </r>
  <r>
    <x v="2"/>
    <s v="School enrollment, primary (% gross)"/>
    <m/>
    <x v="24"/>
  </r>
  <r>
    <x v="3"/>
    <s v="School enrollment, primary (% gross)"/>
    <n v="111.297889709473"/>
    <x v="24"/>
  </r>
  <r>
    <x v="4"/>
    <s v="School enrollment, primary (% gross)"/>
    <n v="32.549171447753899"/>
    <x v="24"/>
  </r>
  <r>
    <x v="5"/>
    <s v="School enrollment, primary (% gross)"/>
    <n v="40.314029693603501"/>
    <x v="24"/>
  </r>
  <r>
    <x v="6"/>
    <s v="School enrollment, primary (% gross)"/>
    <n v="34.509689331054702"/>
    <x v="24"/>
  </r>
  <r>
    <x v="7"/>
    <s v="School enrollment, primary (% gross)"/>
    <n v="85.480812072753906"/>
    <x v="24"/>
  </r>
  <r>
    <x v="8"/>
    <s v="School enrollment, primary (% gross)"/>
    <n v="111.760040283203"/>
    <x v="24"/>
  </r>
  <r>
    <x v="9"/>
    <s v="School enrollment, primary (% gross)"/>
    <m/>
    <x v="24"/>
  </r>
  <r>
    <x v="10"/>
    <s v="School enrollment, primary (% gross)"/>
    <n v="39.473579406738303"/>
    <x v="24"/>
  </r>
  <r>
    <x v="11"/>
    <s v="School enrollment, primary (% gross)"/>
    <n v="119.143760681152"/>
    <x v="24"/>
  </r>
  <r>
    <x v="12"/>
    <s v="School enrollment, primary (% gross)"/>
    <n v="58.967739105224602"/>
    <x v="24"/>
  </r>
  <r>
    <x v="13"/>
    <s v="School enrollment, primary (% gross)"/>
    <n v="24.5282306671143"/>
    <x v="24"/>
  </r>
  <r>
    <x v="14"/>
    <s v="School enrollment, primary (% gross)"/>
    <m/>
    <x v="24"/>
  </r>
  <r>
    <x v="15"/>
    <s v="School enrollment, primary (% gross)"/>
    <n v="86.248626708984403"/>
    <x v="24"/>
  </r>
  <r>
    <x v="16"/>
    <s v="School enrollment, primary (% gross)"/>
    <n v="97.238189697265597"/>
    <x v="24"/>
  </r>
  <r>
    <x v="17"/>
    <s v="School enrollment, primary (% gross)"/>
    <n v="82.725051879882798"/>
    <x v="24"/>
  </r>
  <r>
    <x v="18"/>
    <s v="School enrollment, primary (% gross)"/>
    <n v="85.746307373046903"/>
    <x v="24"/>
  </r>
  <r>
    <x v="19"/>
    <s v="School enrollment, primary (% gross)"/>
    <n v="23.229610443115199"/>
    <x v="24"/>
  </r>
  <r>
    <x v="20"/>
    <s v="School enrollment, primary (% gross)"/>
    <n v="69.911819458007798"/>
    <x v="24"/>
  </r>
  <r>
    <x v="21"/>
    <s v="School enrollment, primary (% gross)"/>
    <n v="136.6328125"/>
    <x v="24"/>
  </r>
  <r>
    <x v="22"/>
    <s v="School enrollment, primary (% gross)"/>
    <n v="99.804023742675795"/>
    <x v="24"/>
  </r>
  <r>
    <x v="23"/>
    <s v="School enrollment, primary (% gross)"/>
    <m/>
    <x v="24"/>
  </r>
  <r>
    <x v="24"/>
    <s v="School enrollment, primary (% gross)"/>
    <n v="86.518310546875"/>
    <x v="24"/>
  </r>
  <r>
    <x v="25"/>
    <s v="School enrollment, primary (% gross)"/>
    <n v="68.394142150878906"/>
    <x v="24"/>
  </r>
  <r>
    <x v="26"/>
    <s v="School enrollment, primary (% gross)"/>
    <n v="96.034339904785199"/>
    <x v="24"/>
  </r>
  <r>
    <x v="27"/>
    <s v="School enrollment, primary (% gross)"/>
    <n v="127.95802307128901"/>
    <x v="24"/>
  </r>
  <r>
    <x v="0"/>
    <s v="School enrollment, primary (% gross)"/>
    <n v="50.367668151855497"/>
    <x v="25"/>
  </r>
  <r>
    <x v="1"/>
    <s v="School enrollment, primary (% gross)"/>
    <n v="100.92649841308599"/>
    <x v="25"/>
  </r>
  <r>
    <x v="2"/>
    <s v="School enrollment, primary (% gross)"/>
    <n v="34.525070190429702"/>
    <x v="25"/>
  </r>
  <r>
    <x v="3"/>
    <s v="School enrollment, primary (% gross)"/>
    <n v="108.628898620605"/>
    <x v="25"/>
  </r>
  <r>
    <x v="4"/>
    <s v="School enrollment, primary (% gross)"/>
    <n v="32.102859497070298"/>
    <x v="25"/>
  </r>
  <r>
    <x v="5"/>
    <s v="School enrollment, primary (% gross)"/>
    <n v="37.430000305175803"/>
    <x v="25"/>
  </r>
  <r>
    <x v="6"/>
    <s v="School enrollment, primary (% gross)"/>
    <n v="39.007820129394503"/>
    <x v="25"/>
  </r>
  <r>
    <x v="7"/>
    <s v="School enrollment, primary (% gross)"/>
    <n v="86.683067321777301"/>
    <x v="25"/>
  </r>
  <r>
    <x v="8"/>
    <s v="School enrollment, primary (% gross)"/>
    <n v="106.590087890625"/>
    <x v="25"/>
  </r>
  <r>
    <x v="9"/>
    <s v="School enrollment, primary (% gross)"/>
    <m/>
    <x v="25"/>
  </r>
  <r>
    <x v="10"/>
    <s v="School enrollment, primary (% gross)"/>
    <m/>
    <x v="25"/>
  </r>
  <r>
    <x v="11"/>
    <s v="School enrollment, primary (% gross)"/>
    <n v="113.802200317383"/>
    <x v="25"/>
  </r>
  <r>
    <x v="12"/>
    <s v="School enrollment, primary (% gross)"/>
    <n v="60.5111083984375"/>
    <x v="25"/>
  </r>
  <r>
    <x v="13"/>
    <s v="School enrollment, primary (% gross)"/>
    <n v="23.969129562377901"/>
    <x v="25"/>
  </r>
  <r>
    <x v="14"/>
    <s v="School enrollment, primary (% gross)"/>
    <m/>
    <x v="25"/>
  </r>
  <r>
    <x v="15"/>
    <s v="School enrollment, primary (% gross)"/>
    <n v="86.274459838867202"/>
    <x v="25"/>
  </r>
  <r>
    <x v="16"/>
    <s v="School enrollment, primary (% gross)"/>
    <n v="95.300117492675795"/>
    <x v="25"/>
  </r>
  <r>
    <x v="17"/>
    <s v="School enrollment, primary (% gross)"/>
    <n v="83.369400024414105"/>
    <x v="25"/>
  </r>
  <r>
    <x v="18"/>
    <s v="School enrollment, primary (% gross)"/>
    <n v="87.695762634277301"/>
    <x v="25"/>
  </r>
  <r>
    <x v="19"/>
    <s v="School enrollment, primary (% gross)"/>
    <n v="22.670059204101602"/>
    <x v="25"/>
  </r>
  <r>
    <x v="20"/>
    <s v="School enrollment, primary (% gross)"/>
    <n v="68.978752136230497"/>
    <x v="25"/>
  </r>
  <r>
    <x v="21"/>
    <s v="School enrollment, primary (% gross)"/>
    <n v="128.45338439941401"/>
    <x v="25"/>
  </r>
  <r>
    <x v="22"/>
    <s v="School enrollment, primary (% gross)"/>
    <n v="100.612197875977"/>
    <x v="25"/>
  </r>
  <r>
    <x v="23"/>
    <s v="School enrollment, primary (% gross)"/>
    <m/>
    <x v="25"/>
  </r>
  <r>
    <x v="24"/>
    <s v="School enrollment, primary (% gross)"/>
    <n v="76.142761230468807"/>
    <x v="25"/>
  </r>
  <r>
    <x v="25"/>
    <s v="School enrollment, primary (% gross)"/>
    <n v="72.735137939453097"/>
    <x v="25"/>
  </r>
  <r>
    <x v="26"/>
    <s v="School enrollment, primary (% gross)"/>
    <n v="99.0953369140625"/>
    <x v="25"/>
  </r>
  <r>
    <x v="27"/>
    <s v="School enrollment, primary (% gross)"/>
    <n v="127.965530395508"/>
    <x v="25"/>
  </r>
  <r>
    <x v="0"/>
    <s v="School enrollment, primary (% gross)"/>
    <n v="54.3796195983887"/>
    <x v="26"/>
  </r>
  <r>
    <x v="1"/>
    <s v="School enrollment, primary (% gross)"/>
    <n v="101.917121887207"/>
    <x v="26"/>
  </r>
  <r>
    <x v="2"/>
    <s v="School enrollment, primary (% gross)"/>
    <n v="39.272739410400398"/>
    <x v="26"/>
  </r>
  <r>
    <x v="3"/>
    <s v="School enrollment, primary (% gross)"/>
    <n v="111.85133361816401"/>
    <x v="26"/>
  </r>
  <r>
    <x v="4"/>
    <s v="School enrollment, primary (% gross)"/>
    <n v="34.000888824462898"/>
    <x v="26"/>
  </r>
  <r>
    <x v="5"/>
    <s v="School enrollment, primary (% gross)"/>
    <n v="36.8820610046387"/>
    <x v="26"/>
  </r>
  <r>
    <x v="6"/>
    <s v="School enrollment, primary (% gross)"/>
    <n v="36.302341461181598"/>
    <x v="26"/>
  </r>
  <r>
    <x v="7"/>
    <s v="School enrollment, primary (% gross)"/>
    <n v="89.138313293457003"/>
    <x v="26"/>
  </r>
  <r>
    <x v="8"/>
    <s v="School enrollment, primary (% gross)"/>
    <n v="106.03240203857401"/>
    <x v="26"/>
  </r>
  <r>
    <x v="9"/>
    <s v="School enrollment, primary (% gross)"/>
    <m/>
    <x v="26"/>
  </r>
  <r>
    <x v="10"/>
    <s v="School enrollment, primary (% gross)"/>
    <m/>
    <x v="26"/>
  </r>
  <r>
    <x v="11"/>
    <s v="School enrollment, primary (% gross)"/>
    <m/>
    <x v="26"/>
  </r>
  <r>
    <x v="12"/>
    <s v="School enrollment, primary (% gross)"/>
    <n v="60.195751190185497"/>
    <x v="26"/>
  </r>
  <r>
    <x v="13"/>
    <s v="School enrollment, primary (% gross)"/>
    <n v="23.366460800170799"/>
    <x v="26"/>
  </r>
  <r>
    <x v="14"/>
    <s v="School enrollment, primary (% gross)"/>
    <n v="84.414299011230497"/>
    <x v="26"/>
  </r>
  <r>
    <x v="15"/>
    <s v="School enrollment, primary (% gross)"/>
    <n v="85.473968505859403"/>
    <x v="26"/>
  </r>
  <r>
    <x v="16"/>
    <s v="School enrollment, primary (% gross)"/>
    <n v="95.988327026367202"/>
    <x v="26"/>
  </r>
  <r>
    <x v="17"/>
    <s v="School enrollment, primary (% gross)"/>
    <n v="83.335189819335895"/>
    <x v="26"/>
  </r>
  <r>
    <x v="18"/>
    <s v="School enrollment, primary (% gross)"/>
    <n v="84.924453735351605"/>
    <x v="26"/>
  </r>
  <r>
    <x v="19"/>
    <s v="School enrollment, primary (% gross)"/>
    <n v="24.2181396484375"/>
    <x v="26"/>
  </r>
  <r>
    <x v="20"/>
    <s v="School enrollment, primary (% gross)"/>
    <n v="69.545501708984403"/>
    <x v="26"/>
  </r>
  <r>
    <x v="21"/>
    <s v="School enrollment, primary (% gross)"/>
    <m/>
    <x v="26"/>
  </r>
  <r>
    <x v="22"/>
    <s v="School enrollment, primary (% gross)"/>
    <n v="102.03246307373"/>
    <x v="26"/>
  </r>
  <r>
    <x v="23"/>
    <s v="School enrollment, primary (% gross)"/>
    <m/>
    <x v="26"/>
  </r>
  <r>
    <x v="24"/>
    <s v="School enrollment, primary (% gross)"/>
    <n v="73.509201049804702"/>
    <x v="26"/>
  </r>
  <r>
    <x v="25"/>
    <s v="School enrollment, primary (% gross)"/>
    <n v="72.941650390625"/>
    <x v="26"/>
  </r>
  <r>
    <x v="26"/>
    <s v="School enrollment, primary (% gross)"/>
    <n v="97.876029968261705"/>
    <x v="26"/>
  </r>
  <r>
    <x v="27"/>
    <s v="School enrollment, primary (% gross)"/>
    <n v="125.616180419922"/>
    <x v="26"/>
  </r>
  <r>
    <x v="0"/>
    <s v="School enrollment, primary (% gross)"/>
    <n v="60.699371337890597"/>
    <x v="27"/>
  </r>
  <r>
    <x v="1"/>
    <s v="School enrollment, primary (% gross)"/>
    <n v="103.431838989258"/>
    <x v="27"/>
  </r>
  <r>
    <x v="2"/>
    <s v="School enrollment, primary (% gross)"/>
    <n v="38.267051696777301"/>
    <x v="27"/>
  </r>
  <r>
    <x v="3"/>
    <s v="School enrollment, primary (% gross)"/>
    <n v="102.14089202880901"/>
    <x v="27"/>
  </r>
  <r>
    <x v="4"/>
    <s v="School enrollment, primary (% gross)"/>
    <n v="33.987979888916001"/>
    <x v="27"/>
  </r>
  <r>
    <x v="5"/>
    <s v="School enrollment, primary (% gross)"/>
    <n v="39.960018157958999"/>
    <x v="27"/>
  </r>
  <r>
    <x v="6"/>
    <s v="School enrollment, primary (% gross)"/>
    <n v="34.237579345703097"/>
    <x v="27"/>
  </r>
  <r>
    <x v="7"/>
    <s v="School enrollment, primary (% gross)"/>
    <n v="75.276420593261705"/>
    <x v="27"/>
  </r>
  <r>
    <x v="8"/>
    <s v="School enrollment, primary (% gross)"/>
    <n v="105.324661254883"/>
    <x v="27"/>
  </r>
  <r>
    <x v="9"/>
    <s v="School enrollment, primary (% gross)"/>
    <m/>
    <x v="27"/>
  </r>
  <r>
    <x v="10"/>
    <s v="School enrollment, primary (% gross)"/>
    <m/>
    <x v="27"/>
  </r>
  <r>
    <x v="11"/>
    <s v="School enrollment, primary (% gross)"/>
    <m/>
    <x v="27"/>
  </r>
  <r>
    <x v="12"/>
    <s v="School enrollment, primary (% gross)"/>
    <n v="61.689739227294901"/>
    <x v="27"/>
  </r>
  <r>
    <x v="13"/>
    <s v="School enrollment, primary (% gross)"/>
    <n v="23.324119567871101"/>
    <x v="27"/>
  </r>
  <r>
    <x v="14"/>
    <s v="School enrollment, primary (% gross)"/>
    <m/>
    <x v="27"/>
  </r>
  <r>
    <x v="15"/>
    <s v="School enrollment, primary (% gross)"/>
    <n v="69.745826721191406"/>
    <x v="27"/>
  </r>
  <r>
    <x v="16"/>
    <s v="School enrollment, primary (% gross)"/>
    <n v="100.47722625732401"/>
    <x v="27"/>
  </r>
  <r>
    <x v="17"/>
    <s v="School enrollment, primary (% gross)"/>
    <n v="85.0848388671875"/>
    <x v="27"/>
  </r>
  <r>
    <x v="18"/>
    <s v="School enrollment, primary (% gross)"/>
    <n v="86.927093505859403"/>
    <x v="27"/>
  </r>
  <r>
    <x v="19"/>
    <s v="School enrollment, primary (% gross)"/>
    <n v="25.0896091461182"/>
    <x v="27"/>
  </r>
  <r>
    <x v="20"/>
    <s v="School enrollment, primary (% gross)"/>
    <n v="71.357933044433494"/>
    <x v="27"/>
  </r>
  <r>
    <x v="21"/>
    <s v="School enrollment, primary (% gross)"/>
    <n v="120.74105834960901"/>
    <x v="27"/>
  </r>
  <r>
    <x v="22"/>
    <s v="School enrollment, primary (% gross)"/>
    <n v="106.38893890380901"/>
    <x v="27"/>
  </r>
  <r>
    <x v="23"/>
    <s v="School enrollment, primary (% gross)"/>
    <m/>
    <x v="27"/>
  </r>
  <r>
    <x v="24"/>
    <s v="School enrollment, primary (% gross)"/>
    <n v="71.250030517578097"/>
    <x v="27"/>
  </r>
  <r>
    <x v="25"/>
    <s v="School enrollment, primary (% gross)"/>
    <n v="73.5048828125"/>
    <x v="27"/>
  </r>
  <r>
    <x v="26"/>
    <s v="School enrollment, primary (% gross)"/>
    <n v="95.752662658691406"/>
    <x v="27"/>
  </r>
  <r>
    <x v="27"/>
    <s v="School enrollment, primary (% gross)"/>
    <n v="115.720138549805"/>
    <x v="27"/>
  </r>
  <r>
    <x v="0"/>
    <s v="School enrollment, primary (% gross)"/>
    <n v="68.080169677734403"/>
    <x v="28"/>
  </r>
  <r>
    <x v="1"/>
    <s v="School enrollment, primary (% gross)"/>
    <n v="103.96501159668"/>
    <x v="28"/>
  </r>
  <r>
    <x v="2"/>
    <s v="School enrollment, primary (% gross)"/>
    <n v="45.356288909912102"/>
    <x v="28"/>
  </r>
  <r>
    <x v="3"/>
    <s v="School enrollment, primary (% gross)"/>
    <n v="102.14266967773401"/>
    <x v="28"/>
  </r>
  <r>
    <x v="4"/>
    <s v="School enrollment, primary (% gross)"/>
    <n v="33.713199615478501"/>
    <x v="28"/>
  </r>
  <r>
    <x v="5"/>
    <s v="School enrollment, primary (% gross)"/>
    <n v="40.778850555419901"/>
    <x v="28"/>
  </r>
  <r>
    <x v="6"/>
    <s v="School enrollment, primary (% gross)"/>
    <n v="35.262359619140597"/>
    <x v="28"/>
  </r>
  <r>
    <x v="7"/>
    <s v="School enrollment, primary (% gross)"/>
    <m/>
    <x v="28"/>
  </r>
  <r>
    <x v="8"/>
    <s v="School enrollment, primary (% gross)"/>
    <n v="103.346473693848"/>
    <x v="28"/>
  </r>
  <r>
    <x v="9"/>
    <s v="School enrollment, primary (% gross)"/>
    <m/>
    <x v="28"/>
  </r>
  <r>
    <x v="10"/>
    <s v="School enrollment, primary (% gross)"/>
    <m/>
    <x v="28"/>
  </r>
  <r>
    <x v="11"/>
    <s v="School enrollment, primary (% gross)"/>
    <n v="95.6734619140625"/>
    <x v="28"/>
  </r>
  <r>
    <x v="12"/>
    <s v="School enrollment, primary (% gross)"/>
    <n v="61.151229858398402"/>
    <x v="28"/>
  </r>
  <r>
    <x v="13"/>
    <s v="School enrollment, primary (% gross)"/>
    <n v="23.395790100097699"/>
    <x v="28"/>
  </r>
  <r>
    <x v="14"/>
    <s v="School enrollment, primary (% gross)"/>
    <m/>
    <x v="28"/>
  </r>
  <r>
    <x v="15"/>
    <s v="School enrollment, primary (% gross)"/>
    <n v="63.894939422607401"/>
    <x v="28"/>
  </r>
  <r>
    <x v="16"/>
    <s v="School enrollment, primary (% gross)"/>
    <n v="99.513031005859403"/>
    <x v="28"/>
  </r>
  <r>
    <x v="17"/>
    <s v="School enrollment, primary (% gross)"/>
    <n v="89.313529968261705"/>
    <x v="28"/>
  </r>
  <r>
    <x v="18"/>
    <s v="School enrollment, primary (% gross)"/>
    <n v="87.144149780273395"/>
    <x v="28"/>
  </r>
  <r>
    <x v="19"/>
    <s v="School enrollment, primary (% gross)"/>
    <n v="24.785509109497099"/>
    <x v="28"/>
  </r>
  <r>
    <x v="20"/>
    <s v="School enrollment, primary (% gross)"/>
    <n v="72.542167663574205"/>
    <x v="28"/>
  </r>
  <r>
    <x v="21"/>
    <s v="School enrollment, primary (% gross)"/>
    <n v="124.43267822265599"/>
    <x v="28"/>
  </r>
  <r>
    <x v="22"/>
    <s v="School enrollment, primary (% gross)"/>
    <n v="108.2216796875"/>
    <x v="28"/>
  </r>
  <r>
    <x v="23"/>
    <s v="School enrollment, primary (% gross)"/>
    <m/>
    <x v="28"/>
  </r>
  <r>
    <x v="24"/>
    <s v="School enrollment, primary (% gross)"/>
    <n v="69.186820983886705"/>
    <x v="28"/>
  </r>
  <r>
    <x v="25"/>
    <s v="School enrollment, primary (% gross)"/>
    <n v="74.009048461914105"/>
    <x v="28"/>
  </r>
  <r>
    <x v="26"/>
    <s v="School enrollment, primary (% gross)"/>
    <n v="95.299430847167997"/>
    <x v="28"/>
  </r>
  <r>
    <x v="27"/>
    <s v="School enrollment, primary (% gross)"/>
    <n v="109.815460205078"/>
    <x v="28"/>
  </r>
  <r>
    <x v="0"/>
    <s v="School enrollment, primary (% gross)"/>
    <n v="69.330116271972699"/>
    <x v="29"/>
  </r>
  <r>
    <x v="1"/>
    <s v="School enrollment, primary (% gross)"/>
    <n v="100.36061859130901"/>
    <x v="29"/>
  </r>
  <r>
    <x v="2"/>
    <s v="School enrollment, primary (% gross)"/>
    <n v="44.291690826416001"/>
    <x v="29"/>
  </r>
  <r>
    <x v="3"/>
    <s v="School enrollment, primary (% gross)"/>
    <n v="100.69532775878901"/>
    <x v="29"/>
  </r>
  <r>
    <x v="4"/>
    <s v="School enrollment, primary (% gross)"/>
    <n v="32.936248779296903"/>
    <x v="29"/>
  </r>
  <r>
    <x v="5"/>
    <s v="School enrollment, primary (% gross)"/>
    <n v="39.046009063720703"/>
    <x v="29"/>
  </r>
  <r>
    <x v="6"/>
    <s v="School enrollment, primary (% gross)"/>
    <n v="35.490928649902301"/>
    <x v="29"/>
  </r>
  <r>
    <x v="7"/>
    <s v="School enrollment, primary (% gross)"/>
    <m/>
    <x v="29"/>
  </r>
  <r>
    <x v="8"/>
    <s v="School enrollment, primary (% gross)"/>
    <n v="103.941482543945"/>
    <x v="29"/>
  </r>
  <r>
    <x v="9"/>
    <s v="School enrollment, primary (% gross)"/>
    <m/>
    <x v="29"/>
  </r>
  <r>
    <x v="10"/>
    <s v="School enrollment, primary (% gross)"/>
    <m/>
    <x v="29"/>
  </r>
  <r>
    <x v="11"/>
    <s v="School enrollment, primary (% gross)"/>
    <n v="96.246536254882798"/>
    <x v="29"/>
  </r>
  <r>
    <x v="12"/>
    <s v="School enrollment, primary (% gross)"/>
    <n v="67.540901184082003"/>
    <x v="29"/>
  </r>
  <r>
    <x v="13"/>
    <s v="School enrollment, primary (% gross)"/>
    <n v="27.0549507141113"/>
    <x v="29"/>
  </r>
  <r>
    <x v="14"/>
    <s v="School enrollment, primary (% gross)"/>
    <n v="88.0443115234375"/>
    <x v="29"/>
  </r>
  <r>
    <x v="15"/>
    <s v="School enrollment, primary (% gross)"/>
    <n v="63.2771186828613"/>
    <x v="29"/>
  </r>
  <r>
    <x v="16"/>
    <s v="School enrollment, primary (% gross)"/>
    <n v="100.943168640137"/>
    <x v="29"/>
  </r>
  <r>
    <x v="17"/>
    <s v="School enrollment, primary (% gross)"/>
    <n v="104.11224365234401"/>
    <x v="29"/>
  </r>
  <r>
    <x v="18"/>
    <s v="School enrollment, primary (% gross)"/>
    <n v="84.362747192382798"/>
    <x v="29"/>
  </r>
  <r>
    <x v="19"/>
    <s v="School enrollment, primary (% gross)"/>
    <n v="25.652469635009801"/>
    <x v="29"/>
  </r>
  <r>
    <x v="20"/>
    <s v="School enrollment, primary (% gross)"/>
    <n v="73.428482055664105"/>
    <x v="29"/>
  </r>
  <r>
    <x v="21"/>
    <s v="School enrollment, primary (% gross)"/>
    <m/>
    <x v="29"/>
  </r>
  <r>
    <x v="22"/>
    <s v="School enrollment, primary (% gross)"/>
    <n v="109.688339233398"/>
    <x v="29"/>
  </r>
  <r>
    <x v="23"/>
    <s v="School enrollment, primary (% gross)"/>
    <m/>
    <x v="29"/>
  </r>
  <r>
    <x v="24"/>
    <s v="School enrollment, primary (% gross)"/>
    <n v="69.091072082519503"/>
    <x v="29"/>
  </r>
  <r>
    <x v="25"/>
    <s v="School enrollment, primary (% gross)"/>
    <n v="69.829040527343807"/>
    <x v="29"/>
  </r>
  <r>
    <x v="26"/>
    <s v="School enrollment, primary (% gross)"/>
    <n v="94.124557495117202"/>
    <x v="29"/>
  </r>
  <r>
    <x v="27"/>
    <s v="School enrollment, primary (% gross)"/>
    <n v="107.62328338623"/>
    <x v="29"/>
  </r>
  <r>
    <x v="0"/>
    <s v="School enrollment, primary (% gross)"/>
    <n v="69.845901489257798"/>
    <x v="30"/>
  </r>
  <r>
    <x v="1"/>
    <s v="School enrollment, primary (% gross)"/>
    <n v="99.948753356933494"/>
    <x v="30"/>
  </r>
  <r>
    <x v="2"/>
    <s v="School enrollment, primary (% gross)"/>
    <n v="49.554519653320298"/>
    <x v="30"/>
  </r>
  <r>
    <x v="3"/>
    <s v="School enrollment, primary (% gross)"/>
    <n v="99.053642272949205"/>
    <x v="30"/>
  </r>
  <r>
    <x v="4"/>
    <s v="School enrollment, primary (% gross)"/>
    <n v="33.297958374023402"/>
    <x v="30"/>
  </r>
  <r>
    <x v="5"/>
    <s v="School enrollment, primary (% gross)"/>
    <n v="35.164440155029197"/>
    <x v="30"/>
  </r>
  <r>
    <x v="6"/>
    <s v="School enrollment, primary (% gross)"/>
    <n v="34.774730682372997"/>
    <x v="30"/>
  </r>
  <r>
    <x v="7"/>
    <s v="School enrollment, primary (% gross)"/>
    <m/>
    <x v="30"/>
  </r>
  <r>
    <x v="8"/>
    <s v="School enrollment, primary (% gross)"/>
    <n v="100.52353668212901"/>
    <x v="30"/>
  </r>
  <r>
    <x v="9"/>
    <s v="School enrollment, primary (% gross)"/>
    <m/>
    <x v="30"/>
  </r>
  <r>
    <x v="10"/>
    <s v="School enrollment, primary (% gross)"/>
    <m/>
    <x v="30"/>
  </r>
  <r>
    <x v="11"/>
    <s v="School enrollment, primary (% gross)"/>
    <n v="92.841087341308494"/>
    <x v="30"/>
  </r>
  <r>
    <x v="12"/>
    <s v="School enrollment, primary (% gross)"/>
    <n v="73.222602844238295"/>
    <x v="30"/>
  </r>
  <r>
    <x v="13"/>
    <s v="School enrollment, primary (% gross)"/>
    <n v="27.254299163818398"/>
    <x v="30"/>
  </r>
  <r>
    <x v="14"/>
    <s v="School enrollment, primary (% gross)"/>
    <n v="90.014862060546903"/>
    <x v="30"/>
  </r>
  <r>
    <x v="15"/>
    <s v="School enrollment, primary (% gross)"/>
    <n v="64.475791931152301"/>
    <x v="30"/>
  </r>
  <r>
    <x v="16"/>
    <s v="School enrollment, primary (% gross)"/>
    <n v="92.905006408691406"/>
    <x v="30"/>
  </r>
  <r>
    <x v="17"/>
    <s v="School enrollment, primary (% gross)"/>
    <n v="111.98500823974599"/>
    <x v="30"/>
  </r>
  <r>
    <x v="18"/>
    <s v="School enrollment, primary (% gross)"/>
    <n v="87.443511962890597"/>
    <x v="30"/>
  </r>
  <r>
    <x v="19"/>
    <s v="School enrollment, primary (% gross)"/>
    <n v="26.1587104797363"/>
    <x v="30"/>
  </r>
  <r>
    <x v="20"/>
    <s v="School enrollment, primary (% gross)"/>
    <n v="73.066299438476605"/>
    <x v="30"/>
  </r>
  <r>
    <x v="21"/>
    <s v="School enrollment, primary (% gross)"/>
    <n v="138.58630371093801"/>
    <x v="30"/>
  </r>
  <r>
    <x v="22"/>
    <s v="School enrollment, primary (% gross)"/>
    <n v="109.87660980224599"/>
    <x v="30"/>
  </r>
  <r>
    <x v="23"/>
    <s v="School enrollment, primary (% gross)"/>
    <m/>
    <x v="30"/>
  </r>
  <r>
    <x v="24"/>
    <s v="School enrollment, primary (% gross)"/>
    <n v="69.579986572265597"/>
    <x v="30"/>
  </r>
  <r>
    <x v="25"/>
    <s v="School enrollment, primary (% gross)"/>
    <n v="70.444206237792997"/>
    <x v="30"/>
  </r>
  <r>
    <x v="26"/>
    <s v="School enrollment, primary (% gross)"/>
    <n v="92.854873657226605"/>
    <x v="30"/>
  </r>
  <r>
    <x v="27"/>
    <s v="School enrollment, primary (% gross)"/>
    <n v="99.579078674316406"/>
    <x v="30"/>
  </r>
  <r>
    <x v="0"/>
    <s v="School enrollment, primary (% gross)"/>
    <n v="71.696052551269503"/>
    <x v="31"/>
  </r>
  <r>
    <x v="1"/>
    <s v="School enrollment, primary (% gross)"/>
    <n v="97.377586364745994"/>
    <x v="31"/>
  </r>
  <r>
    <x v="2"/>
    <s v="School enrollment, primary (% gross)"/>
    <n v="51.221218109130902"/>
    <x v="31"/>
  </r>
  <r>
    <x v="3"/>
    <s v="School enrollment, primary (% gross)"/>
    <n v="102.46511077880901"/>
    <x v="31"/>
  </r>
  <r>
    <x v="4"/>
    <s v="School enrollment, primary (% gross)"/>
    <n v="32.833160400390597"/>
    <x v="31"/>
  </r>
  <r>
    <x v="5"/>
    <s v="School enrollment, primary (% gross)"/>
    <n v="31.462600708007798"/>
    <x v="31"/>
  </r>
  <r>
    <x v="6"/>
    <s v="School enrollment, primary (% gross)"/>
    <n v="37.132640838622997"/>
    <x v="31"/>
  </r>
  <r>
    <x v="7"/>
    <s v="School enrollment, primary (% gross)"/>
    <m/>
    <x v="31"/>
  </r>
  <r>
    <x v="8"/>
    <s v="School enrollment, primary (% gross)"/>
    <n v="98.373390197753906"/>
    <x v="31"/>
  </r>
  <r>
    <x v="9"/>
    <s v="School enrollment, primary (% gross)"/>
    <m/>
    <x v="31"/>
  </r>
  <r>
    <x v="10"/>
    <s v="School enrollment, primary (% gross)"/>
    <m/>
    <x v="31"/>
  </r>
  <r>
    <x v="11"/>
    <s v="School enrollment, primary (% gross)"/>
    <n v="94.553108215332003"/>
    <x v="31"/>
  </r>
  <r>
    <x v="12"/>
    <s v="School enrollment, primary (% gross)"/>
    <n v="76.232223510742202"/>
    <x v="31"/>
  </r>
  <r>
    <x v="13"/>
    <s v="School enrollment, primary (% gross)"/>
    <n v="27.904209136962901"/>
    <x v="31"/>
  </r>
  <r>
    <x v="14"/>
    <s v="School enrollment, primary (% gross)"/>
    <n v="93.072036743164105"/>
    <x v="31"/>
  </r>
  <r>
    <x v="15"/>
    <s v="School enrollment, primary (% gross)"/>
    <n v="61.901241302490199"/>
    <x v="31"/>
  </r>
  <r>
    <x v="16"/>
    <s v="School enrollment, primary (% gross)"/>
    <n v="102.623008728027"/>
    <x v="31"/>
  </r>
  <r>
    <x v="17"/>
    <s v="School enrollment, primary (% gross)"/>
    <n v="113.00946044921901"/>
    <x v="31"/>
  </r>
  <r>
    <x v="18"/>
    <s v="School enrollment, primary (% gross)"/>
    <n v="91.078666687011705"/>
    <x v="31"/>
  </r>
  <r>
    <x v="19"/>
    <s v="School enrollment, primary (% gross)"/>
    <n v="27.123519897460898"/>
    <x v="31"/>
  </r>
  <r>
    <x v="20"/>
    <s v="School enrollment, primary (% gross)"/>
    <n v="75.087646484375"/>
    <x v="31"/>
  </r>
  <r>
    <x v="21"/>
    <s v="School enrollment, primary (% gross)"/>
    <n v="147.843017578125"/>
    <x v="31"/>
  </r>
  <r>
    <x v="22"/>
    <s v="School enrollment, primary (% gross)"/>
    <n v="110.46964263916"/>
    <x v="31"/>
  </r>
  <r>
    <x v="23"/>
    <s v="School enrollment, primary (% gross)"/>
    <n v="89.008071899414105"/>
    <x v="31"/>
  </r>
  <r>
    <x v="24"/>
    <s v="School enrollment, primary (% gross)"/>
    <n v="69.997009277343807"/>
    <x v="31"/>
  </r>
  <r>
    <x v="25"/>
    <s v="School enrollment, primary (% gross)"/>
    <n v="70.707290649414105"/>
    <x v="31"/>
  </r>
  <r>
    <x v="26"/>
    <s v="School enrollment, primary (% gross)"/>
    <n v="93.561546325683494"/>
    <x v="31"/>
  </r>
  <r>
    <x v="27"/>
    <s v="School enrollment, primary (% gross)"/>
    <n v="104.628303527832"/>
    <x v="31"/>
  </r>
  <r>
    <x v="0"/>
    <s v="School enrollment, primary (% gross)"/>
    <n v="68.363288879394503"/>
    <x v="32"/>
  </r>
  <r>
    <x v="1"/>
    <s v="School enrollment, primary (% gross)"/>
    <n v="91.504188537597699"/>
    <x v="32"/>
  </r>
  <r>
    <x v="2"/>
    <s v="School enrollment, primary (% gross)"/>
    <n v="53.4946098327637"/>
    <x v="32"/>
  </r>
  <r>
    <x v="3"/>
    <s v="School enrollment, primary (% gross)"/>
    <n v="106.712509155273"/>
    <x v="32"/>
  </r>
  <r>
    <x v="4"/>
    <s v="School enrollment, primary (% gross)"/>
    <n v="34.092048645019503"/>
    <x v="32"/>
  </r>
  <r>
    <x v="5"/>
    <s v="School enrollment, primary (% gross)"/>
    <n v="25.193620681762699"/>
    <x v="32"/>
  </r>
  <r>
    <x v="6"/>
    <s v="School enrollment, primary (% gross)"/>
    <n v="36.281211853027301"/>
    <x v="32"/>
  </r>
  <r>
    <x v="7"/>
    <s v="School enrollment, primary (% gross)"/>
    <n v="74.776199340820298"/>
    <x v="32"/>
  </r>
  <r>
    <x v="8"/>
    <s v="School enrollment, primary (% gross)"/>
    <n v="97.006973266601605"/>
    <x v="32"/>
  </r>
  <r>
    <x v="9"/>
    <s v="School enrollment, primary (% gross)"/>
    <m/>
    <x v="32"/>
  </r>
  <r>
    <x v="10"/>
    <s v="School enrollment, primary (% gross)"/>
    <m/>
    <x v="32"/>
  </r>
  <r>
    <x v="11"/>
    <s v="School enrollment, primary (% gross)"/>
    <n v="87.817398071289105"/>
    <x v="32"/>
  </r>
  <r>
    <x v="12"/>
    <s v="School enrollment, primary (% gross)"/>
    <n v="91.653221130370994"/>
    <x v="32"/>
  </r>
  <r>
    <x v="13"/>
    <s v="School enrollment, primary (% gross)"/>
    <n v="29.742460250854499"/>
    <x v="32"/>
  </r>
  <r>
    <x v="14"/>
    <s v="School enrollment, primary (% gross)"/>
    <n v="93.361091613769503"/>
    <x v="32"/>
  </r>
  <r>
    <x v="15"/>
    <s v="School enrollment, primary (% gross)"/>
    <n v="59.982109069824197"/>
    <x v="32"/>
  </r>
  <r>
    <x v="16"/>
    <s v="School enrollment, primary (% gross)"/>
    <n v="111.363410949707"/>
    <x v="32"/>
  </r>
  <r>
    <x v="17"/>
    <s v="School enrollment, primary (% gross)"/>
    <n v="115.953742980957"/>
    <x v="32"/>
  </r>
  <r>
    <x v="18"/>
    <s v="School enrollment, primary (% gross)"/>
    <n v="93.184097290039105"/>
    <x v="32"/>
  </r>
  <r>
    <x v="19"/>
    <s v="School enrollment, primary (% gross)"/>
    <n v="26.465700149536101"/>
    <x v="32"/>
  </r>
  <r>
    <x v="20"/>
    <s v="School enrollment, primary (% gross)"/>
    <n v="80.528327941894503"/>
    <x v="32"/>
  </r>
  <r>
    <x v="21"/>
    <s v="School enrollment, primary (% gross)"/>
    <n v="158.27316284179699"/>
    <x v="32"/>
  </r>
  <r>
    <x v="22"/>
    <s v="School enrollment, primary (% gross)"/>
    <n v="109.11019897460901"/>
    <x v="32"/>
  </r>
  <r>
    <x v="23"/>
    <s v="School enrollment, primary (% gross)"/>
    <n v="90.630432128906307"/>
    <x v="32"/>
  </r>
  <r>
    <x v="24"/>
    <s v="School enrollment, primary (% gross)"/>
    <n v="69.433036804199205"/>
    <x v="32"/>
  </r>
  <r>
    <x v="25"/>
    <s v="School enrollment, primary (% gross)"/>
    <n v="63.5046195983887"/>
    <x v="32"/>
  </r>
  <r>
    <x v="26"/>
    <s v="School enrollment, primary (% gross)"/>
    <m/>
    <x v="32"/>
  </r>
  <r>
    <x v="27"/>
    <s v="School enrollment, primary (% gross)"/>
    <n v="102.797172546387"/>
    <x v="32"/>
  </r>
  <r>
    <x v="0"/>
    <s v="School enrollment, primary (% gross)"/>
    <n v="67.469421386718807"/>
    <x v="33"/>
  </r>
  <r>
    <x v="1"/>
    <s v="School enrollment, primary (% gross)"/>
    <m/>
    <x v="33"/>
  </r>
  <r>
    <x v="2"/>
    <s v="School enrollment, primary (% gross)"/>
    <n v="50.180870056152301"/>
    <x v="33"/>
  </r>
  <r>
    <x v="3"/>
    <s v="School enrollment, primary (% gross)"/>
    <n v="100.38616943359401"/>
    <x v="33"/>
  </r>
  <r>
    <x v="4"/>
    <s v="School enrollment, primary (% gross)"/>
    <n v="30.952379226684599"/>
    <x v="33"/>
  </r>
  <r>
    <x v="5"/>
    <s v="School enrollment, primary (% gross)"/>
    <n v="21.622789382934599"/>
    <x v="33"/>
  </r>
  <r>
    <x v="6"/>
    <s v="School enrollment, primary (% gross)"/>
    <n v="39.945968627929702"/>
    <x v="33"/>
  </r>
  <r>
    <x v="7"/>
    <s v="School enrollment, primary (% gross)"/>
    <n v="78.303131103515597"/>
    <x v="33"/>
  </r>
  <r>
    <x v="8"/>
    <s v="School enrollment, primary (% gross)"/>
    <n v="96.269500732421903"/>
    <x v="33"/>
  </r>
  <r>
    <x v="9"/>
    <s v="School enrollment, primary (% gross)"/>
    <m/>
    <x v="33"/>
  </r>
  <r>
    <x v="10"/>
    <s v="School enrollment, primary (% gross)"/>
    <m/>
    <x v="33"/>
  </r>
  <r>
    <x v="11"/>
    <s v="School enrollment, primary (% gross)"/>
    <n v="85.09716796875"/>
    <x v="33"/>
  </r>
  <r>
    <x v="12"/>
    <s v="School enrollment, primary (% gross)"/>
    <n v="97.417022705078097"/>
    <x v="33"/>
  </r>
  <r>
    <x v="13"/>
    <s v="School enrollment, primary (% gross)"/>
    <n v="33.303909301757798"/>
    <x v="33"/>
  </r>
  <r>
    <x v="14"/>
    <s v="School enrollment, primary (% gross)"/>
    <n v="92.3905029296875"/>
    <x v="33"/>
  </r>
  <r>
    <x v="15"/>
    <s v="School enrollment, primary (% gross)"/>
    <n v="60.057998657226598"/>
    <x v="33"/>
  </r>
  <r>
    <x v="16"/>
    <s v="School enrollment, primary (% gross)"/>
    <n v="112.730796813965"/>
    <x v="33"/>
  </r>
  <r>
    <x v="17"/>
    <s v="School enrollment, primary (% gross)"/>
    <n v="115.12615203857401"/>
    <x v="33"/>
  </r>
  <r>
    <x v="18"/>
    <s v="School enrollment, primary (% gross)"/>
    <n v="95.944068908691406"/>
    <x v="33"/>
  </r>
  <r>
    <x v="19"/>
    <s v="School enrollment, primary (% gross)"/>
    <n v="26.751369476318398"/>
    <x v="33"/>
  </r>
  <r>
    <x v="20"/>
    <s v="School enrollment, primary (% gross)"/>
    <m/>
    <x v="33"/>
  </r>
  <r>
    <x v="21"/>
    <s v="School enrollment, primary (% gross)"/>
    <m/>
    <x v="33"/>
  </r>
  <r>
    <x v="22"/>
    <s v="School enrollment, primary (% gross)"/>
    <n v="108.891761779785"/>
    <x v="33"/>
  </r>
  <r>
    <x v="23"/>
    <s v="School enrollment, primary (% gross)"/>
    <n v="84.404731750488295"/>
    <x v="33"/>
  </r>
  <r>
    <x v="24"/>
    <s v="School enrollment, primary (% gross)"/>
    <n v="69.636390686035199"/>
    <x v="33"/>
  </r>
  <r>
    <x v="25"/>
    <s v="School enrollment, primary (% gross)"/>
    <n v="68.097961425781307"/>
    <x v="33"/>
  </r>
  <r>
    <x v="26"/>
    <s v="School enrollment, primary (% gross)"/>
    <m/>
    <x v="33"/>
  </r>
  <r>
    <x v="27"/>
    <s v="School enrollment, primary (% gross)"/>
    <n v="106.69522094726599"/>
    <x v="33"/>
  </r>
  <r>
    <x v="0"/>
    <s v="School enrollment, primary (% gross)"/>
    <m/>
    <x v="34"/>
  </r>
  <r>
    <x v="1"/>
    <s v="School enrollment, primary (% gross)"/>
    <n v="84.636291503906307"/>
    <x v="34"/>
  </r>
  <r>
    <x v="2"/>
    <s v="School enrollment, primary (% gross)"/>
    <n v="47.461151123046903"/>
    <x v="34"/>
  </r>
  <r>
    <x v="3"/>
    <s v="School enrollment, primary (% gross)"/>
    <n v="102.18182373046901"/>
    <x v="34"/>
  </r>
  <r>
    <x v="4"/>
    <s v="School enrollment, primary (% gross)"/>
    <n v="32.716121673583999"/>
    <x v="34"/>
  </r>
  <r>
    <x v="5"/>
    <s v="School enrollment, primary (% gross)"/>
    <n v="25.420459747314499"/>
    <x v="34"/>
  </r>
  <r>
    <x v="6"/>
    <s v="School enrollment, primary (% gross)"/>
    <n v="41.958889007568402"/>
    <x v="34"/>
  </r>
  <r>
    <x v="7"/>
    <s v="School enrollment, primary (% gross)"/>
    <n v="84.053916931152301"/>
    <x v="34"/>
  </r>
  <r>
    <x v="8"/>
    <s v="School enrollment, primary (% gross)"/>
    <n v="92.893890380859403"/>
    <x v="34"/>
  </r>
  <r>
    <x v="9"/>
    <s v="School enrollment, primary (% gross)"/>
    <m/>
    <x v="34"/>
  </r>
  <r>
    <x v="10"/>
    <s v="School enrollment, primary (% gross)"/>
    <m/>
    <x v="34"/>
  </r>
  <r>
    <x v="11"/>
    <s v="School enrollment, primary (% gross)"/>
    <n v="83.555763244628906"/>
    <x v="34"/>
  </r>
  <r>
    <x v="12"/>
    <s v="School enrollment, primary (% gross)"/>
    <n v="103.910041809082"/>
    <x v="34"/>
  </r>
  <r>
    <x v="13"/>
    <s v="School enrollment, primary (% gross)"/>
    <n v="36.5341186523438"/>
    <x v="34"/>
  </r>
  <r>
    <x v="14"/>
    <s v="School enrollment, primary (% gross)"/>
    <n v="91.364219665527301"/>
    <x v="34"/>
  </r>
  <r>
    <x v="15"/>
    <s v="School enrollment, primary (% gross)"/>
    <n v="62.375450134277301"/>
    <x v="34"/>
  </r>
  <r>
    <x v="16"/>
    <s v="School enrollment, primary (% gross)"/>
    <n v="113.60569000244099"/>
    <x v="34"/>
  </r>
  <r>
    <x v="17"/>
    <s v="School enrollment, primary (% gross)"/>
    <n v="115.89369964599599"/>
    <x v="34"/>
  </r>
  <r>
    <x v="18"/>
    <s v="School enrollment, primary (% gross)"/>
    <n v="98.264022827148395"/>
    <x v="34"/>
  </r>
  <r>
    <x v="19"/>
    <s v="School enrollment, primary (% gross)"/>
    <n v="27.563329696655298"/>
    <x v="34"/>
  </r>
  <r>
    <x v="20"/>
    <s v="School enrollment, primary (% gross)"/>
    <m/>
    <x v="34"/>
  </r>
  <r>
    <x v="21"/>
    <s v="School enrollment, primary (% gross)"/>
    <m/>
    <x v="34"/>
  </r>
  <r>
    <x v="22"/>
    <s v="School enrollment, primary (% gross)"/>
    <n v="108.72714233398401"/>
    <x v="34"/>
  </r>
  <r>
    <x v="23"/>
    <s v="School enrollment, primary (% gross)"/>
    <n v="89.256111145019503"/>
    <x v="34"/>
  </r>
  <r>
    <x v="24"/>
    <s v="School enrollment, primary (% gross)"/>
    <n v="68.561050415039105"/>
    <x v="34"/>
  </r>
  <r>
    <x v="25"/>
    <s v="School enrollment, primary (% gross)"/>
    <n v="68.548027038574205"/>
    <x v="34"/>
  </r>
  <r>
    <x v="26"/>
    <s v="School enrollment, primary (% gross)"/>
    <n v="86.715599060058494"/>
    <x v="34"/>
  </r>
  <r>
    <x v="27"/>
    <s v="School enrollment, primary (% gross)"/>
    <m/>
    <x v="34"/>
  </r>
  <r>
    <x v="0"/>
    <s v="School enrollment, primary (% gross)"/>
    <n v="50.575958251953097"/>
    <x v="35"/>
  </r>
  <r>
    <x v="1"/>
    <s v="School enrollment, primary (% gross)"/>
    <n v="82.511451721191406"/>
    <x v="35"/>
  </r>
  <r>
    <x v="2"/>
    <s v="School enrollment, primary (% gross)"/>
    <n v="46.280509948730497"/>
    <x v="35"/>
  </r>
  <r>
    <x v="3"/>
    <s v="School enrollment, primary (% gross)"/>
    <m/>
    <x v="35"/>
  </r>
  <r>
    <x v="4"/>
    <s v="School enrollment, primary (% gross)"/>
    <n v="33.660091400146499"/>
    <x v="35"/>
  </r>
  <r>
    <x v="5"/>
    <s v="School enrollment, primary (% gross)"/>
    <n v="29.089929580688501"/>
    <x v="35"/>
  </r>
  <r>
    <x v="6"/>
    <s v="School enrollment, primary (% gross)"/>
    <n v="45.852798461914098"/>
    <x v="35"/>
  </r>
  <r>
    <x v="7"/>
    <s v="School enrollment, primary (% gross)"/>
    <n v="91.027679443359403"/>
    <x v="35"/>
  </r>
  <r>
    <x v="8"/>
    <s v="School enrollment, primary (% gross)"/>
    <n v="90.794410705566406"/>
    <x v="35"/>
  </r>
  <r>
    <x v="9"/>
    <s v="School enrollment, primary (% gross)"/>
    <m/>
    <x v="35"/>
  </r>
  <r>
    <x v="10"/>
    <s v="School enrollment, primary (% gross)"/>
    <m/>
    <x v="35"/>
  </r>
  <r>
    <x v="11"/>
    <s v="School enrollment, primary (% gross)"/>
    <n v="81.614387512207003"/>
    <x v="35"/>
  </r>
  <r>
    <x v="12"/>
    <s v="School enrollment, primary (% gross)"/>
    <n v="152.21629333496099"/>
    <x v="35"/>
  </r>
  <r>
    <x v="13"/>
    <s v="School enrollment, primary (% gross)"/>
    <n v="39.193748474121101"/>
    <x v="35"/>
  </r>
  <r>
    <x v="14"/>
    <s v="School enrollment, primary (% gross)"/>
    <n v="95.2152099609375"/>
    <x v="35"/>
  </r>
  <r>
    <x v="15"/>
    <s v="School enrollment, primary (% gross)"/>
    <n v="66.623237609863295"/>
    <x v="35"/>
  </r>
  <r>
    <x v="16"/>
    <s v="School enrollment, primary (% gross)"/>
    <n v="108.341766357422"/>
    <x v="35"/>
  </r>
  <r>
    <x v="17"/>
    <s v="School enrollment, primary (% gross)"/>
    <n v="115.78005218505901"/>
    <x v="35"/>
  </r>
  <r>
    <x v="18"/>
    <s v="School enrollment, primary (% gross)"/>
    <n v="97.099662780761705"/>
    <x v="35"/>
  </r>
  <r>
    <x v="19"/>
    <s v="School enrollment, primary (% gross)"/>
    <n v="27.793170928955099"/>
    <x v="35"/>
  </r>
  <r>
    <x v="20"/>
    <s v="School enrollment, primary (% gross)"/>
    <m/>
    <x v="35"/>
  </r>
  <r>
    <x v="21"/>
    <s v="School enrollment, primary (% gross)"/>
    <m/>
    <x v="35"/>
  </r>
  <r>
    <x v="22"/>
    <s v="School enrollment, primary (% gross)"/>
    <n v="111.356498718262"/>
    <x v="35"/>
  </r>
  <r>
    <x v="23"/>
    <s v="School enrollment, primary (% gross)"/>
    <n v="89.513977050781307"/>
    <x v="35"/>
  </r>
  <r>
    <x v="24"/>
    <s v="School enrollment, primary (% gross)"/>
    <n v="68.061233520507798"/>
    <x v="35"/>
  </r>
  <r>
    <x v="25"/>
    <s v="School enrollment, primary (% gross)"/>
    <n v="69.239120483398395"/>
    <x v="35"/>
  </r>
  <r>
    <x v="26"/>
    <s v="School enrollment, primary (% gross)"/>
    <n v="84.645561218261705"/>
    <x v="35"/>
  </r>
  <r>
    <x v="27"/>
    <s v="School enrollment, primary (% gross)"/>
    <n v="106.947677612305"/>
    <x v="35"/>
  </r>
  <r>
    <x v="0"/>
    <s v="School enrollment, primary (% gross)"/>
    <n v="39.418140411377003"/>
    <x v="36"/>
  </r>
  <r>
    <x v="1"/>
    <s v="School enrollment, primary (% gross)"/>
    <n v="75.931297302245994"/>
    <x v="36"/>
  </r>
  <r>
    <x v="2"/>
    <s v="School enrollment, primary (% gross)"/>
    <n v="48.345798492431598"/>
    <x v="36"/>
  </r>
  <r>
    <x v="3"/>
    <s v="School enrollment, primary (% gross)"/>
    <n v="97.114768981933494"/>
    <x v="36"/>
  </r>
  <r>
    <x v="4"/>
    <s v="School enrollment, primary (% gross)"/>
    <n v="33.529571533203097"/>
    <x v="36"/>
  </r>
  <r>
    <x v="5"/>
    <s v="School enrollment, primary (% gross)"/>
    <n v="34.952648162841697"/>
    <x v="36"/>
  </r>
  <r>
    <x v="6"/>
    <s v="School enrollment, primary (% gross)"/>
    <n v="47.050529479980497"/>
    <x v="36"/>
  </r>
  <r>
    <x v="7"/>
    <s v="School enrollment, primary (% gross)"/>
    <n v="99.255592346191406"/>
    <x v="36"/>
  </r>
  <r>
    <x v="8"/>
    <s v="School enrollment, primary (% gross)"/>
    <m/>
    <x v="36"/>
  </r>
  <r>
    <x v="9"/>
    <s v="School enrollment, primary (% gross)"/>
    <m/>
    <x v="36"/>
  </r>
  <r>
    <x v="10"/>
    <s v="School enrollment, primary (% gross)"/>
    <m/>
    <x v="36"/>
  </r>
  <r>
    <x v="11"/>
    <s v="School enrollment, primary (% gross)"/>
    <n v="86.079292297363295"/>
    <x v="36"/>
  </r>
  <r>
    <x v="12"/>
    <s v="School enrollment, primary (% gross)"/>
    <n v="147.69650268554699"/>
    <x v="36"/>
  </r>
  <r>
    <x v="13"/>
    <s v="School enrollment, primary (% gross)"/>
    <n v="42.854099273681598"/>
    <x v="36"/>
  </r>
  <r>
    <x v="14"/>
    <s v="School enrollment, primary (% gross)"/>
    <n v="94.431838989257798"/>
    <x v="36"/>
  </r>
  <r>
    <x v="15"/>
    <s v="School enrollment, primary (% gross)"/>
    <m/>
    <x v="36"/>
  </r>
  <r>
    <x v="16"/>
    <s v="School enrollment, primary (% gross)"/>
    <n v="107.842979431152"/>
    <x v="36"/>
  </r>
  <r>
    <x v="17"/>
    <s v="School enrollment, primary (% gross)"/>
    <n v="119.919891357422"/>
    <x v="36"/>
  </r>
  <r>
    <x v="18"/>
    <s v="School enrollment, primary (% gross)"/>
    <n v="96.223899841308494"/>
    <x v="36"/>
  </r>
  <r>
    <x v="19"/>
    <s v="School enrollment, primary (% gross)"/>
    <n v="28.013280868530298"/>
    <x v="36"/>
  </r>
  <r>
    <x v="20"/>
    <s v="School enrollment, primary (% gross)"/>
    <m/>
    <x v="36"/>
  </r>
  <r>
    <x v="21"/>
    <s v="School enrollment, primary (% gross)"/>
    <n v="143.24859619140599"/>
    <x v="36"/>
  </r>
  <r>
    <x v="22"/>
    <s v="School enrollment, primary (% gross)"/>
    <n v="106.61741638183599"/>
    <x v="36"/>
  </r>
  <r>
    <x v="23"/>
    <s v="School enrollment, primary (% gross)"/>
    <n v="89.464080810546903"/>
    <x v="36"/>
  </r>
  <r>
    <x v="24"/>
    <s v="School enrollment, primary (% gross)"/>
    <n v="67.299819946289105"/>
    <x v="36"/>
  </r>
  <r>
    <x v="25"/>
    <s v="School enrollment, primary (% gross)"/>
    <n v="70.399063110351605"/>
    <x v="36"/>
  </r>
  <r>
    <x v="26"/>
    <s v="School enrollment, primary (% gross)"/>
    <n v="83.117156982421903"/>
    <x v="36"/>
  </r>
  <r>
    <x v="27"/>
    <s v="School enrollment, primary (% gross)"/>
    <n v="106.44167327880901"/>
    <x v="36"/>
  </r>
  <r>
    <x v="0"/>
    <s v="School enrollment, primary (% gross)"/>
    <n v="40.745319366455099"/>
    <x v="37"/>
  </r>
  <r>
    <x v="1"/>
    <s v="School enrollment, primary (% gross)"/>
    <n v="79.593208312988295"/>
    <x v="37"/>
  </r>
  <r>
    <x v="2"/>
    <s v="School enrollment, primary (% gross)"/>
    <n v="53.5559692382813"/>
    <x v="37"/>
  </r>
  <r>
    <x v="3"/>
    <s v="School enrollment, primary (% gross)"/>
    <m/>
    <x v="37"/>
  </r>
  <r>
    <x v="4"/>
    <s v="School enrollment, primary (% gross)"/>
    <n v="32.836429595947301"/>
    <x v="37"/>
  </r>
  <r>
    <x v="5"/>
    <s v="School enrollment, primary (% gross)"/>
    <n v="40.339828491210902"/>
    <x v="37"/>
  </r>
  <r>
    <x v="6"/>
    <s v="School enrollment, primary (% gross)"/>
    <n v="50.541790008544901"/>
    <x v="37"/>
  </r>
  <r>
    <x v="7"/>
    <s v="School enrollment, primary (% gross)"/>
    <n v="108.20001220703099"/>
    <x v="37"/>
  </r>
  <r>
    <x v="8"/>
    <s v="School enrollment, primary (% gross)"/>
    <m/>
    <x v="37"/>
  </r>
  <r>
    <x v="9"/>
    <s v="School enrollment, primary (% gross)"/>
    <m/>
    <x v="37"/>
  </r>
  <r>
    <x v="10"/>
    <s v="School enrollment, primary (% gross)"/>
    <m/>
    <x v="37"/>
  </r>
  <r>
    <x v="11"/>
    <s v="School enrollment, primary (% gross)"/>
    <m/>
    <x v="37"/>
  </r>
  <r>
    <x v="12"/>
    <s v="School enrollment, primary (% gross)"/>
    <m/>
    <x v="37"/>
  </r>
  <r>
    <x v="13"/>
    <s v="School enrollment, primary (% gross)"/>
    <n v="47.812198638916001"/>
    <x v="37"/>
  </r>
  <r>
    <x v="14"/>
    <s v="School enrollment, primary (% gross)"/>
    <n v="94.782493591308494"/>
    <x v="37"/>
  </r>
  <r>
    <x v="15"/>
    <s v="School enrollment, primary (% gross)"/>
    <m/>
    <x v="37"/>
  </r>
  <r>
    <x v="16"/>
    <s v="School enrollment, primary (% gross)"/>
    <n v="103.552871704102"/>
    <x v="37"/>
  </r>
  <r>
    <x v="17"/>
    <s v="School enrollment, primary (% gross)"/>
    <n v="117.65544128418"/>
    <x v="37"/>
  </r>
  <r>
    <x v="18"/>
    <s v="School enrollment, primary (% gross)"/>
    <n v="97.680778503417997"/>
    <x v="37"/>
  </r>
  <r>
    <x v="19"/>
    <s v="School enrollment, primary (% gross)"/>
    <n v="28.851009368896499"/>
    <x v="37"/>
  </r>
  <r>
    <x v="20"/>
    <s v="School enrollment, primary (% gross)"/>
    <n v="101.00350189209"/>
    <x v="37"/>
  </r>
  <r>
    <x v="21"/>
    <s v="School enrollment, primary (% gross)"/>
    <m/>
    <x v="37"/>
  </r>
  <r>
    <x v="22"/>
    <s v="School enrollment, primary (% gross)"/>
    <m/>
    <x v="37"/>
  </r>
  <r>
    <x v="23"/>
    <s v="School enrollment, primary (% gross)"/>
    <n v="88.608360290527301"/>
    <x v="37"/>
  </r>
  <r>
    <x v="24"/>
    <s v="School enrollment, primary (% gross)"/>
    <n v="67.407150268554702"/>
    <x v="37"/>
  </r>
  <r>
    <x v="25"/>
    <s v="School enrollment, primary (% gross)"/>
    <n v="117.293807983398"/>
    <x v="37"/>
  </r>
  <r>
    <x v="26"/>
    <s v="School enrollment, primary (% gross)"/>
    <m/>
    <x v="37"/>
  </r>
  <r>
    <x v="27"/>
    <s v="School enrollment, primary (% gross)"/>
    <n v="106.329208374023"/>
    <x v="37"/>
  </r>
  <r>
    <x v="0"/>
    <s v="School enrollment, primary (% gross)"/>
    <n v="48.587799072265597"/>
    <x v="38"/>
  </r>
  <r>
    <x v="1"/>
    <s v="School enrollment, primary (% gross)"/>
    <n v="81.857307434082003"/>
    <x v="38"/>
  </r>
  <r>
    <x v="2"/>
    <s v="School enrollment, primary (% gross)"/>
    <n v="59.458259582519503"/>
    <x v="38"/>
  </r>
  <r>
    <x v="3"/>
    <s v="School enrollment, primary (% gross)"/>
    <n v="101.044731140137"/>
    <x v="38"/>
  </r>
  <r>
    <x v="4"/>
    <s v="School enrollment, primary (% gross)"/>
    <n v="32.197139739990199"/>
    <x v="38"/>
  </r>
  <r>
    <x v="5"/>
    <s v="School enrollment, primary (% gross)"/>
    <n v="49.964080810546903"/>
    <x v="38"/>
  </r>
  <r>
    <x v="6"/>
    <s v="School enrollment, primary (% gross)"/>
    <n v="51.0165405273438"/>
    <x v="38"/>
  </r>
  <r>
    <x v="7"/>
    <s v="School enrollment, primary (% gross)"/>
    <n v="111.878341674805"/>
    <x v="38"/>
  </r>
  <r>
    <x v="8"/>
    <s v="School enrollment, primary (% gross)"/>
    <n v="91.965950012207003"/>
    <x v="38"/>
  </r>
  <r>
    <x v="9"/>
    <s v="School enrollment, primary (% gross)"/>
    <m/>
    <x v="38"/>
  </r>
  <r>
    <x v="10"/>
    <s v="School enrollment, primary (% gross)"/>
    <n v="76.442123413085895"/>
    <x v="38"/>
  </r>
  <r>
    <x v="11"/>
    <s v="School enrollment, primary (% gross)"/>
    <n v="93.057670593261705"/>
    <x v="38"/>
  </r>
  <r>
    <x v="12"/>
    <s v="School enrollment, primary (% gross)"/>
    <n v="132.928466796875"/>
    <x v="38"/>
  </r>
  <r>
    <x v="13"/>
    <s v="School enrollment, primary (% gross)"/>
    <n v="51.725440979003899"/>
    <x v="38"/>
  </r>
  <r>
    <x v="14"/>
    <s v="School enrollment, primary (% gross)"/>
    <m/>
    <x v="38"/>
  </r>
  <r>
    <x v="15"/>
    <s v="School enrollment, primary (% gross)"/>
    <n v="64.124977111816406"/>
    <x v="38"/>
  </r>
  <r>
    <x v="16"/>
    <s v="School enrollment, primary (% gross)"/>
    <m/>
    <x v="38"/>
  </r>
  <r>
    <x v="17"/>
    <s v="School enrollment, primary (% gross)"/>
    <m/>
    <x v="38"/>
  </r>
  <r>
    <x v="18"/>
    <s v="School enrollment, primary (% gross)"/>
    <n v="98.016609191894503"/>
    <x v="38"/>
  </r>
  <r>
    <x v="19"/>
    <s v="School enrollment, primary (% gross)"/>
    <n v="29.022729873657202"/>
    <x v="38"/>
  </r>
  <r>
    <x v="20"/>
    <s v="School enrollment, primary (% gross)"/>
    <n v="105.774360656738"/>
    <x v="38"/>
  </r>
  <r>
    <x v="21"/>
    <s v="School enrollment, primary (% gross)"/>
    <n v="127.813850402832"/>
    <x v="38"/>
  </r>
  <r>
    <x v="22"/>
    <s v="School enrollment, primary (% gross)"/>
    <n v="106.955772399902"/>
    <x v="38"/>
  </r>
  <r>
    <x v="23"/>
    <s v="School enrollment, primary (% gross)"/>
    <n v="95.660583496093807"/>
    <x v="38"/>
  </r>
  <r>
    <x v="24"/>
    <s v="School enrollment, primary (% gross)"/>
    <n v="65.399078369140597"/>
    <x v="38"/>
  </r>
  <r>
    <x v="25"/>
    <s v="School enrollment, primary (% gross)"/>
    <n v="123.72614288330099"/>
    <x v="38"/>
  </r>
  <r>
    <x v="26"/>
    <s v="School enrollment, primary (% gross)"/>
    <n v="80.979331970214801"/>
    <x v="38"/>
  </r>
  <r>
    <x v="27"/>
    <s v="School enrollment, primary (% gross)"/>
    <n v="104.463272094727"/>
    <x v="38"/>
  </r>
  <r>
    <x v="0"/>
    <s v="School enrollment, primary (% gross)"/>
    <n v="57.461158752441399"/>
    <x v="39"/>
  </r>
  <r>
    <x v="1"/>
    <s v="School enrollment, primary (% gross)"/>
    <n v="84.464439392089801"/>
    <x v="39"/>
  </r>
  <r>
    <x v="2"/>
    <s v="School enrollment, primary (% gross)"/>
    <n v="61.008228302002003"/>
    <x v="39"/>
  </r>
  <r>
    <x v="3"/>
    <s v="School enrollment, primary (% gross)"/>
    <n v="92.945106506347699"/>
    <x v="39"/>
  </r>
  <r>
    <x v="4"/>
    <s v="School enrollment, primary (% gross)"/>
    <n v="32.532108306884801"/>
    <x v="39"/>
  </r>
  <r>
    <x v="5"/>
    <s v="School enrollment, primary (% gross)"/>
    <n v="49.405258178710902"/>
    <x v="39"/>
  </r>
  <r>
    <x v="6"/>
    <s v="School enrollment, primary (% gross)"/>
    <n v="53.657249450683601"/>
    <x v="39"/>
  </r>
  <r>
    <x v="7"/>
    <s v="School enrollment, primary (% gross)"/>
    <m/>
    <x v="39"/>
  </r>
  <r>
    <x v="8"/>
    <s v="School enrollment, primary (% gross)"/>
    <n v="90.548698425292997"/>
    <x v="39"/>
  </r>
  <r>
    <x v="9"/>
    <s v="School enrollment, primary (% gross)"/>
    <m/>
    <x v="39"/>
  </r>
  <r>
    <x v="10"/>
    <s v="School enrollment, primary (% gross)"/>
    <n v="95.430282592773395"/>
    <x v="39"/>
  </r>
  <r>
    <x v="11"/>
    <s v="School enrollment, primary (% gross)"/>
    <n v="95.740516662597699"/>
    <x v="39"/>
  </r>
  <r>
    <x v="12"/>
    <s v="School enrollment, primary (% gross)"/>
    <n v="131.68542480468801"/>
    <x v="39"/>
  </r>
  <r>
    <x v="13"/>
    <s v="School enrollment, primary (% gross)"/>
    <n v="55.971328735351598"/>
    <x v="39"/>
  </r>
  <r>
    <x v="14"/>
    <s v="School enrollment, primary (% gross)"/>
    <n v="99.7222900390625"/>
    <x v="39"/>
  </r>
  <r>
    <x v="15"/>
    <s v="School enrollment, primary (% gross)"/>
    <n v="69.120216369628906"/>
    <x v="39"/>
  </r>
  <r>
    <x v="16"/>
    <s v="School enrollment, primary (% gross)"/>
    <n v="97.348297119140597"/>
    <x v="39"/>
  </r>
  <r>
    <x v="17"/>
    <s v="School enrollment, primary (% gross)"/>
    <n v="116.642936706543"/>
    <x v="39"/>
  </r>
  <r>
    <x v="18"/>
    <s v="School enrollment, primary (% gross)"/>
    <n v="103.761352539063"/>
    <x v="39"/>
  </r>
  <r>
    <x v="19"/>
    <s v="School enrollment, primary (% gross)"/>
    <n v="30.7222805023193"/>
    <x v="39"/>
  </r>
  <r>
    <x v="20"/>
    <s v="School enrollment, primary (% gross)"/>
    <n v="101.774116516113"/>
    <x v="39"/>
  </r>
  <r>
    <x v="21"/>
    <s v="School enrollment, primary (% gross)"/>
    <n v="101.98223876953099"/>
    <x v="39"/>
  </r>
  <r>
    <x v="22"/>
    <s v="School enrollment, primary (% gross)"/>
    <m/>
    <x v="39"/>
  </r>
  <r>
    <x v="23"/>
    <s v="School enrollment, primary (% gross)"/>
    <n v="95.952857971191406"/>
    <x v="39"/>
  </r>
  <r>
    <x v="24"/>
    <s v="School enrollment, primary (% gross)"/>
    <n v="66.077423095703097"/>
    <x v="39"/>
  </r>
  <r>
    <x v="25"/>
    <s v="School enrollment, primary (% gross)"/>
    <n v="129.14537048339801"/>
    <x v="39"/>
  </r>
  <r>
    <x v="26"/>
    <s v="School enrollment, primary (% gross)"/>
    <n v="78.864852905273395"/>
    <x v="39"/>
  </r>
  <r>
    <x v="27"/>
    <s v="School enrollment, primary (% gross)"/>
    <n v="103.09725189209"/>
    <x v="39"/>
  </r>
  <r>
    <x v="0"/>
    <s v="School enrollment, primary (% gross)"/>
    <n v="59.208808898925803"/>
    <x v="40"/>
  </r>
  <r>
    <x v="1"/>
    <s v="School enrollment, primary (% gross)"/>
    <n v="86.951133728027301"/>
    <x v="40"/>
  </r>
  <r>
    <x v="2"/>
    <s v="School enrollment, primary (% gross)"/>
    <n v="63.796428680419901"/>
    <x v="40"/>
  </r>
  <r>
    <x v="3"/>
    <s v="School enrollment, primary (% gross)"/>
    <n v="103.19000244140599"/>
    <x v="40"/>
  </r>
  <r>
    <x v="4"/>
    <s v="School enrollment, primary (% gross)"/>
    <n v="32.494960784912102"/>
    <x v="40"/>
  </r>
  <r>
    <x v="5"/>
    <s v="School enrollment, primary (% gross)"/>
    <n v="54.443538665771499"/>
    <x v="40"/>
  </r>
  <r>
    <x v="6"/>
    <s v="School enrollment, primary (% gross)"/>
    <n v="57.180671691894503"/>
    <x v="40"/>
  </r>
  <r>
    <x v="7"/>
    <s v="School enrollment, primary (% gross)"/>
    <m/>
    <x v="40"/>
  </r>
  <r>
    <x v="8"/>
    <s v="School enrollment, primary (% gross)"/>
    <n v="94.882667541503906"/>
    <x v="40"/>
  </r>
  <r>
    <x v="9"/>
    <s v="School enrollment, primary (% gross)"/>
    <m/>
    <x v="40"/>
  </r>
  <r>
    <x v="10"/>
    <s v="School enrollment, primary (% gross)"/>
    <n v="112.986869812012"/>
    <x v="40"/>
  </r>
  <r>
    <x v="11"/>
    <s v="School enrollment, primary (% gross)"/>
    <n v="101.48519897460901"/>
    <x v="40"/>
  </r>
  <r>
    <x v="12"/>
    <s v="School enrollment, primary (% gross)"/>
    <n v="134.02926635742199"/>
    <x v="40"/>
  </r>
  <r>
    <x v="13"/>
    <s v="School enrollment, primary (% gross)"/>
    <n v="57.742061614990199"/>
    <x v="40"/>
  </r>
  <r>
    <x v="14"/>
    <s v="School enrollment, primary (% gross)"/>
    <n v="101.37638092041"/>
    <x v="40"/>
  </r>
  <r>
    <x v="15"/>
    <s v="School enrollment, primary (% gross)"/>
    <n v="74.263099670410199"/>
    <x v="40"/>
  </r>
  <r>
    <x v="16"/>
    <s v="School enrollment, primary (% gross)"/>
    <n v="100.750030517578"/>
    <x v="40"/>
  </r>
  <r>
    <x v="17"/>
    <s v="School enrollment, primary (% gross)"/>
    <n v="120.348823547363"/>
    <x v="40"/>
  </r>
  <r>
    <x v="18"/>
    <s v="School enrollment, primary (% gross)"/>
    <n v="104.830436706543"/>
    <x v="40"/>
  </r>
  <r>
    <x v="19"/>
    <s v="School enrollment, primary (% gross)"/>
    <n v="32.321571350097699"/>
    <x v="40"/>
  </r>
  <r>
    <x v="20"/>
    <s v="School enrollment, primary (% gross)"/>
    <n v="108.572372436523"/>
    <x v="40"/>
  </r>
  <r>
    <x v="21"/>
    <s v="School enrollment, primary (% gross)"/>
    <m/>
    <x v="40"/>
  </r>
  <r>
    <x v="22"/>
    <s v="School enrollment, primary (% gross)"/>
    <m/>
    <x v="40"/>
  </r>
  <r>
    <x v="23"/>
    <s v="School enrollment, primary (% gross)"/>
    <n v="96.549491882324205"/>
    <x v="40"/>
  </r>
  <r>
    <x v="24"/>
    <s v="School enrollment, primary (% gross)"/>
    <n v="67.4801025390625"/>
    <x v="40"/>
  </r>
  <r>
    <x v="25"/>
    <s v="School enrollment, primary (% gross)"/>
    <n v="129.99751281738301"/>
    <x v="40"/>
  </r>
  <r>
    <x v="26"/>
    <s v="School enrollment, primary (% gross)"/>
    <n v="78.680908203125"/>
    <x v="40"/>
  </r>
  <r>
    <x v="27"/>
    <s v="School enrollment, primary (% gross)"/>
    <n v="102.95583343505901"/>
    <x v="40"/>
  </r>
  <r>
    <x v="0"/>
    <s v="School enrollment, primary (% gross)"/>
    <n v="62.023300170898402"/>
    <x v="41"/>
  </r>
  <r>
    <x v="1"/>
    <s v="School enrollment, primary (% gross)"/>
    <n v="102.97776031494099"/>
    <x v="41"/>
  </r>
  <r>
    <x v="2"/>
    <s v="School enrollment, primary (% gross)"/>
    <n v="66.182029724120994"/>
    <x v="41"/>
  </r>
  <r>
    <x v="3"/>
    <s v="School enrollment, primary (% gross)"/>
    <m/>
    <x v="41"/>
  </r>
  <r>
    <x v="4"/>
    <s v="School enrollment, primary (% gross)"/>
    <n v="36.466239929199197"/>
    <x v="41"/>
  </r>
  <r>
    <x v="5"/>
    <s v="School enrollment, primary (% gross)"/>
    <n v="60.262241363525398"/>
    <x v="41"/>
  </r>
  <r>
    <x v="6"/>
    <s v="School enrollment, primary (% gross)"/>
    <n v="60.605930328369098"/>
    <x v="41"/>
  </r>
  <r>
    <x v="7"/>
    <s v="School enrollment, primary (% gross)"/>
    <m/>
    <x v="41"/>
  </r>
  <r>
    <x v="8"/>
    <s v="School enrollment, primary (% gross)"/>
    <n v="96.1240234375"/>
    <x v="41"/>
  </r>
  <r>
    <x v="9"/>
    <s v="School enrollment, primary (% gross)"/>
    <m/>
    <x v="41"/>
  </r>
  <r>
    <x v="10"/>
    <s v="School enrollment, primary (% gross)"/>
    <m/>
    <x v="41"/>
  </r>
  <r>
    <x v="11"/>
    <s v="School enrollment, primary (% gross)"/>
    <n v="102.53482055664099"/>
    <x v="41"/>
  </r>
  <r>
    <x v="12"/>
    <s v="School enrollment, primary (% gross)"/>
    <n v="137.72903442382801"/>
    <x v="41"/>
  </r>
  <r>
    <x v="13"/>
    <s v="School enrollment, primary (% gross)"/>
    <n v="62.396671295166001"/>
    <x v="41"/>
  </r>
  <r>
    <x v="14"/>
    <s v="School enrollment, primary (% gross)"/>
    <n v="99.361106872558494"/>
    <x v="41"/>
  </r>
  <r>
    <x v="15"/>
    <s v="School enrollment, primary (% gross)"/>
    <n v="79.935806274414105"/>
    <x v="41"/>
  </r>
  <r>
    <x v="16"/>
    <s v="School enrollment, primary (% gross)"/>
    <n v="99.930946350097699"/>
    <x v="41"/>
  </r>
  <r>
    <x v="17"/>
    <s v="School enrollment, primary (% gross)"/>
    <n v="113.134559631348"/>
    <x v="41"/>
  </r>
  <r>
    <x v="18"/>
    <s v="School enrollment, primary (% gross)"/>
    <n v="108.969970703125"/>
    <x v="41"/>
  </r>
  <r>
    <x v="19"/>
    <s v="School enrollment, primary (% gross)"/>
    <n v="35.331661224365199"/>
    <x v="41"/>
  </r>
  <r>
    <x v="20"/>
    <s v="School enrollment, primary (% gross)"/>
    <n v="109.314422607422"/>
    <x v="41"/>
  </r>
  <r>
    <x v="21"/>
    <s v="School enrollment, primary (% gross)"/>
    <m/>
    <x v="41"/>
  </r>
  <r>
    <x v="22"/>
    <s v="School enrollment, primary (% gross)"/>
    <n v="107.76986694335901"/>
    <x v="41"/>
  </r>
  <r>
    <x v="23"/>
    <s v="School enrollment, primary (% gross)"/>
    <n v="95.757171630859403"/>
    <x v="41"/>
  </r>
  <r>
    <x v="24"/>
    <s v="School enrollment, primary (% gross)"/>
    <n v="73.328720092773395"/>
    <x v="41"/>
  </r>
  <r>
    <x v="25"/>
    <s v="School enrollment, primary (% gross)"/>
    <n v="131.75497436523401"/>
    <x v="41"/>
  </r>
  <r>
    <x v="26"/>
    <s v="School enrollment, primary (% gross)"/>
    <n v="78.353759765625"/>
    <x v="41"/>
  </r>
  <r>
    <x v="27"/>
    <s v="School enrollment, primary (% gross)"/>
    <n v="105.661010742188"/>
    <x v="41"/>
  </r>
  <r>
    <x v="0"/>
    <s v="School enrollment, primary (% gross)"/>
    <n v="67.025352478027301"/>
    <x v="42"/>
  </r>
  <r>
    <x v="1"/>
    <s v="School enrollment, primary (% gross)"/>
    <n v="103.04702758789099"/>
    <x v="42"/>
  </r>
  <r>
    <x v="2"/>
    <s v="School enrollment, primary (% gross)"/>
    <n v="69.911163330078097"/>
    <x v="42"/>
  </r>
  <r>
    <x v="3"/>
    <s v="School enrollment, primary (% gross)"/>
    <n v="111.991317749023"/>
    <x v="42"/>
  </r>
  <r>
    <x v="4"/>
    <s v="School enrollment, primary (% gross)"/>
    <n v="38.338638305664098"/>
    <x v="42"/>
  </r>
  <r>
    <x v="5"/>
    <s v="School enrollment, primary (% gross)"/>
    <n v="63.458671569824197"/>
    <x v="42"/>
  </r>
  <r>
    <x v="6"/>
    <s v="School enrollment, primary (% gross)"/>
    <n v="69.408538818359403"/>
    <x v="42"/>
  </r>
  <r>
    <x v="7"/>
    <s v="School enrollment, primary (% gross)"/>
    <m/>
    <x v="42"/>
  </r>
  <r>
    <x v="8"/>
    <s v="School enrollment, primary (% gross)"/>
    <n v="89.902687072753906"/>
    <x v="42"/>
  </r>
  <r>
    <x v="9"/>
    <s v="School enrollment, primary (% gross)"/>
    <m/>
    <x v="42"/>
  </r>
  <r>
    <x v="10"/>
    <s v="School enrollment, primary (% gross)"/>
    <m/>
    <x v="42"/>
  </r>
  <r>
    <x v="11"/>
    <s v="School enrollment, primary (% gross)"/>
    <n v="103.30052947998"/>
    <x v="42"/>
  </r>
  <r>
    <x v="12"/>
    <s v="School enrollment, primary (% gross)"/>
    <n v="133.97113037109401"/>
    <x v="42"/>
  </r>
  <r>
    <x v="13"/>
    <s v="School enrollment, primary (% gross)"/>
    <n v="66.020286560058494"/>
    <x v="42"/>
  </r>
  <r>
    <x v="14"/>
    <s v="School enrollment, primary (% gross)"/>
    <n v="99.478889465332003"/>
    <x v="42"/>
  </r>
  <r>
    <x v="15"/>
    <s v="School enrollment, primary (% gross)"/>
    <n v="82.500709533691406"/>
    <x v="42"/>
  </r>
  <r>
    <x v="16"/>
    <s v="School enrollment, primary (% gross)"/>
    <n v="99.968246459960895"/>
    <x v="42"/>
  </r>
  <r>
    <x v="17"/>
    <s v="School enrollment, primary (% gross)"/>
    <n v="118.11033630371099"/>
    <x v="42"/>
  </r>
  <r>
    <x v="18"/>
    <s v="School enrollment, primary (% gross)"/>
    <n v="116.46434020996099"/>
    <x v="42"/>
  </r>
  <r>
    <x v="19"/>
    <s v="School enrollment, primary (% gross)"/>
    <n v="39.514961242675803"/>
    <x v="42"/>
  </r>
  <r>
    <x v="20"/>
    <s v="School enrollment, primary (% gross)"/>
    <n v="115.52243804931599"/>
    <x v="42"/>
  </r>
  <r>
    <x v="21"/>
    <s v="School enrollment, primary (% gross)"/>
    <n v="121.89234161377"/>
    <x v="42"/>
  </r>
  <r>
    <x v="22"/>
    <s v="School enrollment, primary (% gross)"/>
    <n v="106.02880859375"/>
    <x v="42"/>
  </r>
  <r>
    <x v="23"/>
    <s v="School enrollment, primary (% gross)"/>
    <n v="97.273521423339801"/>
    <x v="42"/>
  </r>
  <r>
    <x v="24"/>
    <s v="School enrollment, primary (% gross)"/>
    <n v="87.626419067382798"/>
    <x v="42"/>
  </r>
  <r>
    <x v="25"/>
    <s v="School enrollment, primary (% gross)"/>
    <n v="135.27682495117199"/>
    <x v="42"/>
  </r>
  <r>
    <x v="26"/>
    <s v="School enrollment, primary (% gross)"/>
    <n v="81.137306213378906"/>
    <x v="42"/>
  </r>
  <r>
    <x v="27"/>
    <s v="School enrollment, primary (% gross)"/>
    <n v="99.70556640625"/>
    <x v="42"/>
  </r>
  <r>
    <x v="0"/>
    <s v="School enrollment, primary (% gross)"/>
    <n v="72.691238403320298"/>
    <x v="43"/>
  </r>
  <r>
    <x v="1"/>
    <s v="School enrollment, primary (% gross)"/>
    <n v="103.225578308105"/>
    <x v="43"/>
  </r>
  <r>
    <x v="2"/>
    <s v="School enrollment, primary (% gross)"/>
    <n v="71.814949035644503"/>
    <x v="43"/>
  </r>
  <r>
    <x v="3"/>
    <s v="School enrollment, primary (% gross)"/>
    <n v="110.33235168457"/>
    <x v="43"/>
  </r>
  <r>
    <x v="4"/>
    <s v="School enrollment, primary (% gross)"/>
    <n v="40.190010070800803"/>
    <x v="43"/>
  </r>
  <r>
    <x v="5"/>
    <s v="School enrollment, primary (% gross)"/>
    <n v="64.816902160644503"/>
    <x v="43"/>
  </r>
  <r>
    <x v="6"/>
    <s v="School enrollment, primary (% gross)"/>
    <n v="73.143669128417997"/>
    <x v="43"/>
  </r>
  <r>
    <x v="7"/>
    <s v="School enrollment, primary (% gross)"/>
    <m/>
    <x v="43"/>
  </r>
  <r>
    <x v="8"/>
    <s v="School enrollment, primary (% gross)"/>
    <n v="103.793098449707"/>
    <x v="43"/>
  </r>
  <r>
    <x v="9"/>
    <s v="School enrollment, primary (% gross)"/>
    <m/>
    <x v="43"/>
  </r>
  <r>
    <x v="10"/>
    <s v="School enrollment, primary (% gross)"/>
    <m/>
    <x v="43"/>
  </r>
  <r>
    <x v="11"/>
    <s v="School enrollment, primary (% gross)"/>
    <n v="118.25473785400401"/>
    <x v="43"/>
  </r>
  <r>
    <x v="12"/>
    <s v="School enrollment, primary (% gross)"/>
    <m/>
    <x v="43"/>
  </r>
  <r>
    <x v="13"/>
    <s v="School enrollment, primary (% gross)"/>
    <n v="67.534629821777301"/>
    <x v="43"/>
  </r>
  <r>
    <x v="14"/>
    <s v="School enrollment, primary (% gross)"/>
    <n v="99.486541748046903"/>
    <x v="43"/>
  </r>
  <r>
    <x v="15"/>
    <s v="School enrollment, primary (% gross)"/>
    <m/>
    <x v="43"/>
  </r>
  <r>
    <x v="16"/>
    <s v="School enrollment, primary (% gross)"/>
    <n v="101.831169128418"/>
    <x v="43"/>
  </r>
  <r>
    <x v="17"/>
    <s v="School enrollment, primary (% gross)"/>
    <n v="115.68801116943401"/>
    <x v="43"/>
  </r>
  <r>
    <x v="18"/>
    <s v="School enrollment, primary (% gross)"/>
    <n v="117.540641784668"/>
    <x v="43"/>
  </r>
  <r>
    <x v="19"/>
    <s v="School enrollment, primary (% gross)"/>
    <n v="42.711021423339801"/>
    <x v="43"/>
  </r>
  <r>
    <x v="20"/>
    <s v="School enrollment, primary (% gross)"/>
    <n v="125.27752685546901"/>
    <x v="43"/>
  </r>
  <r>
    <x v="21"/>
    <s v="School enrollment, primary (% gross)"/>
    <n v="124.758750915527"/>
    <x v="43"/>
  </r>
  <r>
    <x v="22"/>
    <s v="School enrollment, primary (% gross)"/>
    <n v="102.77980804443401"/>
    <x v="43"/>
  </r>
  <r>
    <x v="23"/>
    <s v="School enrollment, primary (% gross)"/>
    <n v="99.184890747070298"/>
    <x v="43"/>
  </r>
  <r>
    <x v="24"/>
    <s v="School enrollment, primary (% gross)"/>
    <n v="93.746360778808494"/>
    <x v="43"/>
  </r>
  <r>
    <x v="25"/>
    <s v="School enrollment, primary (% gross)"/>
    <n v="135.40434265136699"/>
    <x v="43"/>
  </r>
  <r>
    <x v="26"/>
    <s v="School enrollment, primary (% gross)"/>
    <m/>
    <x v="43"/>
  </r>
  <r>
    <x v="27"/>
    <s v="School enrollment, primary (% gross)"/>
    <n v="97.8765869140625"/>
    <x v="43"/>
  </r>
  <r>
    <x v="0"/>
    <s v="School enrollment, primary (% gross)"/>
    <n v="77.804389953613295"/>
    <x v="44"/>
  </r>
  <r>
    <x v="1"/>
    <s v="School enrollment, primary (% gross)"/>
    <n v="107.87132263183599"/>
    <x v="44"/>
  </r>
  <r>
    <x v="2"/>
    <s v="School enrollment, primary (% gross)"/>
    <n v="75.240806579589801"/>
    <x v="44"/>
  </r>
  <r>
    <x v="3"/>
    <s v="School enrollment, primary (% gross)"/>
    <n v="108.185089111328"/>
    <x v="44"/>
  </r>
  <r>
    <x v="4"/>
    <s v="School enrollment, primary (% gross)"/>
    <n v="42.166999816894503"/>
    <x v="44"/>
  </r>
  <r>
    <x v="5"/>
    <s v="School enrollment, primary (% gross)"/>
    <n v="67.752471923828097"/>
    <x v="44"/>
  </r>
  <r>
    <x v="6"/>
    <s v="School enrollment, primary (% gross)"/>
    <n v="76.574058532714801"/>
    <x v="44"/>
  </r>
  <r>
    <x v="7"/>
    <s v="School enrollment, primary (% gross)"/>
    <m/>
    <x v="44"/>
  </r>
  <r>
    <x v="8"/>
    <s v="School enrollment, primary (% gross)"/>
    <n v="102.466903686523"/>
    <x v="44"/>
  </r>
  <r>
    <x v="9"/>
    <s v="School enrollment, primary (% gross)"/>
    <m/>
    <x v="44"/>
  </r>
  <r>
    <x v="10"/>
    <s v="School enrollment, primary (% gross)"/>
    <m/>
    <x v="44"/>
  </r>
  <r>
    <x v="11"/>
    <s v="School enrollment, primary (% gross)"/>
    <n v="134.49235534668"/>
    <x v="44"/>
  </r>
  <r>
    <x v="12"/>
    <s v="School enrollment, primary (% gross)"/>
    <n v="126.483940124512"/>
    <x v="44"/>
  </r>
  <r>
    <x v="13"/>
    <s v="School enrollment, primary (% gross)"/>
    <n v="70.592628479003906"/>
    <x v="44"/>
  </r>
  <r>
    <x v="14"/>
    <s v="School enrollment, primary (% gross)"/>
    <n v="99.822853088378906"/>
    <x v="44"/>
  </r>
  <r>
    <x v="15"/>
    <s v="School enrollment, primary (% gross)"/>
    <n v="90.935546875"/>
    <x v="44"/>
  </r>
  <r>
    <x v="16"/>
    <s v="School enrollment, primary (% gross)"/>
    <n v="101.84845733642599"/>
    <x v="44"/>
  </r>
  <r>
    <x v="17"/>
    <s v="School enrollment, primary (% gross)"/>
    <n v="116.68179321289099"/>
    <x v="44"/>
  </r>
  <r>
    <x v="18"/>
    <s v="School enrollment, primary (% gross)"/>
    <n v="120.03457641601599"/>
    <x v="44"/>
  </r>
  <r>
    <x v="19"/>
    <s v="School enrollment, primary (% gross)"/>
    <n v="46.634910583496101"/>
    <x v="44"/>
  </r>
  <r>
    <x v="20"/>
    <s v="School enrollment, primary (% gross)"/>
    <n v="134.87089538574199"/>
    <x v="44"/>
  </r>
  <r>
    <x v="21"/>
    <s v="School enrollment, primary (% gross)"/>
    <n v="125.723930358887"/>
    <x v="44"/>
  </r>
  <r>
    <x v="22"/>
    <s v="School enrollment, primary (% gross)"/>
    <n v="97.676086425781307"/>
    <x v="44"/>
  </r>
  <r>
    <x v="23"/>
    <s v="School enrollment, primary (% gross)"/>
    <n v="98.480987548828097"/>
    <x v="44"/>
  </r>
  <r>
    <x v="24"/>
    <s v="School enrollment, primary (% gross)"/>
    <n v="98.608963012695298"/>
    <x v="44"/>
  </r>
  <r>
    <x v="25"/>
    <s v="School enrollment, primary (% gross)"/>
    <n v="126.36733245849599"/>
    <x v="44"/>
  </r>
  <r>
    <x v="26"/>
    <s v="School enrollment, primary (% gross)"/>
    <n v="99.268241882324205"/>
    <x v="44"/>
  </r>
  <r>
    <x v="27"/>
    <s v="School enrollment, primary (% gross)"/>
    <m/>
    <x v="44"/>
  </r>
  <r>
    <x v="0"/>
    <s v="School enrollment, primary (% gross)"/>
    <n v="82.445281982421903"/>
    <x v="45"/>
  </r>
  <r>
    <x v="1"/>
    <s v="School enrollment, primary (% gross)"/>
    <n v="105.91732788085901"/>
    <x v="45"/>
  </r>
  <r>
    <x v="2"/>
    <s v="School enrollment, primary (% gross)"/>
    <n v="71.793769836425795"/>
    <x v="45"/>
  </r>
  <r>
    <x v="3"/>
    <s v="School enrollment, primary (% gross)"/>
    <m/>
    <x v="45"/>
  </r>
  <r>
    <x v="4"/>
    <s v="School enrollment, primary (% gross)"/>
    <n v="43.628551483154197"/>
    <x v="45"/>
  </r>
  <r>
    <x v="5"/>
    <s v="School enrollment, primary (% gross)"/>
    <n v="79.013397216796903"/>
    <x v="45"/>
  </r>
  <r>
    <x v="6"/>
    <s v="School enrollment, primary (% gross)"/>
    <n v="78.953163146972699"/>
    <x v="45"/>
  </r>
  <r>
    <x v="7"/>
    <s v="School enrollment, primary (% gross)"/>
    <m/>
    <x v="45"/>
  </r>
  <r>
    <x v="8"/>
    <s v="School enrollment, primary (% gross)"/>
    <n v="101.448448181152"/>
    <x v="45"/>
  </r>
  <r>
    <x v="9"/>
    <s v="School enrollment, primary (% gross)"/>
    <m/>
    <x v="45"/>
  </r>
  <r>
    <x v="10"/>
    <s v="School enrollment, primary (% gross)"/>
    <m/>
    <x v="45"/>
  </r>
  <r>
    <x v="11"/>
    <s v="School enrollment, primary (% gross)"/>
    <n v="138.89947509765599"/>
    <x v="45"/>
  </r>
  <r>
    <x v="12"/>
    <s v="School enrollment, primary (% gross)"/>
    <n v="124.28199005127"/>
    <x v="45"/>
  </r>
  <r>
    <x v="13"/>
    <s v="School enrollment, primary (% gross)"/>
    <n v="73.772521972656307"/>
    <x v="45"/>
  </r>
  <r>
    <x v="14"/>
    <s v="School enrollment, primary (% gross)"/>
    <n v="97.891311645507798"/>
    <x v="45"/>
  </r>
  <r>
    <x v="15"/>
    <s v="School enrollment, primary (% gross)"/>
    <n v="97.281959533691406"/>
    <x v="45"/>
  </r>
  <r>
    <x v="16"/>
    <s v="School enrollment, primary (% gross)"/>
    <n v="101.09796142578099"/>
    <x v="45"/>
  </r>
  <r>
    <x v="17"/>
    <s v="School enrollment, primary (% gross)"/>
    <n v="115.43051147460901"/>
    <x v="45"/>
  </r>
  <r>
    <x v="18"/>
    <s v="School enrollment, primary (% gross)"/>
    <n v="121.067008972168"/>
    <x v="45"/>
  </r>
  <r>
    <x v="19"/>
    <s v="School enrollment, primary (% gross)"/>
    <n v="48.346599578857401"/>
    <x v="45"/>
  </r>
  <r>
    <x v="20"/>
    <s v="School enrollment, primary (% gross)"/>
    <n v="137.65475463867199"/>
    <x v="45"/>
  </r>
  <r>
    <x v="21"/>
    <s v="School enrollment, primary (% gross)"/>
    <n v="126.496719360352"/>
    <x v="45"/>
  </r>
  <r>
    <x v="22"/>
    <s v="School enrollment, primary (% gross)"/>
    <n v="99.627838134765597"/>
    <x v="45"/>
  </r>
  <r>
    <x v="23"/>
    <s v="School enrollment, primary (% gross)"/>
    <n v="98.551467895507798"/>
    <x v="45"/>
  </r>
  <r>
    <x v="24"/>
    <s v="School enrollment, primary (% gross)"/>
    <n v="102.26894378662099"/>
    <x v="45"/>
  </r>
  <r>
    <x v="25"/>
    <s v="School enrollment, primary (% gross)"/>
    <n v="119.700691223145"/>
    <x v="45"/>
  </r>
  <r>
    <x v="26"/>
    <s v="School enrollment, primary (% gross)"/>
    <n v="109.916633605957"/>
    <x v="45"/>
  </r>
  <r>
    <x v="27"/>
    <s v="School enrollment, primary (% gross)"/>
    <m/>
    <x v="45"/>
  </r>
  <r>
    <x v="0"/>
    <s v="School enrollment, primary (% gross)"/>
    <n v="104.53530883789099"/>
    <x v="46"/>
  </r>
  <r>
    <x v="1"/>
    <s v="School enrollment, primary (% gross)"/>
    <n v="104.81662750244099"/>
    <x v="46"/>
  </r>
  <r>
    <x v="2"/>
    <s v="School enrollment, primary (% gross)"/>
    <n v="71.140670776367202"/>
    <x v="46"/>
  </r>
  <r>
    <x v="3"/>
    <s v="School enrollment, primary (% gross)"/>
    <m/>
    <x v="46"/>
  </r>
  <r>
    <x v="4"/>
    <s v="School enrollment, primary (% gross)"/>
    <n v="45.975189208984403"/>
    <x v="46"/>
  </r>
  <r>
    <x v="5"/>
    <s v="School enrollment, primary (% gross)"/>
    <n v="83.327651977539105"/>
    <x v="46"/>
  </r>
  <r>
    <x v="6"/>
    <s v="School enrollment, primary (% gross)"/>
    <n v="80.845321655273395"/>
    <x v="46"/>
  </r>
  <r>
    <x v="7"/>
    <s v="School enrollment, primary (% gross)"/>
    <m/>
    <x v="46"/>
  </r>
  <r>
    <x v="8"/>
    <s v="School enrollment, primary (% gross)"/>
    <n v="98.473602294921903"/>
    <x v="46"/>
  </r>
  <r>
    <x v="9"/>
    <s v="School enrollment, primary (% gross)"/>
    <m/>
    <x v="46"/>
  </r>
  <r>
    <x v="10"/>
    <s v="School enrollment, primary (% gross)"/>
    <n v="92.767227172851605"/>
    <x v="46"/>
  </r>
  <r>
    <x v="11"/>
    <s v="School enrollment, primary (% gross)"/>
    <n v="138.40580749511699"/>
    <x v="46"/>
  </r>
  <r>
    <x v="12"/>
    <s v="School enrollment, primary (% gross)"/>
    <n v="123.662841796875"/>
    <x v="46"/>
  </r>
  <r>
    <x v="13"/>
    <s v="School enrollment, primary (% gross)"/>
    <n v="76.601982116699205"/>
    <x v="46"/>
  </r>
  <r>
    <x v="14"/>
    <s v="School enrollment, primary (% gross)"/>
    <n v="96.652671813964801"/>
    <x v="46"/>
  </r>
  <r>
    <x v="15"/>
    <s v="School enrollment, primary (% gross)"/>
    <n v="99.336883544921903"/>
    <x v="46"/>
  </r>
  <r>
    <x v="16"/>
    <s v="School enrollment, primary (% gross)"/>
    <n v="100.61353302002"/>
    <x v="46"/>
  </r>
  <r>
    <x v="17"/>
    <s v="School enrollment, primary (% gross)"/>
    <n v="128.13064575195301"/>
    <x v="46"/>
  </r>
  <r>
    <x v="18"/>
    <s v="School enrollment, primary (% gross)"/>
    <n v="124.766891479492"/>
    <x v="46"/>
  </r>
  <r>
    <x v="19"/>
    <s v="School enrollment, primary (% gross)"/>
    <n v="48.969661712646499"/>
    <x v="46"/>
  </r>
  <r>
    <x v="20"/>
    <s v="School enrollment, primary (% gross)"/>
    <n v="144.42640686035199"/>
    <x v="46"/>
  </r>
  <r>
    <x v="21"/>
    <s v="School enrollment, primary (% gross)"/>
    <m/>
    <x v="46"/>
  </r>
  <r>
    <x v="22"/>
    <s v="School enrollment, primary (% gross)"/>
    <n v="98.978378295898395"/>
    <x v="46"/>
  </r>
  <r>
    <x v="23"/>
    <s v="School enrollment, primary (% gross)"/>
    <n v="97.511810302734403"/>
    <x v="46"/>
  </r>
  <r>
    <x v="24"/>
    <s v="School enrollment, primary (% gross)"/>
    <n v="105.13916015625"/>
    <x v="46"/>
  </r>
  <r>
    <x v="25"/>
    <s v="School enrollment, primary (% gross)"/>
    <n v="118.017143249512"/>
    <x v="46"/>
  </r>
  <r>
    <x v="26"/>
    <s v="School enrollment, primary (% gross)"/>
    <n v="110.878799438477"/>
    <x v="46"/>
  </r>
  <r>
    <x v="27"/>
    <s v="School enrollment, primary (% gross)"/>
    <m/>
    <x v="46"/>
  </r>
  <r>
    <x v="0"/>
    <s v="School enrollment, primary (% gross)"/>
    <n v="116.600448608398"/>
    <x v="47"/>
  </r>
  <r>
    <x v="1"/>
    <s v="School enrollment, primary (% gross)"/>
    <n v="106.826202392578"/>
    <x v="47"/>
  </r>
  <r>
    <x v="2"/>
    <s v="School enrollment, primary (% gross)"/>
    <n v="70.027030944824205"/>
    <x v="47"/>
  </r>
  <r>
    <x v="3"/>
    <s v="School enrollment, primary (% gross)"/>
    <n v="103.973182678223"/>
    <x v="47"/>
  </r>
  <r>
    <x v="4"/>
    <s v="School enrollment, primary (% gross)"/>
    <n v="48.214511871337898"/>
    <x v="47"/>
  </r>
  <r>
    <x v="5"/>
    <s v="School enrollment, primary (% gross)"/>
    <n v="89.165466308593807"/>
    <x v="47"/>
  </r>
  <r>
    <x v="6"/>
    <s v="School enrollment, primary (% gross)"/>
    <n v="83.056709289550795"/>
    <x v="47"/>
  </r>
  <r>
    <x v="7"/>
    <s v="School enrollment, primary (% gross)"/>
    <m/>
    <x v="47"/>
  </r>
  <r>
    <x v="8"/>
    <s v="School enrollment, primary (% gross)"/>
    <n v="104.692489624023"/>
    <x v="47"/>
  </r>
  <r>
    <x v="9"/>
    <s v="School enrollment, primary (% gross)"/>
    <m/>
    <x v="47"/>
  </r>
  <r>
    <x v="10"/>
    <s v="School enrollment, primary (% gross)"/>
    <m/>
    <x v="47"/>
  </r>
  <r>
    <x v="11"/>
    <s v="School enrollment, primary (% gross)"/>
    <n v="139.23677062988301"/>
    <x v="47"/>
  </r>
  <r>
    <x v="12"/>
    <s v="School enrollment, primary (% gross)"/>
    <n v="120.75685882568401"/>
    <x v="47"/>
  </r>
  <r>
    <x v="13"/>
    <s v="School enrollment, primary (% gross)"/>
    <n v="79.137748718261705"/>
    <x v="47"/>
  </r>
  <r>
    <x v="14"/>
    <s v="School enrollment, primary (% gross)"/>
    <n v="94.417678833007798"/>
    <x v="47"/>
  </r>
  <r>
    <x v="15"/>
    <s v="School enrollment, primary (% gross)"/>
    <n v="105.065872192383"/>
    <x v="47"/>
  </r>
  <r>
    <x v="16"/>
    <s v="School enrollment, primary (% gross)"/>
    <n v="100.420463562012"/>
    <x v="47"/>
  </r>
  <r>
    <x v="17"/>
    <s v="School enrollment, primary (% gross)"/>
    <n v="128.23341369628901"/>
    <x v="47"/>
  </r>
  <r>
    <x v="18"/>
    <s v="School enrollment, primary (% gross)"/>
    <n v="124.08998870849599"/>
    <x v="47"/>
  </r>
  <r>
    <x v="19"/>
    <s v="School enrollment, primary (% gross)"/>
    <n v="51.444580078125"/>
    <x v="47"/>
  </r>
  <r>
    <x v="20"/>
    <s v="School enrollment, primary (% gross)"/>
    <n v="148.12419128418"/>
    <x v="47"/>
  </r>
  <r>
    <x v="21"/>
    <s v="School enrollment, primary (% gross)"/>
    <n v="119.275917053223"/>
    <x v="47"/>
  </r>
  <r>
    <x v="22"/>
    <s v="School enrollment, primary (% gross)"/>
    <n v="98.392158508300795"/>
    <x v="47"/>
  </r>
  <r>
    <x v="23"/>
    <s v="School enrollment, primary (% gross)"/>
    <n v="96.126312255859403"/>
    <x v="47"/>
  </r>
  <r>
    <x v="24"/>
    <s v="School enrollment, primary (% gross)"/>
    <n v="106.64923095703099"/>
    <x v="47"/>
  </r>
  <r>
    <x v="25"/>
    <s v="School enrollment, primary (% gross)"/>
    <n v="116.71246337890599"/>
    <x v="47"/>
  </r>
  <r>
    <x v="26"/>
    <s v="School enrollment, primary (% gross)"/>
    <n v="111.738250732422"/>
    <x v="47"/>
  </r>
  <r>
    <x v="27"/>
    <s v="School enrollment, primary (% gross)"/>
    <m/>
    <x v="47"/>
  </r>
  <r>
    <x v="0"/>
    <s v="School enrollment, primary (% gross)"/>
    <n v="124.14427947998"/>
    <x v="48"/>
  </r>
  <r>
    <x v="1"/>
    <s v="School enrollment, primary (% gross)"/>
    <n v="106.96159362793"/>
    <x v="48"/>
  </r>
  <r>
    <x v="2"/>
    <s v="School enrollment, primary (% gross)"/>
    <n v="78.040466308593807"/>
    <x v="48"/>
  </r>
  <r>
    <x v="3"/>
    <s v="School enrollment, primary (% gross)"/>
    <n v="108.641242980957"/>
    <x v="48"/>
  </r>
  <r>
    <x v="4"/>
    <s v="School enrollment, primary (% gross)"/>
    <n v="57.068408966064503"/>
    <x v="48"/>
  </r>
  <r>
    <x v="5"/>
    <s v="School enrollment, primary (% gross)"/>
    <n v="94.822853088378906"/>
    <x v="48"/>
  </r>
  <r>
    <x v="6"/>
    <s v="School enrollment, primary (% gross)"/>
    <n v="84.2161865234375"/>
    <x v="48"/>
  </r>
  <r>
    <x v="7"/>
    <s v="School enrollment, primary (% gross)"/>
    <m/>
    <x v="48"/>
  </r>
  <r>
    <x v="8"/>
    <s v="School enrollment, primary (% gross)"/>
    <n v="104.655082702637"/>
    <x v="48"/>
  </r>
  <r>
    <x v="9"/>
    <s v="School enrollment, primary (% gross)"/>
    <m/>
    <x v="48"/>
  </r>
  <r>
    <x v="10"/>
    <s v="School enrollment, primary (% gross)"/>
    <n v="93.500526428222699"/>
    <x v="48"/>
  </r>
  <r>
    <x v="11"/>
    <s v="School enrollment, primary (% gross)"/>
    <n v="142.00489807128901"/>
    <x v="48"/>
  </r>
  <r>
    <x v="12"/>
    <s v="School enrollment, primary (% gross)"/>
    <n v="127.77651214599599"/>
    <x v="48"/>
  </r>
  <r>
    <x v="13"/>
    <s v="School enrollment, primary (% gross)"/>
    <n v="81.132621765136705"/>
    <x v="48"/>
  </r>
  <r>
    <x v="14"/>
    <s v="School enrollment, primary (% gross)"/>
    <n v="94.029869079589801"/>
    <x v="48"/>
  </r>
  <r>
    <x v="15"/>
    <s v="School enrollment, primary (% gross)"/>
    <n v="109.053901672363"/>
    <x v="48"/>
  </r>
  <r>
    <x v="16"/>
    <s v="School enrollment, primary (% gross)"/>
    <n v="101.010871887207"/>
    <x v="48"/>
  </r>
  <r>
    <x v="17"/>
    <s v="School enrollment, primary (% gross)"/>
    <n v="125.824020385742"/>
    <x v="48"/>
  </r>
  <r>
    <x v="18"/>
    <s v="School enrollment, primary (% gross)"/>
    <n v="124.01634216308599"/>
    <x v="48"/>
  </r>
  <r>
    <x v="19"/>
    <s v="School enrollment, primary (% gross)"/>
    <n v="55.274631500244098"/>
    <x v="48"/>
  </r>
  <r>
    <x v="20"/>
    <s v="School enrollment, primary (% gross)"/>
    <n v="145.931716918945"/>
    <x v="48"/>
  </r>
  <r>
    <x v="21"/>
    <s v="School enrollment, primary (% gross)"/>
    <n v="120.01473236084"/>
    <x v="48"/>
  </r>
  <r>
    <x v="22"/>
    <s v="School enrollment, primary (% gross)"/>
    <n v="97.420326232910199"/>
    <x v="48"/>
  </r>
  <r>
    <x v="23"/>
    <s v="School enrollment, primary (% gross)"/>
    <n v="98.091857910156307"/>
    <x v="48"/>
  </r>
  <r>
    <x v="24"/>
    <s v="School enrollment, primary (% gross)"/>
    <n v="107.05413055419901"/>
    <x v="48"/>
  </r>
  <r>
    <x v="25"/>
    <s v="School enrollment, primary (% gross)"/>
    <n v="119.03562927246099"/>
    <x v="48"/>
  </r>
  <r>
    <x v="26"/>
    <s v="School enrollment, primary (% gross)"/>
    <n v="112.65753173828099"/>
    <x v="48"/>
  </r>
  <r>
    <x v="27"/>
    <s v="School enrollment, primary (% gross)"/>
    <m/>
    <x v="48"/>
  </r>
  <r>
    <x v="0"/>
    <s v="School enrollment, primary (% gross)"/>
    <n v="133.04539489746099"/>
    <x v="49"/>
  </r>
  <r>
    <x v="1"/>
    <s v="School enrollment, primary (% gross)"/>
    <n v="108.961387634277"/>
    <x v="49"/>
  </r>
  <r>
    <x v="2"/>
    <s v="School enrollment, primary (% gross)"/>
    <n v="82.384216308593807"/>
    <x v="49"/>
  </r>
  <r>
    <x v="3"/>
    <s v="School enrollment, primary (% gross)"/>
    <m/>
    <x v="49"/>
  </r>
  <r>
    <x v="4"/>
    <s v="School enrollment, primary (% gross)"/>
    <n v="55.997341156005902"/>
    <x v="49"/>
  </r>
  <r>
    <x v="5"/>
    <s v="School enrollment, primary (% gross)"/>
    <n v="93.502357482910199"/>
    <x v="49"/>
  </r>
  <r>
    <x v="6"/>
    <s v="School enrollment, primary (% gross)"/>
    <n v="83.9251708984375"/>
    <x v="49"/>
  </r>
  <r>
    <x v="7"/>
    <s v="School enrollment, primary (% gross)"/>
    <m/>
    <x v="49"/>
  </r>
  <r>
    <x v="8"/>
    <s v="School enrollment, primary (% gross)"/>
    <n v="106.344650268555"/>
    <x v="49"/>
  </r>
  <r>
    <x v="9"/>
    <s v="School enrollment, primary (% gross)"/>
    <m/>
    <x v="49"/>
  </r>
  <r>
    <x v="10"/>
    <s v="School enrollment, primary (% gross)"/>
    <n v="99.895851135253906"/>
    <x v="49"/>
  </r>
  <r>
    <x v="11"/>
    <s v="School enrollment, primary (% gross)"/>
    <n v="149.30729675293"/>
    <x v="49"/>
  </r>
  <r>
    <x v="12"/>
    <s v="School enrollment, primary (% gross)"/>
    <n v="126.50933837890599"/>
    <x v="49"/>
  </r>
  <r>
    <x v="13"/>
    <s v="School enrollment, primary (% gross)"/>
    <n v="82.5794677734375"/>
    <x v="49"/>
  </r>
  <r>
    <x v="14"/>
    <s v="School enrollment, primary (% gross)"/>
    <n v="93.577560424804702"/>
    <x v="49"/>
  </r>
  <r>
    <x v="15"/>
    <s v="School enrollment, primary (% gross)"/>
    <n v="109.191841125488"/>
    <x v="49"/>
  </r>
  <r>
    <x v="16"/>
    <s v="School enrollment, primary (% gross)"/>
    <n v="99.316703796386705"/>
    <x v="49"/>
  </r>
  <r>
    <x v="17"/>
    <s v="School enrollment, primary (% gross)"/>
    <n v="137.218017578125"/>
    <x v="49"/>
  </r>
  <r>
    <x v="18"/>
    <s v="School enrollment, primary (% gross)"/>
    <m/>
    <x v="49"/>
  </r>
  <r>
    <x v="19"/>
    <s v="School enrollment, primary (% gross)"/>
    <n v="59.026599884033203"/>
    <x v="49"/>
  </r>
  <r>
    <x v="20"/>
    <s v="School enrollment, primary (% gross)"/>
    <n v="146.524002075195"/>
    <x v="49"/>
  </r>
  <r>
    <x v="21"/>
    <s v="School enrollment, primary (% gross)"/>
    <n v="120.481369018555"/>
    <x v="49"/>
  </r>
  <r>
    <x v="22"/>
    <s v="School enrollment, primary (% gross)"/>
    <n v="95.0826416015625"/>
    <x v="49"/>
  </r>
  <r>
    <x v="23"/>
    <s v="School enrollment, primary (% gross)"/>
    <n v="98.257881164550795"/>
    <x v="49"/>
  </r>
  <r>
    <x v="24"/>
    <s v="School enrollment, primary (% gross)"/>
    <n v="101.170852661133"/>
    <x v="49"/>
  </r>
  <r>
    <x v="25"/>
    <s v="School enrollment, primary (% gross)"/>
    <n v="119.74260711669901"/>
    <x v="49"/>
  </r>
  <r>
    <x v="26"/>
    <s v="School enrollment, primary (% gross)"/>
    <n v="106.407913208008"/>
    <x v="49"/>
  </r>
  <r>
    <x v="27"/>
    <s v="School enrollment, primary (% gross)"/>
    <m/>
    <x v="49"/>
  </r>
  <r>
    <x v="0"/>
    <s v="School enrollment, primary (% gross)"/>
    <n v="139.34765625"/>
    <x v="50"/>
  </r>
  <r>
    <x v="1"/>
    <s v="School enrollment, primary (% gross)"/>
    <n v="110.93279266357401"/>
    <x v="50"/>
  </r>
  <r>
    <x v="2"/>
    <s v="School enrollment, primary (% gross)"/>
    <n v="82.422821044921903"/>
    <x v="50"/>
  </r>
  <r>
    <x v="3"/>
    <s v="School enrollment, primary (% gross)"/>
    <m/>
    <x v="50"/>
  </r>
  <r>
    <x v="4"/>
    <s v="School enrollment, primary (% gross)"/>
    <m/>
    <x v="50"/>
  </r>
  <r>
    <x v="5"/>
    <s v="School enrollment, primary (% gross)"/>
    <n v="91.775962829589801"/>
    <x v="50"/>
  </r>
  <r>
    <x v="6"/>
    <s v="School enrollment, primary (% gross)"/>
    <n v="85.903762817382798"/>
    <x v="50"/>
  </r>
  <r>
    <x v="7"/>
    <s v="School enrollment, primary (% gross)"/>
    <m/>
    <x v="50"/>
  </r>
  <r>
    <x v="8"/>
    <s v="School enrollment, primary (% gross)"/>
    <m/>
    <x v="50"/>
  </r>
  <r>
    <x v="9"/>
    <s v="School enrollment, primary (% gross)"/>
    <m/>
    <x v="50"/>
  </r>
  <r>
    <x v="10"/>
    <s v="School enrollment, primary (% gross)"/>
    <m/>
    <x v="50"/>
  </r>
  <r>
    <x v="11"/>
    <s v="School enrollment, primary (% gross)"/>
    <n v="143.71780395507801"/>
    <x v="50"/>
  </r>
  <r>
    <x v="12"/>
    <s v="School enrollment, primary (% gross)"/>
    <n v="133.02116394043"/>
    <x v="50"/>
  </r>
  <r>
    <x v="13"/>
    <s v="School enrollment, primary (% gross)"/>
    <n v="83.304862976074205"/>
    <x v="50"/>
  </r>
  <r>
    <x v="14"/>
    <s v="School enrollment, primary (% gross)"/>
    <n v="93.540779113769503"/>
    <x v="50"/>
  </r>
  <r>
    <x v="15"/>
    <s v="School enrollment, primary (% gross)"/>
    <n v="110.11872100830099"/>
    <x v="50"/>
  </r>
  <r>
    <x v="16"/>
    <s v="School enrollment, primary (% gross)"/>
    <n v="98.738609313964801"/>
    <x v="50"/>
  </r>
  <r>
    <x v="17"/>
    <s v="School enrollment, primary (% gross)"/>
    <n v="142.11561584472699"/>
    <x v="50"/>
  </r>
  <r>
    <x v="18"/>
    <s v="School enrollment, primary (% gross)"/>
    <n v="123.25885772705099"/>
    <x v="50"/>
  </r>
  <r>
    <x v="19"/>
    <s v="School enrollment, primary (% gross)"/>
    <n v="62.673660278320298"/>
    <x v="50"/>
  </r>
  <r>
    <x v="20"/>
    <s v="School enrollment, primary (% gross)"/>
    <n v="145.11064147949199"/>
    <x v="50"/>
  </r>
  <r>
    <x v="21"/>
    <s v="School enrollment, primary (% gross)"/>
    <n v="117.694137573242"/>
    <x v="50"/>
  </r>
  <r>
    <x v="22"/>
    <s v="School enrollment, primary (% gross)"/>
    <n v="99.706413269042997"/>
    <x v="50"/>
  </r>
  <r>
    <x v="23"/>
    <s v="School enrollment, primary (% gross)"/>
    <n v="99.224777221679702"/>
    <x v="50"/>
  </r>
  <r>
    <x v="24"/>
    <s v="School enrollment, primary (% gross)"/>
    <n v="97.398490905761705"/>
    <x v="50"/>
  </r>
  <r>
    <x v="25"/>
    <s v="School enrollment, primary (% gross)"/>
    <n v="116.78662109375"/>
    <x v="50"/>
  </r>
  <r>
    <x v="26"/>
    <s v="School enrollment, primary (% gross)"/>
    <n v="105.18801116943401"/>
    <x v="50"/>
  </r>
  <r>
    <x v="27"/>
    <s v="School enrollment, primary (% gross)"/>
    <m/>
    <x v="50"/>
  </r>
  <r>
    <x v="0"/>
    <s v="School enrollment, primary (% gross)"/>
    <n v="143.91371154785199"/>
    <x v="51"/>
  </r>
  <r>
    <x v="1"/>
    <s v="School enrollment, primary (% gross)"/>
    <n v="110.088912963867"/>
    <x v="51"/>
  </r>
  <r>
    <x v="2"/>
    <s v="School enrollment, primary (% gross)"/>
    <n v="89.319717407226605"/>
    <x v="51"/>
  </r>
  <r>
    <x v="3"/>
    <s v="School enrollment, primary (% gross)"/>
    <n v="108.02465057373"/>
    <x v="51"/>
  </r>
  <r>
    <x v="4"/>
    <s v="School enrollment, primary (% gross)"/>
    <n v="61.342880249023402"/>
    <x v="51"/>
  </r>
  <r>
    <x v="5"/>
    <s v="School enrollment, primary (% gross)"/>
    <n v="94.500572204589801"/>
    <x v="51"/>
  </r>
  <r>
    <x v="6"/>
    <s v="School enrollment, primary (% gross)"/>
    <n v="88.998863220214801"/>
    <x v="51"/>
  </r>
  <r>
    <x v="7"/>
    <s v="School enrollment, primary (% gross)"/>
    <m/>
    <x v="51"/>
  </r>
  <r>
    <x v="8"/>
    <s v="School enrollment, primary (% gross)"/>
    <m/>
    <x v="51"/>
  </r>
  <r>
    <x v="9"/>
    <s v="School enrollment, primary (% gross)"/>
    <m/>
    <x v="51"/>
  </r>
  <r>
    <x v="10"/>
    <s v="School enrollment, primary (% gross)"/>
    <n v="102.641151428223"/>
    <x v="51"/>
  </r>
  <r>
    <x v="11"/>
    <s v="School enrollment, primary (% gross)"/>
    <n v="143.41189575195301"/>
    <x v="51"/>
  </r>
  <r>
    <x v="12"/>
    <s v="School enrollment, primary (% gross)"/>
    <n v="135.15811157226599"/>
    <x v="51"/>
  </r>
  <r>
    <x v="13"/>
    <s v="School enrollment, primary (% gross)"/>
    <n v="84.079528808593807"/>
    <x v="51"/>
  </r>
  <r>
    <x v="14"/>
    <s v="School enrollment, primary (% gross)"/>
    <n v="93.602981567382798"/>
    <x v="51"/>
  </r>
  <r>
    <x v="15"/>
    <s v="School enrollment, primary (% gross)"/>
    <n v="106.148429870605"/>
    <x v="51"/>
  </r>
  <r>
    <x v="16"/>
    <s v="School enrollment, primary (% gross)"/>
    <m/>
    <x v="51"/>
  </r>
  <r>
    <x v="17"/>
    <s v="School enrollment, primary (% gross)"/>
    <n v="145.12808227539099"/>
    <x v="51"/>
  </r>
  <r>
    <x v="18"/>
    <s v="School enrollment, primary (% gross)"/>
    <m/>
    <x v="51"/>
  </r>
  <r>
    <x v="19"/>
    <s v="School enrollment, primary (% gross)"/>
    <n v="66.491989135742202"/>
    <x v="51"/>
  </r>
  <r>
    <x v="20"/>
    <s v="School enrollment, primary (% gross)"/>
    <n v="144.36448669433599"/>
    <x v="51"/>
  </r>
  <r>
    <x v="21"/>
    <s v="School enrollment, primary (% gross)"/>
    <n v="117.770866394043"/>
    <x v="51"/>
  </r>
  <r>
    <x v="22"/>
    <s v="School enrollment, primary (% gross)"/>
    <n v="99.733062744140597"/>
    <x v="51"/>
  </r>
  <r>
    <x v="23"/>
    <s v="School enrollment, primary (% gross)"/>
    <n v="98.852081298828097"/>
    <x v="51"/>
  </r>
  <r>
    <x v="24"/>
    <s v="School enrollment, primary (% gross)"/>
    <n v="92.019668579101605"/>
    <x v="51"/>
  </r>
  <r>
    <x v="25"/>
    <s v="School enrollment, primary (% gross)"/>
    <n v="109.088729858398"/>
    <x v="51"/>
  </r>
  <r>
    <x v="26"/>
    <s v="School enrollment, primary (% gross)"/>
    <n v="106.679229736328"/>
    <x v="51"/>
  </r>
  <r>
    <x v="27"/>
    <s v="School enrollment, primary (% gross)"/>
    <m/>
    <x v="51"/>
  </r>
  <r>
    <x v="0"/>
    <s v="School enrollment, primary (% gross)"/>
    <n v="142.70370483398401"/>
    <x v="52"/>
  </r>
  <r>
    <x v="1"/>
    <s v="School enrollment, primary (% gross)"/>
    <n v="114.635818481445"/>
    <x v="52"/>
  </r>
  <r>
    <x v="2"/>
    <s v="School enrollment, primary (% gross)"/>
    <n v="93.711669921875"/>
    <x v="52"/>
  </r>
  <r>
    <x v="3"/>
    <s v="School enrollment, primary (% gross)"/>
    <m/>
    <x v="52"/>
  </r>
  <r>
    <x v="4"/>
    <s v="School enrollment, primary (% gross)"/>
    <n v="63.940650939941399"/>
    <x v="52"/>
  </r>
  <r>
    <x v="5"/>
    <s v="School enrollment, primary (% gross)"/>
    <n v="94.550750732421903"/>
    <x v="52"/>
  </r>
  <r>
    <x v="6"/>
    <s v="School enrollment, primary (% gross)"/>
    <n v="90.722976684570298"/>
    <x v="52"/>
  </r>
  <r>
    <x v="7"/>
    <s v="School enrollment, primary (% gross)"/>
    <m/>
    <x v="52"/>
  </r>
  <r>
    <x v="8"/>
    <s v="School enrollment, primary (% gross)"/>
    <n v="111.962211608887"/>
    <x v="52"/>
  </r>
  <r>
    <x v="9"/>
    <s v="School enrollment, primary (% gross)"/>
    <m/>
    <x v="52"/>
  </r>
  <r>
    <x v="10"/>
    <s v="School enrollment, primary (% gross)"/>
    <m/>
    <x v="52"/>
  </r>
  <r>
    <x v="11"/>
    <s v="School enrollment, primary (% gross)"/>
    <n v="143.97837829589801"/>
    <x v="52"/>
  </r>
  <r>
    <x v="12"/>
    <s v="School enrollment, primary (% gross)"/>
    <n v="136.28593444824199"/>
    <x v="52"/>
  </r>
  <r>
    <x v="13"/>
    <s v="School enrollment, primary (% gross)"/>
    <n v="80.802307128906307"/>
    <x v="52"/>
  </r>
  <r>
    <x v="14"/>
    <s v="School enrollment, primary (% gross)"/>
    <n v="93.7979736328125"/>
    <x v="52"/>
  </r>
  <r>
    <x v="15"/>
    <s v="School enrollment, primary (% gross)"/>
    <n v="104.95319366455099"/>
    <x v="52"/>
  </r>
  <r>
    <x v="16"/>
    <s v="School enrollment, primary (% gross)"/>
    <m/>
    <x v="52"/>
  </r>
  <r>
    <x v="17"/>
    <s v="School enrollment, primary (% gross)"/>
    <n v="142.26579284668"/>
    <x v="52"/>
  </r>
  <r>
    <x v="18"/>
    <s v="School enrollment, primary (% gross)"/>
    <m/>
    <x v="52"/>
  </r>
  <r>
    <x v="19"/>
    <s v="School enrollment, primary (% gross)"/>
    <n v="68.523590087890597"/>
    <x v="52"/>
  </r>
  <r>
    <x v="20"/>
    <s v="School enrollment, primary (% gross)"/>
    <n v="144.00294494628901"/>
    <x v="52"/>
  </r>
  <r>
    <x v="21"/>
    <s v="School enrollment, primary (% gross)"/>
    <n v="109.95652770996099"/>
    <x v="52"/>
  </r>
  <r>
    <x v="22"/>
    <s v="School enrollment, primary (% gross)"/>
    <n v="100.07356262207"/>
    <x v="52"/>
  </r>
  <r>
    <x v="23"/>
    <s v="School enrollment, primary (% gross)"/>
    <n v="98.744590759277301"/>
    <x v="52"/>
  </r>
  <r>
    <x v="24"/>
    <s v="School enrollment, primary (% gross)"/>
    <n v="88.756660461425795"/>
    <x v="52"/>
  </r>
  <r>
    <x v="25"/>
    <s v="School enrollment, primary (% gross)"/>
    <n v="108.44606781005901"/>
    <x v="52"/>
  </r>
  <r>
    <x v="26"/>
    <s v="School enrollment, primary (% gross)"/>
    <n v="107.228652954102"/>
    <x v="52"/>
  </r>
  <r>
    <x v="27"/>
    <s v="School enrollment, primary (% gross)"/>
    <n v="101.243461608887"/>
    <x v="52"/>
  </r>
  <r>
    <x v="0"/>
    <s v="School enrollment, primary (% gross)"/>
    <n v="140.344650268555"/>
    <x v="53"/>
  </r>
  <r>
    <x v="1"/>
    <s v="School enrollment, primary (% gross)"/>
    <m/>
    <x v="53"/>
  </r>
  <r>
    <x v="2"/>
    <s v="School enrollment, primary (% gross)"/>
    <n v="101.13996887207"/>
    <x v="53"/>
  </r>
  <r>
    <x v="3"/>
    <s v="School enrollment, primary (% gross)"/>
    <n v="107.031791687012"/>
    <x v="53"/>
  </r>
  <r>
    <x v="4"/>
    <s v="School enrollment, primary (% gross)"/>
    <n v="63.824989318847699"/>
    <x v="53"/>
  </r>
  <r>
    <x v="5"/>
    <s v="School enrollment, primary (% gross)"/>
    <m/>
    <x v="53"/>
  </r>
  <r>
    <x v="6"/>
    <s v="School enrollment, primary (% gross)"/>
    <n v="92.470573425292997"/>
    <x v="53"/>
  </r>
  <r>
    <x v="7"/>
    <s v="School enrollment, primary (% gross)"/>
    <m/>
    <x v="53"/>
  </r>
  <r>
    <x v="8"/>
    <s v="School enrollment, primary (% gross)"/>
    <m/>
    <x v="53"/>
  </r>
  <r>
    <x v="9"/>
    <s v="School enrollment, primary (% gross)"/>
    <m/>
    <x v="53"/>
  </r>
  <r>
    <x v="10"/>
    <s v="School enrollment, primary (% gross)"/>
    <m/>
    <x v="53"/>
  </r>
  <r>
    <x v="11"/>
    <s v="School enrollment, primary (% gross)"/>
    <n v="143.89527893066401"/>
    <x v="53"/>
  </r>
  <r>
    <x v="12"/>
    <s v="School enrollment, primary (% gross)"/>
    <n v="141.74713134765599"/>
    <x v="53"/>
  </r>
  <r>
    <x v="13"/>
    <s v="School enrollment, primary (% gross)"/>
    <n v="75.967460632324205"/>
    <x v="53"/>
  </r>
  <r>
    <x v="14"/>
    <s v="School enrollment, primary (% gross)"/>
    <n v="93.768310546875"/>
    <x v="53"/>
  </r>
  <r>
    <x v="15"/>
    <s v="School enrollment, primary (% gross)"/>
    <n v="105.84597015380901"/>
    <x v="53"/>
  </r>
  <r>
    <x v="16"/>
    <s v="School enrollment, primary (% gross)"/>
    <m/>
    <x v="53"/>
  </r>
  <r>
    <x v="17"/>
    <s v="School enrollment, primary (% gross)"/>
    <n v="138.07278442382801"/>
    <x v="53"/>
  </r>
  <r>
    <x v="18"/>
    <s v="School enrollment, primary (% gross)"/>
    <m/>
    <x v="53"/>
  </r>
  <r>
    <x v="19"/>
    <s v="School enrollment, primary (% gross)"/>
    <n v="69.352508544921903"/>
    <x v="53"/>
  </r>
  <r>
    <x v="20"/>
    <s v="School enrollment, primary (% gross)"/>
    <n v="140.52755737304699"/>
    <x v="53"/>
  </r>
  <r>
    <x v="21"/>
    <s v="School enrollment, primary (% gross)"/>
    <n v="109.90065002441401"/>
    <x v="53"/>
  </r>
  <r>
    <x v="22"/>
    <s v="School enrollment, primary (% gross)"/>
    <n v="100.616340637207"/>
    <x v="53"/>
  </r>
  <r>
    <x v="23"/>
    <s v="School enrollment, primary (% gross)"/>
    <n v="98.519973754882798"/>
    <x v="53"/>
  </r>
  <r>
    <x v="24"/>
    <s v="School enrollment, primary (% gross)"/>
    <n v="85.543251037597699"/>
    <x v="53"/>
  </r>
  <r>
    <x v="25"/>
    <s v="School enrollment, primary (% gross)"/>
    <n v="106.606521606445"/>
    <x v="53"/>
  </r>
  <r>
    <x v="26"/>
    <s v="School enrollment, primary (% gross)"/>
    <n v="102.334091186523"/>
    <x v="53"/>
  </r>
  <r>
    <x v="27"/>
    <s v="School enrollment, primary (% gross)"/>
    <n v="98.694198608398395"/>
    <x v="53"/>
  </r>
  <r>
    <x v="0"/>
    <s v="School enrollment, primary (% gross)"/>
    <n v="137.898849487305"/>
    <x v="54"/>
  </r>
  <r>
    <x v="1"/>
    <s v="School enrollment, primary (% gross)"/>
    <n v="116.243202209473"/>
    <x v="54"/>
  </r>
  <r>
    <x v="2"/>
    <s v="School enrollment, primary (% gross)"/>
    <n v="102.74683380127"/>
    <x v="54"/>
  </r>
  <r>
    <x v="3"/>
    <s v="School enrollment, primary (% gross)"/>
    <n v="104.974891662598"/>
    <x v="54"/>
  </r>
  <r>
    <x v="4"/>
    <s v="School enrollment, primary (% gross)"/>
    <n v="65.1153564453125"/>
    <x v="54"/>
  </r>
  <r>
    <x v="5"/>
    <s v="School enrollment, primary (% gross)"/>
    <n v="99.923202514648395"/>
    <x v="54"/>
  </r>
  <r>
    <x v="6"/>
    <s v="School enrollment, primary (% gross)"/>
    <n v="93.927101135253906"/>
    <x v="54"/>
  </r>
  <r>
    <x v="7"/>
    <s v="School enrollment, primary (% gross)"/>
    <m/>
    <x v="54"/>
  </r>
  <r>
    <x v="8"/>
    <s v="School enrollment, primary (% gross)"/>
    <n v="108.107093811035"/>
    <x v="54"/>
  </r>
  <r>
    <x v="9"/>
    <s v="School enrollment, primary (% gross)"/>
    <m/>
    <x v="54"/>
  </r>
  <r>
    <x v="10"/>
    <s v="School enrollment, primary (% gross)"/>
    <n v="95.8603515625"/>
    <x v="54"/>
  </r>
  <r>
    <x v="11"/>
    <s v="School enrollment, primary (% gross)"/>
    <n v="145.24914550781301"/>
    <x v="54"/>
  </r>
  <r>
    <x v="12"/>
    <s v="School enrollment, primary (% gross)"/>
    <n v="142.23352050781301"/>
    <x v="54"/>
  </r>
  <r>
    <x v="13"/>
    <s v="School enrollment, primary (% gross)"/>
    <n v="76.982360839843807"/>
    <x v="54"/>
  </r>
  <r>
    <x v="14"/>
    <s v="School enrollment, primary (% gross)"/>
    <n v="93.064216613769503"/>
    <x v="54"/>
  </r>
  <r>
    <x v="15"/>
    <s v="School enrollment, primary (% gross)"/>
    <n v="105.46779632568401"/>
    <x v="54"/>
  </r>
  <r>
    <x v="16"/>
    <s v="School enrollment, primary (% gross)"/>
    <n v="101.872611999512"/>
    <x v="54"/>
  </r>
  <r>
    <x v="17"/>
    <s v="School enrollment, primary (% gross)"/>
    <n v="134.75445556640599"/>
    <x v="54"/>
  </r>
  <r>
    <x v="18"/>
    <s v="School enrollment, primary (% gross)"/>
    <m/>
    <x v="54"/>
  </r>
  <r>
    <x v="19"/>
    <s v="School enrollment, primary (% gross)"/>
    <n v="69.791442871093807"/>
    <x v="54"/>
  </r>
  <r>
    <x v="20"/>
    <s v="School enrollment, primary (% gross)"/>
    <n v="136.44293212890599"/>
    <x v="54"/>
  </r>
  <r>
    <x v="21"/>
    <s v="School enrollment, primary (% gross)"/>
    <n v="106.928512573242"/>
    <x v="54"/>
  </r>
  <r>
    <x v="22"/>
    <s v="School enrollment, primary (% gross)"/>
    <n v="101.24333953857401"/>
    <x v="54"/>
  </r>
  <r>
    <x v="23"/>
    <s v="School enrollment, primary (% gross)"/>
    <n v="95.894538879394503"/>
    <x v="54"/>
  </r>
  <r>
    <x v="24"/>
    <s v="School enrollment, primary (% gross)"/>
    <n v="82.624557495117202"/>
    <x v="54"/>
  </r>
  <r>
    <x v="25"/>
    <s v="School enrollment, primary (% gross)"/>
    <m/>
    <x v="54"/>
  </r>
  <r>
    <x v="26"/>
    <s v="School enrollment, primary (% gross)"/>
    <m/>
    <x v="54"/>
  </r>
  <r>
    <x v="27"/>
    <s v="School enrollment, primary (% gross)"/>
    <m/>
    <x v="54"/>
  </r>
  <r>
    <x v="0"/>
    <s v="School enrollment, primary (% gross)"/>
    <n v="134.17803955078099"/>
    <x v="55"/>
  </r>
  <r>
    <x v="1"/>
    <s v="School enrollment, primary (% gross)"/>
    <n v="119.238357543945"/>
    <x v="55"/>
  </r>
  <r>
    <x v="2"/>
    <s v="School enrollment, primary (% gross)"/>
    <n v="92.765327453613295"/>
    <x v="55"/>
  </r>
  <r>
    <x v="3"/>
    <s v="School enrollment, primary (% gross)"/>
    <m/>
    <x v="55"/>
  </r>
  <r>
    <x v="4"/>
    <s v="School enrollment, primary (% gross)"/>
    <n v="64.211387634277301"/>
    <x v="55"/>
  </r>
  <r>
    <x v="5"/>
    <s v="School enrollment, primary (% gross)"/>
    <n v="101.944229125977"/>
    <x v="55"/>
  </r>
  <r>
    <x v="6"/>
    <s v="School enrollment, primary (% gross)"/>
    <m/>
    <x v="55"/>
  </r>
  <r>
    <x v="7"/>
    <s v="School enrollment, primary (% gross)"/>
    <m/>
    <x v="55"/>
  </r>
  <r>
    <x v="8"/>
    <s v="School enrollment, primary (% gross)"/>
    <n v="105.92038726806599"/>
    <x v="55"/>
  </r>
  <r>
    <x v="9"/>
    <s v="School enrollment, primary (% gross)"/>
    <m/>
    <x v="55"/>
  </r>
  <r>
    <x v="10"/>
    <s v="School enrollment, primary (% gross)"/>
    <n v="94.089469909667997"/>
    <x v="55"/>
  </r>
  <r>
    <x v="11"/>
    <s v="School enrollment, primary (% gross)"/>
    <n v="147.3154296875"/>
    <x v="55"/>
  </r>
  <r>
    <x v="12"/>
    <s v="School enrollment, primary (% gross)"/>
    <n v="141.184814453125"/>
    <x v="55"/>
  </r>
  <r>
    <x v="13"/>
    <s v="School enrollment, primary (% gross)"/>
    <n v="75.593269348144503"/>
    <x v="55"/>
  </r>
  <r>
    <x v="14"/>
    <s v="School enrollment, primary (% gross)"/>
    <n v="92.412780761718807"/>
    <x v="55"/>
  </r>
  <r>
    <x v="15"/>
    <s v="School enrollment, primary (% gross)"/>
    <n v="106.31649017334"/>
    <x v="55"/>
  </r>
  <r>
    <x v="16"/>
    <s v="School enrollment, primary (% gross)"/>
    <m/>
    <x v="55"/>
  </r>
  <r>
    <x v="17"/>
    <s v="School enrollment, primary (% gross)"/>
    <n v="134.94105529785199"/>
    <x v="55"/>
  </r>
  <r>
    <x v="18"/>
    <s v="School enrollment, primary (% gross)"/>
    <m/>
    <x v="55"/>
  </r>
  <r>
    <x v="19"/>
    <s v="School enrollment, primary (% gross)"/>
    <n v="71.816291809082003"/>
    <x v="55"/>
  </r>
  <r>
    <x v="20"/>
    <s v="School enrollment, primary (% gross)"/>
    <n v="135.50137329101599"/>
    <x v="55"/>
  </r>
  <r>
    <x v="21"/>
    <s v="School enrollment, primary (% gross)"/>
    <n v="108.44490814209"/>
    <x v="55"/>
  </r>
  <r>
    <x v="22"/>
    <s v="School enrollment, primary (% gross)"/>
    <n v="101.67652130127"/>
    <x v="55"/>
  </r>
  <r>
    <x v="23"/>
    <s v="School enrollment, primary (% gross)"/>
    <n v="95.180923461914105"/>
    <x v="55"/>
  </r>
  <r>
    <x v="24"/>
    <s v="School enrollment, primary (% gross)"/>
    <n v="80.743133544921903"/>
    <x v="55"/>
  </r>
  <r>
    <x v="25"/>
    <s v="School enrollment, primary (% gross)"/>
    <n v="98.079063415527301"/>
    <x v="55"/>
  </r>
  <r>
    <x v="26"/>
    <s v="School enrollment, primary (% gross)"/>
    <m/>
    <x v="55"/>
  </r>
  <r>
    <x v="27"/>
    <s v="School enrollment, primary (% gross)"/>
    <m/>
    <x v="55"/>
  </r>
  <r>
    <x v="0"/>
    <s v="School enrollment, primary (% gross)"/>
    <n v="130.915283203125"/>
    <x v="56"/>
  </r>
  <r>
    <x v="1"/>
    <s v="School enrollment, primary (% gross)"/>
    <n v="119.155067443848"/>
    <x v="56"/>
  </r>
  <r>
    <x v="2"/>
    <s v="School enrollment, primary (% gross)"/>
    <n v="88.096817016601605"/>
    <x v="56"/>
  </r>
  <r>
    <x v="3"/>
    <s v="School enrollment, primary (% gross)"/>
    <m/>
    <x v="56"/>
  </r>
  <r>
    <x v="4"/>
    <s v="School enrollment, primary (% gross)"/>
    <n v="63.536571502685497"/>
    <x v="56"/>
  </r>
  <r>
    <x v="5"/>
    <s v="School enrollment, primary (% gross)"/>
    <m/>
    <x v="56"/>
  </r>
  <r>
    <x v="6"/>
    <s v="School enrollment, primary (% gross)"/>
    <m/>
    <x v="56"/>
  </r>
  <r>
    <x v="7"/>
    <s v="School enrollment, primary (% gross)"/>
    <m/>
    <x v="56"/>
  </r>
  <r>
    <x v="8"/>
    <s v="School enrollment, primary (% gross)"/>
    <n v="105.306991577148"/>
    <x v="56"/>
  </r>
  <r>
    <x v="9"/>
    <s v="School enrollment, primary (% gross)"/>
    <m/>
    <x v="56"/>
  </r>
  <r>
    <x v="10"/>
    <s v="School enrollment, primary (% gross)"/>
    <m/>
    <x v="56"/>
  </r>
  <r>
    <x v="11"/>
    <s v="School enrollment, primary (% gross)"/>
    <n v="143.82418823242199"/>
    <x v="56"/>
  </r>
  <r>
    <x v="12"/>
    <s v="School enrollment, primary (% gross)"/>
    <n v="139.26449584960901"/>
    <x v="56"/>
  </r>
  <r>
    <x v="13"/>
    <s v="School enrollment, primary (% gross)"/>
    <n v="77.079887390136705"/>
    <x v="56"/>
  </r>
  <r>
    <x v="14"/>
    <s v="School enrollment, primary (% gross)"/>
    <m/>
    <x v="56"/>
  </r>
  <r>
    <x v="15"/>
    <s v="School enrollment, primary (% gross)"/>
    <m/>
    <x v="56"/>
  </r>
  <r>
    <x v="16"/>
    <s v="School enrollment, primary (% gross)"/>
    <m/>
    <x v="56"/>
  </r>
  <r>
    <x v="17"/>
    <s v="School enrollment, primary (% gross)"/>
    <n v="135.38479614257801"/>
    <x v="56"/>
  </r>
  <r>
    <x v="18"/>
    <s v="School enrollment, primary (% gross)"/>
    <m/>
    <x v="56"/>
  </r>
  <r>
    <x v="19"/>
    <s v="School enrollment, primary (% gross)"/>
    <n v="73.691421508789105"/>
    <x v="56"/>
  </r>
  <r>
    <x v="20"/>
    <s v="School enrollment, primary (% gross)"/>
    <n v="137.02116394043"/>
    <x v="56"/>
  </r>
  <r>
    <x v="21"/>
    <s v="School enrollment, primary (% gross)"/>
    <n v="109.508331298828"/>
    <x v="56"/>
  </r>
  <r>
    <x v="22"/>
    <s v="School enrollment, primary (% gross)"/>
    <n v="101.897270202637"/>
    <x v="56"/>
  </r>
  <r>
    <x v="23"/>
    <s v="School enrollment, primary (% gross)"/>
    <n v="95.709510803222699"/>
    <x v="56"/>
  </r>
  <r>
    <x v="24"/>
    <s v="School enrollment, primary (% gross)"/>
    <m/>
    <x v="56"/>
  </r>
  <r>
    <x v="25"/>
    <s v="School enrollment, primary (% gross)"/>
    <n v="99.7509765625"/>
    <x v="56"/>
  </r>
  <r>
    <x v="26"/>
    <s v="School enrollment, primary (% gross)"/>
    <m/>
    <x v="56"/>
  </r>
  <r>
    <x v="27"/>
    <s v="School enrollment, primary (% gross)"/>
    <m/>
    <x v="56"/>
  </r>
  <r>
    <x v="0"/>
    <s v="School enrollment, primary (% gross)"/>
    <m/>
    <x v="57"/>
  </r>
  <r>
    <x v="1"/>
    <s v="School enrollment, primary (% gross)"/>
    <m/>
    <x v="57"/>
  </r>
  <r>
    <x v="2"/>
    <s v="School enrollment, primary (% gross)"/>
    <m/>
    <x v="57"/>
  </r>
  <r>
    <x v="3"/>
    <s v="School enrollment, primary (% gross)"/>
    <m/>
    <x v="57"/>
  </r>
  <r>
    <x v="4"/>
    <s v="School enrollment, primary (% gross)"/>
    <n v="63.901058197021499"/>
    <x v="57"/>
  </r>
  <r>
    <x v="5"/>
    <s v="School enrollment, primary (% gross)"/>
    <m/>
    <x v="57"/>
  </r>
  <r>
    <x v="6"/>
    <s v="School enrollment, primary (% gross)"/>
    <m/>
    <x v="57"/>
  </r>
  <r>
    <x v="7"/>
    <s v="School enrollment, primary (% gross)"/>
    <m/>
    <x v="57"/>
  </r>
  <r>
    <x v="8"/>
    <s v="School enrollment, primary (% gross)"/>
    <m/>
    <x v="57"/>
  </r>
  <r>
    <x v="9"/>
    <s v="School enrollment, primary (% gross)"/>
    <m/>
    <x v="57"/>
  </r>
  <r>
    <x v="10"/>
    <s v="School enrollment, primary (% gross)"/>
    <m/>
    <x v="57"/>
  </r>
  <r>
    <x v="11"/>
    <s v="School enrollment, primary (% gross)"/>
    <m/>
    <x v="57"/>
  </r>
  <r>
    <x v="12"/>
    <s v="School enrollment, primary (% gross)"/>
    <m/>
    <x v="57"/>
  </r>
  <r>
    <x v="13"/>
    <s v="School enrollment, primary (% gross)"/>
    <m/>
    <x v="57"/>
  </r>
  <r>
    <x v="14"/>
    <s v="School enrollment, primary (% gross)"/>
    <m/>
    <x v="57"/>
  </r>
  <r>
    <x v="15"/>
    <s v="School enrollment, primary (% gross)"/>
    <m/>
    <x v="57"/>
  </r>
  <r>
    <x v="16"/>
    <s v="School enrollment, primary (% gross)"/>
    <n v="111.637100219727"/>
    <x v="57"/>
  </r>
  <r>
    <x v="17"/>
    <s v="School enrollment, primary (% gross)"/>
    <n v="134.12059020996099"/>
    <x v="57"/>
  </r>
  <r>
    <x v="18"/>
    <s v="School enrollment, primary (% gross)"/>
    <m/>
    <x v="57"/>
  </r>
  <r>
    <x v="19"/>
    <s v="School enrollment, primary (% gross)"/>
    <m/>
    <x v="57"/>
  </r>
  <r>
    <x v="20"/>
    <s v="School enrollment, primary (% gross)"/>
    <m/>
    <x v="57"/>
  </r>
  <r>
    <x v="21"/>
    <s v="School enrollment, primary (% gross)"/>
    <n v="110.23397827148401"/>
    <x v="57"/>
  </r>
  <r>
    <x v="22"/>
    <s v="School enrollment, primary (% gross)"/>
    <m/>
    <x v="57"/>
  </r>
  <r>
    <x v="23"/>
    <s v="School enrollment, primary (% gross)"/>
    <n v="98.808341979980497"/>
    <x v="57"/>
  </r>
  <r>
    <x v="24"/>
    <s v="School enrollment, primary (% gross)"/>
    <m/>
    <x v="57"/>
  </r>
  <r>
    <x v="25"/>
    <s v="School enrollment, primary (% gross)"/>
    <m/>
    <x v="57"/>
  </r>
  <r>
    <x v="26"/>
    <s v="School enrollment, primary (% gross)"/>
    <m/>
    <x v="57"/>
  </r>
  <r>
    <x v="27"/>
    <s v="School enrollment, primary (% gross)"/>
    <m/>
    <x v="5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数据透视表9" cacheId="0" applyNumberFormats="0" applyBorderFormats="0" applyFontFormats="0" applyPatternFormats="0" applyAlignmentFormats="0" applyWidthHeightFormats="1" dataCaption="值" updatedVersion="6" minRefreshableVersion="3" useAutoFormatting="1" rowGrandTotals="0" colGrandTotals="0" itemPrintTitles="1" createdVersion="6" indent="0" outline="1" outlineData="1" multipleFieldFilters="0" chartFormat="2" rowHeaderCaption="Year" colHeaderCaption="Country name">
  <location ref="J5:K54" firstHeaderRow="1" firstDataRow="2" firstDataCol="1"/>
  <pivotFields count="4">
    <pivotField axis="axisCol" showAll="0">
      <items count="29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t="default"/>
      </items>
    </pivotField>
    <pivotField showAll="0"/>
    <pivotField dataField="1" showAll="0"/>
    <pivotField axis="axisRow" showAll="0">
      <items count="5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t="default"/>
      </items>
    </pivotField>
  </pivotFields>
  <rowFields count="1">
    <field x="3"/>
  </rowFields>
  <rowItems count="48"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</rowItems>
  <colFields count="1">
    <field x="0"/>
  </colFields>
  <colItems count="1">
    <i>
      <x v="5"/>
    </i>
  </colItems>
  <dataFields count="1">
    <dataField name="Somme:Data" fld="2" baseField="0" baseItem="0"/>
  </dataFields>
  <formats count="19">
    <format dxfId="54">
      <pivotArea type="origin" dataOnly="0" labelOnly="1" outline="0" fieldPosition="0"/>
    </format>
    <format dxfId="53">
      <pivotArea field="0" type="button" dataOnly="0" labelOnly="1" outline="0" axis="axisCol" fieldPosition="0"/>
    </format>
    <format dxfId="52">
      <pivotArea type="topRight" dataOnly="0" labelOnly="1" outline="0" fieldPosition="0"/>
    </format>
    <format dxfId="51">
      <pivotArea field="3" type="button" dataOnly="0" labelOnly="1" outline="0" axis="axisRow" fieldPosition="0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Col="1" outline="0" fieldPosition="0"/>
    </format>
    <format dxfId="48">
      <pivotArea dataOnly="0" labelOnly="1" fieldPosition="0">
        <references count="1">
          <reference field="3" count="0"/>
        </references>
      </pivotArea>
    </format>
    <format dxfId="47">
      <pivotArea dataOnly="0" labelOnly="1" fieldPosition="0">
        <references count="1">
          <reference field="3" count="0"/>
        </references>
      </pivotArea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type="origin" dataOnly="0" labelOnly="1" outline="0" fieldPosition="0"/>
    </format>
    <format dxfId="43">
      <pivotArea field="0" type="button" dataOnly="0" labelOnly="1" outline="0" axis="axisCol" fieldPosition="0"/>
    </format>
    <format dxfId="42">
      <pivotArea field="3" type="button" dataOnly="0" labelOnly="1" outline="0" axis="axisRow" fieldPosition="0"/>
    </format>
    <format dxfId="41">
      <pivotArea dataOnly="0" labelOnly="1" fieldPosition="0">
        <references count="1">
          <reference field="3" count="0"/>
        </references>
      </pivotArea>
    </format>
    <format dxfId="40">
      <pivotArea dataOnly="0" labelOnly="1" fieldPosition="0">
        <references count="1">
          <reference field="0" count="0"/>
        </references>
      </pivotArea>
    </format>
    <format dxfId="39">
      <pivotArea type="origin" dataOnly="0" labelOnly="1" outline="0" fieldPosition="0"/>
    </format>
    <format dxfId="38">
      <pivotArea field="0" type="button" dataOnly="0" labelOnly="1" outline="0" axis="axisCol" fieldPosition="0"/>
    </format>
    <format dxfId="37">
      <pivotArea field="3" type="button" dataOnly="0" labelOnly="1" outline="0" axis="axisRow" fieldPosition="0"/>
    </format>
    <format dxfId="36">
      <pivotArea dataOnly="0" labelOnly="1" fieldPosition="0">
        <references count="1">
          <reference field="0" count="0"/>
        </references>
      </pivotArea>
    </format>
  </formats>
  <chartFormats count="3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数据透视表10" cacheId="1" applyNumberFormats="0" applyBorderFormats="0" applyFontFormats="0" applyPatternFormats="0" applyAlignmentFormats="0" applyWidthHeightFormats="1" dataCaption="值" updatedVersion="6" minRefreshableVersion="3" useAutoFormatting="1" rowGrandTotals="0" colGrandTotals="0" itemPrintTitles="1" createdVersion="6" indent="0" outline="1" outlineData="1" multipleFieldFilters="0" chartFormat="2" rowHeaderCaption="Year" colHeaderCaption="Country name">
  <location ref="J5:K43" firstHeaderRow="1" firstDataRow="2" firstDataCol="1"/>
  <pivotFields count="4">
    <pivotField axis="axisCol" showAll="0">
      <items count="29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t="default"/>
      </items>
    </pivotField>
    <pivotField showAll="0"/>
    <pivotField dataField="1" showAll="0"/>
    <pivotField axis="axisRow" showAll="0">
      <items count="5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h="1" x="57"/>
        <item t="default"/>
      </items>
    </pivotField>
  </pivotFields>
  <rowFields count="1">
    <field x="3"/>
  </rowFields>
  <rowItems count="37"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</rowItems>
  <colFields count="1">
    <field x="0"/>
  </colFields>
  <colItems count="1">
    <i>
      <x v="5"/>
    </i>
  </colItems>
  <dataFields count="1">
    <dataField name="Somme:Data" fld="2" baseField="0" baseItem="0"/>
  </dataFields>
  <formats count="18">
    <format dxfId="35">
      <pivotArea type="origin" dataOnly="0" labelOnly="1" outline="0" fieldPosition="0"/>
    </format>
    <format dxfId="34">
      <pivotArea field="0" type="button" dataOnly="0" labelOnly="1" outline="0" axis="axisCol" fieldPosition="0"/>
    </format>
    <format dxfId="33">
      <pivotArea type="topRight" dataOnly="0" labelOnly="1" outline="0" fieldPosition="0"/>
    </format>
    <format dxfId="32">
      <pivotArea field="3" type="button" dataOnly="0" labelOnly="1" outline="0" axis="axisRow" fieldPosition="0"/>
    </format>
    <format dxfId="31">
      <pivotArea dataOnly="0" labelOnly="1" fieldPosition="0">
        <references count="1">
          <reference field="0" count="0"/>
        </references>
      </pivotArea>
    </format>
    <format dxfId="30">
      <pivotArea dataOnly="0" labelOnly="1" grandCol="1" outline="0" fieldPosition="0"/>
    </format>
    <format dxfId="29">
      <pivotArea dataOnly="0" labelOnly="1" fieldPosition="0">
        <references count="1">
          <reference field="3" count="0"/>
        </references>
      </pivotArea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type="origin" dataOnly="0" labelOnly="1" outline="0" fieldPosition="0"/>
    </format>
    <format dxfId="25">
      <pivotArea field="0" type="button" dataOnly="0" labelOnly="1" outline="0" axis="axisCol" fieldPosition="0"/>
    </format>
    <format dxfId="24">
      <pivotArea field="3" type="button" dataOnly="0" labelOnly="1" outline="0" axis="axisRow" fieldPosition="0"/>
    </format>
    <format dxfId="23">
      <pivotArea dataOnly="0" labelOnly="1" fieldPosition="0">
        <references count="1">
          <reference field="3" count="0"/>
        </references>
      </pivotArea>
    </format>
    <format dxfId="22">
      <pivotArea dataOnly="0" labelOnly="1" fieldPosition="0">
        <references count="1">
          <reference field="0" count="0"/>
        </references>
      </pivotArea>
    </format>
    <format dxfId="21">
      <pivotArea type="origin" dataOnly="0" labelOnly="1" outline="0" fieldPosition="0"/>
    </format>
    <format dxfId="20">
      <pivotArea field="0" type="button" dataOnly="0" labelOnly="1" outline="0" axis="axisCol" fieldPosition="0"/>
    </format>
    <format dxfId="19">
      <pivotArea field="3" type="button" dataOnly="0" labelOnly="1" outline="0" axis="axisRow" fieldPosition="0"/>
    </format>
    <format dxfId="18">
      <pivotArea dataOnly="0" labelOnly="1" fieldPosition="0">
        <references count="1">
          <reference field="0" count="0"/>
        </references>
      </pivotArea>
    </format>
  </formats>
  <chartFormats count="2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数据透视表11" cacheId="2" applyNumberFormats="0" applyBorderFormats="0" applyFontFormats="0" applyPatternFormats="0" applyAlignmentFormats="0" applyWidthHeightFormats="1" dataCaption="值" updatedVersion="6" minRefreshableVersion="3" useAutoFormatting="1" rowGrandTotals="0" colGrandTotals="0" itemPrintTitles="1" createdVersion="6" indent="0" outline="1" outlineData="1" multipleFieldFilters="0" chartFormat="2" rowHeaderCaption="Year" colHeaderCaption="Country name">
  <location ref="J5:K54" firstHeaderRow="1" firstDataRow="2" firstDataCol="1"/>
  <pivotFields count="4">
    <pivotField axis="axisCol" showAll="0">
      <items count="29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t="default"/>
      </items>
    </pivotField>
    <pivotField showAll="0"/>
    <pivotField dataField="1" showAll="0"/>
    <pivotField axis="axisRow" showAll="0">
      <items count="5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t="default"/>
      </items>
    </pivotField>
  </pivotFields>
  <rowFields count="1">
    <field x="3"/>
  </rowFields>
  <rowItems count="48"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</rowItems>
  <colFields count="1">
    <field x="0"/>
  </colFields>
  <colItems count="1">
    <i>
      <x v="5"/>
    </i>
  </colItems>
  <dataFields count="1">
    <dataField name="Somme:Data" fld="2" baseField="0" baseItem="0"/>
  </dataFields>
  <formats count="18">
    <format dxfId="17">
      <pivotArea type="topRight" dataOnly="0" labelOnly="1" outline="0" fieldPosition="0"/>
    </format>
    <format dxfId="16">
      <pivotArea dataOnly="0" labelOnly="1" grandCol="1" outline="0" fieldPosition="0"/>
    </format>
    <format dxfId="15">
      <pivotArea dataOnly="0" labelOnly="1" fieldPosition="0">
        <references count="1">
          <reference field="3" count="0"/>
        </references>
      </pivotArea>
    </format>
    <format dxfId="14">
      <pivotArea type="origin" dataOnly="0" labelOnly="1" outline="0" fieldPosition="0"/>
    </format>
    <format dxfId="13">
      <pivotArea field="0" type="button" dataOnly="0" labelOnly="1" outline="0" axis="axisCol" fieldPosition="0"/>
    </format>
    <format dxfId="12">
      <pivotArea field="3" type="button" dataOnly="0" labelOnly="1" outline="0" axis="axisRow" fieldPosition="0"/>
    </format>
    <format dxfId="11">
      <pivotArea type="origin" dataOnly="0" labelOnly="1" outline="0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type="origin" dataOnly="0" labelOnly="1" outline="0" fieldPosition="0"/>
    </format>
    <format dxfId="7">
      <pivotArea field="0" type="button" dataOnly="0" labelOnly="1" outline="0" axis="axisCol" fieldPosition="0"/>
    </format>
    <format dxfId="6">
      <pivotArea field="3" type="button" dataOnly="0" labelOnly="1" outline="0" axis="axisRow" fieldPosition="0"/>
    </format>
    <format dxfId="5">
      <pivotArea dataOnly="0" labelOnly="1" fieldPosition="0">
        <references count="1">
          <reference field="3" count="0"/>
        </references>
      </pivotArea>
    </format>
    <format dxfId="4">
      <pivotArea dataOnly="0" labelOnly="1" fieldPosition="0">
        <references count="1">
          <reference field="0" count="0"/>
        </references>
      </pivotArea>
    </format>
    <format dxfId="3">
      <pivotArea type="origin" dataOnly="0" labelOnly="1" outline="0" fieldPosition="0"/>
    </format>
    <format dxfId="2">
      <pivotArea field="0" type="button" dataOnly="0" labelOnly="1" outline="0" axis="axisCol" fieldPosition="0"/>
    </format>
    <format dxfId="1">
      <pivotArea field="3" type="button" dataOnly="0" labelOnly="1" outline="0" axis="axisRow" fieldPosition="0"/>
    </format>
    <format dxfId="0">
      <pivotArea dataOnly="0" labelOnly="1" fieldPosition="0">
        <references count="1">
          <reference field="0" count="0"/>
        </references>
      </pivotArea>
    </format>
  </formats>
  <chartFormats count="3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切片器_Country_name11" sourceName="Country name">
  <pivotTables>
    <pivotTable tabId="4" name="数据透视表9"/>
  </pivotTables>
  <data>
    <tabular pivotCacheId="333645325">
      <items count="28">
        <i x="0"/>
        <i x="1"/>
        <i x="2"/>
        <i x="3"/>
        <i x="4"/>
        <i x="5" s="1"/>
        <i x="6"/>
        <i x="7"/>
        <i x="8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9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切片器_Country_name12" sourceName="Country name">
  <pivotTables>
    <pivotTable tabId="6" name="数据透视表10"/>
  </pivotTables>
  <data>
    <tabular pivotCacheId="1483396499">
      <items count="28">
        <i x="0"/>
        <i x="1"/>
        <i x="2"/>
        <i x="3"/>
        <i x="4"/>
        <i x="5" s="1"/>
        <i x="6"/>
        <i x="8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7" nd="1"/>
        <i x="9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切片器_Country_name13" sourceName="Country name">
  <pivotTables>
    <pivotTable tabId="8" name="数据透视表11"/>
  </pivotTables>
  <data>
    <tabular pivotCacheId="1574743801">
      <items count="28">
        <i x="0"/>
        <i x="1"/>
        <i x="2"/>
        <i x="3"/>
        <i x="4"/>
        <i x="5" s="1"/>
        <i x="6"/>
        <i x="7"/>
        <i x="8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9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ountry name 12" cache="切片器_Country_name11" caption="Country name" style="SlicerStyleLight4" rowHeight="2095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ountry name 13" cache="切片器_Country_name12" caption="Country name" style="SlicerStyleLight4" rowHeight="2095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ountry name 14" cache="切片器_Country_name13" caption="Country name" style="SlicerStyleLight4" rowHeight="209550"/>
</slic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07/relationships/slicer" Target="../slicers/slicer3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M52"/>
  <sheetViews>
    <sheetView showGridLines="0" tabSelected="1" topLeftCell="A22" workbookViewId="0">
      <selection activeCell="O46" sqref="O46"/>
    </sheetView>
  </sheetViews>
  <sheetFormatPr baseColWidth="10" defaultColWidth="11" defaultRowHeight="20.100000000000001" customHeight="1"/>
  <cols>
    <col min="1" max="1" width="11" style="1"/>
    <col min="2" max="2" width="14.625" style="1" customWidth="1"/>
    <col min="3" max="3" width="11" style="1"/>
    <col min="4" max="4" width="6.125" style="1" customWidth="1"/>
    <col min="5" max="5" width="11" style="1"/>
    <col min="6" max="7" width="10" style="1" customWidth="1"/>
    <col min="8" max="8" width="11" style="1"/>
    <col min="9" max="9" width="10" style="1" customWidth="1"/>
    <col min="10" max="11" width="11" style="1"/>
    <col min="12" max="12" width="11.5" style="1" customWidth="1"/>
    <col min="13" max="13" width="12.75" style="1" customWidth="1"/>
    <col min="14" max="16384" width="11" style="1"/>
  </cols>
  <sheetData>
    <row r="2" spans="2:13" ht="24.95" customHeight="1">
      <c r="E2" s="30" t="s">
        <v>44</v>
      </c>
      <c r="F2" s="30"/>
      <c r="G2" s="30"/>
      <c r="H2" s="30"/>
      <c r="I2" s="30"/>
      <c r="J2" s="30"/>
      <c r="K2" s="30"/>
      <c r="L2" s="30"/>
      <c r="M2" s="30"/>
    </row>
    <row r="4" spans="2:13" ht="20.100000000000001" customHeight="1">
      <c r="B4" s="2" t="s">
        <v>0</v>
      </c>
      <c r="C4" s="3" t="s">
        <v>1</v>
      </c>
    </row>
    <row r="30" spans="5:13" ht="20.100000000000001" customHeight="1">
      <c r="E30" s="4" t="s">
        <v>2</v>
      </c>
      <c r="F30" s="4"/>
      <c r="G30" s="4"/>
      <c r="H30" s="4"/>
      <c r="I30" s="4"/>
      <c r="J30" s="4"/>
      <c r="K30" s="4"/>
      <c r="L30" s="4"/>
      <c r="M30" s="4"/>
    </row>
    <row r="31" spans="5:13" ht="20.100000000000001" customHeight="1">
      <c r="E31" s="31"/>
      <c r="F31" s="32"/>
      <c r="G31" s="32"/>
      <c r="H31" s="32"/>
      <c r="I31" s="32"/>
      <c r="J31" s="32"/>
      <c r="K31" s="32"/>
      <c r="L31" s="32"/>
      <c r="M31" s="33"/>
    </row>
    <row r="32" spans="5:13" ht="20.100000000000001" customHeight="1">
      <c r="E32" s="31"/>
      <c r="F32" s="32"/>
      <c r="G32" s="32"/>
      <c r="H32" s="32"/>
      <c r="I32" s="32"/>
      <c r="J32" s="32"/>
      <c r="K32" s="32"/>
      <c r="L32" s="32"/>
      <c r="M32" s="33"/>
    </row>
    <row r="33" spans="5:13" ht="20.100000000000001" customHeight="1">
      <c r="E33" s="31"/>
      <c r="F33" s="32"/>
      <c r="G33" s="32"/>
      <c r="H33" s="32"/>
      <c r="I33" s="32"/>
      <c r="J33" s="32"/>
      <c r="K33" s="32"/>
      <c r="L33" s="32"/>
      <c r="M33" s="33"/>
    </row>
    <row r="34" spans="5:13" ht="20.100000000000001" customHeight="1">
      <c r="E34" s="31"/>
      <c r="F34" s="32"/>
      <c r="G34" s="32"/>
      <c r="H34" s="32"/>
      <c r="I34" s="32"/>
      <c r="J34" s="32"/>
      <c r="K34" s="32"/>
      <c r="L34" s="32"/>
      <c r="M34" s="33"/>
    </row>
    <row r="35" spans="5:13" ht="20.100000000000001" customHeight="1">
      <c r="E35" s="31"/>
      <c r="F35" s="32"/>
      <c r="G35" s="32"/>
      <c r="H35" s="32"/>
      <c r="I35" s="32"/>
      <c r="J35" s="32"/>
      <c r="K35" s="32"/>
      <c r="L35" s="32"/>
      <c r="M35" s="33"/>
    </row>
    <row r="36" spans="5:13" ht="20.100000000000001" customHeight="1">
      <c r="E36" s="31"/>
      <c r="F36" s="32"/>
      <c r="G36" s="32"/>
      <c r="H36" s="32"/>
      <c r="I36" s="32"/>
      <c r="J36" s="32"/>
      <c r="K36" s="32"/>
      <c r="L36" s="32"/>
      <c r="M36" s="33"/>
    </row>
    <row r="37" spans="5:13" ht="20.100000000000001" customHeight="1">
      <c r="E37" s="31"/>
      <c r="F37" s="32"/>
      <c r="G37" s="32"/>
      <c r="H37" s="32"/>
      <c r="I37" s="32"/>
      <c r="J37" s="32"/>
      <c r="K37" s="32"/>
      <c r="L37" s="32"/>
      <c r="M37" s="33"/>
    </row>
    <row r="38" spans="5:13" ht="20.100000000000001" customHeight="1">
      <c r="E38" s="31"/>
      <c r="F38" s="32"/>
      <c r="G38" s="32"/>
      <c r="H38" s="32"/>
      <c r="I38" s="32"/>
      <c r="J38" s="32"/>
      <c r="K38" s="32"/>
      <c r="L38" s="32"/>
      <c r="M38" s="33"/>
    </row>
    <row r="39" spans="5:13" ht="20.100000000000001" customHeight="1">
      <c r="E39" s="31"/>
      <c r="F39" s="32"/>
      <c r="G39" s="32"/>
      <c r="H39" s="32"/>
      <c r="I39" s="32"/>
      <c r="J39" s="32"/>
      <c r="K39" s="32"/>
      <c r="L39" s="32"/>
      <c r="M39" s="33"/>
    </row>
    <row r="40" spans="5:13" ht="20.100000000000001" customHeight="1">
      <c r="E40" s="31"/>
      <c r="F40" s="32"/>
      <c r="G40" s="32"/>
      <c r="H40" s="32"/>
      <c r="I40" s="32"/>
      <c r="J40" s="32"/>
      <c r="K40" s="32"/>
      <c r="L40" s="32"/>
      <c r="M40" s="33"/>
    </row>
    <row r="41" spans="5:13" ht="20.100000000000001" customHeight="1">
      <c r="E41" s="31"/>
      <c r="F41" s="32"/>
      <c r="G41" s="32"/>
      <c r="H41" s="32"/>
      <c r="I41" s="32"/>
      <c r="J41" s="32"/>
      <c r="K41" s="32"/>
      <c r="L41" s="32"/>
      <c r="M41" s="33"/>
    </row>
    <row r="42" spans="5:13" ht="20.100000000000001" customHeight="1">
      <c r="E42" s="31"/>
      <c r="F42" s="32"/>
      <c r="G42" s="32"/>
      <c r="H42" s="32"/>
      <c r="I42" s="32"/>
      <c r="J42" s="32"/>
      <c r="K42" s="32"/>
      <c r="L42" s="32"/>
      <c r="M42" s="33"/>
    </row>
    <row r="43" spans="5:13" ht="20.100000000000001" customHeight="1">
      <c r="E43" s="31"/>
      <c r="F43" s="32"/>
      <c r="G43" s="32"/>
      <c r="H43" s="32"/>
      <c r="I43" s="32"/>
      <c r="J43" s="32"/>
      <c r="K43" s="32"/>
      <c r="L43" s="32"/>
      <c r="M43" s="33"/>
    </row>
    <row r="44" spans="5:13" ht="20.100000000000001" customHeight="1">
      <c r="E44" s="31"/>
      <c r="F44" s="32"/>
      <c r="G44" s="32"/>
      <c r="H44" s="32"/>
      <c r="I44" s="32"/>
      <c r="J44" s="32"/>
      <c r="K44" s="32"/>
      <c r="L44" s="32"/>
      <c r="M44" s="33"/>
    </row>
    <row r="45" spans="5:13" ht="20.100000000000001" customHeight="1">
      <c r="E45" s="31"/>
      <c r="F45" s="32"/>
      <c r="G45" s="32"/>
      <c r="H45" s="32"/>
      <c r="I45" s="32"/>
      <c r="J45" s="32"/>
      <c r="K45" s="32"/>
      <c r="L45" s="32"/>
      <c r="M45" s="33"/>
    </row>
    <row r="46" spans="5:13" ht="20.100000000000001" customHeight="1">
      <c r="E46" s="31"/>
      <c r="F46" s="32"/>
      <c r="G46" s="32"/>
      <c r="H46" s="32"/>
      <c r="I46" s="32"/>
      <c r="J46" s="32"/>
      <c r="K46" s="32"/>
      <c r="L46" s="32"/>
      <c r="M46" s="33"/>
    </row>
    <row r="47" spans="5:13" ht="20.100000000000001" customHeight="1">
      <c r="E47" s="19"/>
      <c r="F47" s="20"/>
      <c r="G47" s="20"/>
      <c r="H47" s="20"/>
      <c r="I47" s="20"/>
      <c r="J47" s="20"/>
      <c r="K47" s="20"/>
      <c r="L47" s="20"/>
      <c r="M47" s="21"/>
    </row>
    <row r="48" spans="5:13" ht="20.100000000000001" customHeight="1">
      <c r="E48" s="19"/>
      <c r="F48" s="20"/>
      <c r="G48" s="20"/>
      <c r="H48" s="20"/>
      <c r="I48" s="20"/>
      <c r="J48" s="20"/>
      <c r="K48" s="20"/>
      <c r="L48" s="20"/>
      <c r="M48" s="21"/>
    </row>
    <row r="49" spans="5:13" ht="20.100000000000001" customHeight="1">
      <c r="E49" s="22"/>
      <c r="F49" s="23"/>
      <c r="G49" s="23"/>
      <c r="H49" s="23"/>
      <c r="I49" s="23"/>
      <c r="J49" s="23"/>
      <c r="K49" s="23"/>
      <c r="L49" s="23"/>
      <c r="M49" s="24"/>
    </row>
    <row r="50" spans="5:13" ht="20.100000000000001" customHeight="1">
      <c r="E50" s="18"/>
      <c r="F50" s="18"/>
      <c r="G50" s="18"/>
      <c r="H50" s="18"/>
      <c r="I50" s="18"/>
      <c r="J50" s="18"/>
      <c r="K50" s="18"/>
      <c r="L50" s="18"/>
      <c r="M50" s="18"/>
    </row>
    <row r="51" spans="5:13" ht="20.100000000000001" customHeight="1">
      <c r="E51" s="18"/>
      <c r="F51" s="18"/>
      <c r="G51" s="18"/>
      <c r="H51" s="18"/>
      <c r="I51" s="18"/>
      <c r="J51" s="18"/>
      <c r="K51" s="18"/>
      <c r="L51" s="18"/>
      <c r="M51" s="18"/>
    </row>
    <row r="52" spans="5:13" ht="20.100000000000001" customHeight="1">
      <c r="E52" s="17"/>
      <c r="F52" s="17"/>
      <c r="G52" s="17"/>
      <c r="H52" s="17"/>
      <c r="I52" s="17"/>
      <c r="J52" s="17"/>
      <c r="K52" s="17"/>
      <c r="L52" s="17"/>
      <c r="M52" s="17"/>
    </row>
  </sheetData>
  <mergeCells count="2">
    <mergeCell ref="E2:M2"/>
    <mergeCell ref="E31:M46"/>
  </mergeCells>
  <phoneticPr fontId="1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Indicateur13">
              <controlPr defaultSize="0" print="0" autoFill="0" autoPict="0" macro="[0]!SelectSheet">
                <anchor moveWithCells="1" sizeWithCells="1">
                  <from>
                    <xdr:col>0</xdr:col>
                    <xdr:colOff>809625</xdr:colOff>
                    <xdr:row>5</xdr:row>
                    <xdr:rowOff>28575</xdr:rowOff>
                  </from>
                  <to>
                    <xdr:col>2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Indicateur14">
              <controlPr defaultSize="0" print="0" autoFill="0" autoPict="0" macro="[0]!SelectSheet">
                <anchor moveWithCells="1" sizeWithCells="1">
                  <from>
                    <xdr:col>0</xdr:col>
                    <xdr:colOff>809625</xdr:colOff>
                    <xdr:row>6</xdr:row>
                    <xdr:rowOff>219075</xdr:rowOff>
                  </from>
                  <to>
                    <xdr:col>2</xdr:col>
                    <xdr:colOff>47625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Indicateur15">
              <controlPr defaultSize="0" print="0" autoFill="0" autoPict="0" macro="[0]!SelectSheet">
                <anchor moveWithCells="1" sizeWithCells="1">
                  <from>
                    <xdr:col>0</xdr:col>
                    <xdr:colOff>809625</xdr:colOff>
                    <xdr:row>8</xdr:row>
                    <xdr:rowOff>180975</xdr:rowOff>
                  </from>
                  <to>
                    <xdr:col>2</xdr:col>
                    <xdr:colOff>47625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prevision13!$A$2:$A$24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2:K1628"/>
  <sheetViews>
    <sheetView showGridLines="0" topLeftCell="E1" zoomScale="80" zoomScaleNormal="80" workbookViewId="0">
      <selection activeCell="G2" sqref="G2:K2"/>
    </sheetView>
  </sheetViews>
  <sheetFormatPr baseColWidth="10" defaultColWidth="8" defaultRowHeight="19.899999999999999" customHeight="1"/>
  <cols>
    <col min="1" max="1" width="19.375" style="1" hidden="1" customWidth="1"/>
    <col min="2" max="2" width="50.375" style="1" hidden="1" customWidth="1"/>
    <col min="3" max="3" width="15.375" style="1" hidden="1" customWidth="1"/>
    <col min="4" max="4" width="8" style="1" hidden="1" customWidth="1"/>
    <col min="5" max="5" width="10.625" style="1" customWidth="1"/>
    <col min="6" max="6" width="14.5" style="1" customWidth="1"/>
    <col min="7" max="7" width="26.875" style="1" customWidth="1"/>
    <col min="8" max="8" width="78.5" style="1" customWidth="1"/>
    <col min="9" max="9" width="5.25" style="1" customWidth="1"/>
    <col min="10" max="10" width="13" style="1" bestFit="1" customWidth="1"/>
    <col min="11" max="11" width="16.625" style="1" bestFit="1" customWidth="1"/>
    <col min="12" max="38" width="16.375" style="1" customWidth="1"/>
    <col min="39" max="39" width="12.375" style="1" bestFit="1" customWidth="1"/>
    <col min="40" max="65" width="21" style="1" bestFit="1" customWidth="1"/>
    <col min="66" max="66" width="14.625" style="1" bestFit="1" customWidth="1"/>
    <col min="67" max="67" width="14.5" style="1" bestFit="1" customWidth="1"/>
    <col min="68" max="16384" width="8" style="1"/>
  </cols>
  <sheetData>
    <row r="2" spans="1:11" ht="25.15" customHeight="1">
      <c r="G2" s="30" t="s">
        <v>45</v>
      </c>
      <c r="H2" s="30"/>
      <c r="I2" s="30"/>
      <c r="J2" s="30"/>
      <c r="K2" s="30"/>
    </row>
    <row r="3" spans="1:11" ht="10.15" customHeight="1"/>
    <row r="4" spans="1:11" ht="22.15" customHeight="1" thickBot="1">
      <c r="A4" s="7" t="s">
        <v>30</v>
      </c>
      <c r="B4" s="7" t="s">
        <v>31</v>
      </c>
      <c r="C4" s="7" t="s">
        <v>32</v>
      </c>
      <c r="D4" s="7" t="s">
        <v>3</v>
      </c>
      <c r="H4" s="8" t="s">
        <v>33</v>
      </c>
      <c r="J4" s="34" t="s">
        <v>34</v>
      </c>
      <c r="K4" s="34"/>
    </row>
    <row r="5" spans="1:11" ht="15.75" thickTop="1">
      <c r="A5" s="9" t="s">
        <v>4</v>
      </c>
      <c r="B5" s="10" t="s">
        <v>35</v>
      </c>
      <c r="C5" s="10"/>
      <c r="D5" s="10">
        <v>1960</v>
      </c>
      <c r="J5" s="27" t="s">
        <v>36</v>
      </c>
      <c r="K5" s="27" t="s">
        <v>30</v>
      </c>
    </row>
    <row r="6" spans="1:11" ht="15">
      <c r="A6" s="9" t="s">
        <v>5</v>
      </c>
      <c r="B6" s="10" t="s">
        <v>37</v>
      </c>
      <c r="C6" s="10"/>
      <c r="D6" s="10">
        <v>1960</v>
      </c>
      <c r="J6" s="28" t="s">
        <v>3</v>
      </c>
      <c r="K6" s="28" t="s">
        <v>1</v>
      </c>
    </row>
    <row r="7" spans="1:11" ht="15">
      <c r="A7" s="9" t="s">
        <v>6</v>
      </c>
      <c r="B7" s="10" t="s">
        <v>35</v>
      </c>
      <c r="C7" s="10"/>
      <c r="D7" s="10">
        <v>1960</v>
      </c>
      <c r="J7" s="15">
        <v>1970</v>
      </c>
      <c r="K7" s="25"/>
    </row>
    <row r="8" spans="1:11" ht="15">
      <c r="A8" s="9" t="s">
        <v>7</v>
      </c>
      <c r="B8" s="10" t="s">
        <v>35</v>
      </c>
      <c r="C8" s="10"/>
      <c r="D8" s="10">
        <v>1960</v>
      </c>
      <c r="J8" s="15">
        <v>1971</v>
      </c>
      <c r="K8" s="25"/>
    </row>
    <row r="9" spans="1:11" ht="15">
      <c r="A9" s="9" t="s">
        <v>8</v>
      </c>
      <c r="B9" s="10" t="s">
        <v>35</v>
      </c>
      <c r="C9" s="10"/>
      <c r="D9" s="10">
        <v>1960</v>
      </c>
      <c r="J9" s="15">
        <v>1972</v>
      </c>
      <c r="K9" s="25"/>
    </row>
    <row r="10" spans="1:11" ht="15">
      <c r="A10" s="9" t="s">
        <v>1</v>
      </c>
      <c r="B10" s="10" t="s">
        <v>35</v>
      </c>
      <c r="C10" s="10"/>
      <c r="D10" s="10">
        <v>1960</v>
      </c>
      <c r="J10" s="15">
        <v>1973</v>
      </c>
      <c r="K10" s="25"/>
    </row>
    <row r="11" spans="1:11" ht="15">
      <c r="A11" s="9" t="s">
        <v>9</v>
      </c>
      <c r="B11" s="10" t="s">
        <v>35</v>
      </c>
      <c r="C11" s="10"/>
      <c r="D11" s="10">
        <v>1960</v>
      </c>
      <c r="J11" s="15">
        <v>1974</v>
      </c>
      <c r="K11" s="25"/>
    </row>
    <row r="12" spans="1:11" ht="15">
      <c r="A12" s="9" t="s">
        <v>10</v>
      </c>
      <c r="B12" s="10" t="s">
        <v>35</v>
      </c>
      <c r="C12" s="10"/>
      <c r="D12" s="10">
        <v>1960</v>
      </c>
      <c r="J12" s="15">
        <v>1975</v>
      </c>
      <c r="K12" s="25"/>
    </row>
    <row r="13" spans="1:11" ht="15">
      <c r="A13" s="9" t="s">
        <v>11</v>
      </c>
      <c r="B13" s="10" t="s">
        <v>35</v>
      </c>
      <c r="C13" s="10"/>
      <c r="D13" s="10">
        <v>1960</v>
      </c>
      <c r="J13" s="15">
        <v>1976</v>
      </c>
      <c r="K13" s="25"/>
    </row>
    <row r="14" spans="1:11" ht="15">
      <c r="A14" s="9" t="s">
        <v>38</v>
      </c>
      <c r="B14" s="10" t="s">
        <v>35</v>
      </c>
      <c r="C14" s="10"/>
      <c r="D14" s="10">
        <v>1960</v>
      </c>
      <c r="J14" s="15">
        <v>1977</v>
      </c>
      <c r="K14" s="25"/>
    </row>
    <row r="15" spans="1:11" ht="15">
      <c r="A15" s="9" t="s">
        <v>12</v>
      </c>
      <c r="B15" s="10" t="s">
        <v>35</v>
      </c>
      <c r="C15" s="10"/>
      <c r="D15" s="10">
        <v>1960</v>
      </c>
      <c r="J15" s="15">
        <v>1978</v>
      </c>
      <c r="K15" s="25"/>
    </row>
    <row r="16" spans="1:11" ht="15">
      <c r="A16" s="9" t="s">
        <v>13</v>
      </c>
      <c r="B16" s="10" t="s">
        <v>35</v>
      </c>
      <c r="C16" s="10"/>
      <c r="D16" s="10">
        <v>1960</v>
      </c>
      <c r="J16" s="15">
        <v>1979</v>
      </c>
      <c r="K16" s="25"/>
    </row>
    <row r="17" spans="1:11" ht="15">
      <c r="A17" s="9" t="s">
        <v>14</v>
      </c>
      <c r="B17" s="10" t="s">
        <v>35</v>
      </c>
      <c r="C17" s="10"/>
      <c r="D17" s="10">
        <v>1960</v>
      </c>
      <c r="J17" s="15">
        <v>1980</v>
      </c>
      <c r="K17" s="25"/>
    </row>
    <row r="18" spans="1:11" ht="15">
      <c r="A18" s="9" t="s">
        <v>15</v>
      </c>
      <c r="B18" s="10" t="s">
        <v>35</v>
      </c>
      <c r="C18" s="10"/>
      <c r="D18" s="10">
        <v>1960</v>
      </c>
      <c r="J18" s="15">
        <v>1981</v>
      </c>
      <c r="K18" s="25"/>
    </row>
    <row r="19" spans="1:11" ht="15">
      <c r="A19" s="9" t="s">
        <v>16</v>
      </c>
      <c r="B19" s="10" t="s">
        <v>35</v>
      </c>
      <c r="C19" s="10"/>
      <c r="D19" s="10">
        <v>1960</v>
      </c>
      <c r="J19" s="15">
        <v>1982</v>
      </c>
      <c r="K19" s="25"/>
    </row>
    <row r="20" spans="1:11" ht="15">
      <c r="A20" s="9" t="s">
        <v>17</v>
      </c>
      <c r="B20" s="10" t="s">
        <v>35</v>
      </c>
      <c r="C20" s="10"/>
      <c r="D20" s="10">
        <v>1960</v>
      </c>
      <c r="H20" s="4" t="s">
        <v>39</v>
      </c>
      <c r="J20" s="15">
        <v>1983</v>
      </c>
      <c r="K20" s="25"/>
    </row>
    <row r="21" spans="1:11" ht="15">
      <c r="A21" s="9" t="s">
        <v>18</v>
      </c>
      <c r="B21" s="10" t="s">
        <v>35</v>
      </c>
      <c r="C21" s="10"/>
      <c r="D21" s="10">
        <v>1960</v>
      </c>
      <c r="J21" s="15">
        <v>1984</v>
      </c>
      <c r="K21" s="25"/>
    </row>
    <row r="22" spans="1:11" ht="15">
      <c r="A22" s="9" t="s">
        <v>19</v>
      </c>
      <c r="B22" s="10" t="s">
        <v>35</v>
      </c>
      <c r="C22" s="10"/>
      <c r="D22" s="10">
        <v>1960</v>
      </c>
      <c r="J22" s="15">
        <v>1985</v>
      </c>
      <c r="K22" s="25"/>
    </row>
    <row r="23" spans="1:11" ht="15">
      <c r="A23" s="9" t="s">
        <v>20</v>
      </c>
      <c r="B23" s="10" t="s">
        <v>35</v>
      </c>
      <c r="C23" s="10"/>
      <c r="D23" s="10">
        <v>1960</v>
      </c>
      <c r="J23" s="15">
        <v>1986</v>
      </c>
      <c r="K23" s="25"/>
    </row>
    <row r="24" spans="1:11" ht="15">
      <c r="A24" s="9" t="s">
        <v>21</v>
      </c>
      <c r="B24" s="10" t="s">
        <v>35</v>
      </c>
      <c r="C24" s="10"/>
      <c r="D24" s="10">
        <v>1960</v>
      </c>
      <c r="J24" s="15">
        <v>1987</v>
      </c>
      <c r="K24" s="25">
        <v>70.650466918945298</v>
      </c>
    </row>
    <row r="25" spans="1:11" ht="15">
      <c r="A25" s="9" t="s">
        <v>22</v>
      </c>
      <c r="B25" s="10" t="s">
        <v>35</v>
      </c>
      <c r="C25" s="10"/>
      <c r="D25" s="10">
        <v>1960</v>
      </c>
      <c r="J25" s="15">
        <v>1988</v>
      </c>
      <c r="K25" s="25">
        <v>70.094741821289105</v>
      </c>
    </row>
    <row r="26" spans="1:11" ht="28.5">
      <c r="A26" s="9" t="s">
        <v>23</v>
      </c>
      <c r="B26" s="10" t="s">
        <v>35</v>
      </c>
      <c r="C26" s="10"/>
      <c r="D26" s="10">
        <v>1960</v>
      </c>
      <c r="J26" s="15">
        <v>1989</v>
      </c>
      <c r="K26" s="25">
        <v>71.365493774414105</v>
      </c>
    </row>
    <row r="27" spans="1:11" ht="15">
      <c r="A27" s="9" t="s">
        <v>24</v>
      </c>
      <c r="B27" s="10" t="s">
        <v>35</v>
      </c>
      <c r="C27" s="10"/>
      <c r="D27" s="10">
        <v>1960</v>
      </c>
      <c r="J27" s="15">
        <v>1990</v>
      </c>
      <c r="K27" s="25"/>
    </row>
    <row r="28" spans="1:11" ht="15">
      <c r="A28" s="9" t="s">
        <v>25</v>
      </c>
      <c r="B28" s="10" t="s">
        <v>35</v>
      </c>
      <c r="C28" s="10"/>
      <c r="D28" s="10">
        <v>1960</v>
      </c>
      <c r="J28" s="15">
        <v>1991</v>
      </c>
      <c r="K28" s="25"/>
    </row>
    <row r="29" spans="1:11" ht="15">
      <c r="A29" s="9" t="s">
        <v>26</v>
      </c>
      <c r="B29" s="10" t="s">
        <v>35</v>
      </c>
      <c r="C29" s="10"/>
      <c r="D29" s="10">
        <v>1960</v>
      </c>
      <c r="J29" s="15">
        <v>1992</v>
      </c>
      <c r="K29" s="25"/>
    </row>
    <row r="30" spans="1:11" ht="15">
      <c r="A30" s="9" t="s">
        <v>27</v>
      </c>
      <c r="B30" s="10" t="s">
        <v>35</v>
      </c>
      <c r="C30" s="10"/>
      <c r="D30" s="10">
        <v>1960</v>
      </c>
      <c r="J30" s="15">
        <v>1993</v>
      </c>
      <c r="K30" s="25"/>
    </row>
    <row r="31" spans="1:11" ht="15">
      <c r="A31" s="9" t="s">
        <v>28</v>
      </c>
      <c r="B31" s="10" t="s">
        <v>35</v>
      </c>
      <c r="C31" s="10"/>
      <c r="D31" s="10">
        <v>1960</v>
      </c>
      <c r="J31" s="15">
        <v>1994</v>
      </c>
      <c r="K31" s="25">
        <v>80.894607543945298</v>
      </c>
    </row>
    <row r="32" spans="1:11" ht="15">
      <c r="A32" s="9" t="s">
        <v>29</v>
      </c>
      <c r="B32" s="10" t="s">
        <v>35</v>
      </c>
      <c r="C32" s="10"/>
      <c r="D32" s="10">
        <v>1960</v>
      </c>
      <c r="J32" s="15">
        <v>1995</v>
      </c>
      <c r="K32" s="25">
        <v>78.1546630859375</v>
      </c>
    </row>
    <row r="33" spans="1:11" ht="15">
      <c r="A33" s="11" t="s">
        <v>4</v>
      </c>
      <c r="B33" s="12" t="s">
        <v>35</v>
      </c>
      <c r="C33" s="12"/>
      <c r="D33" s="12">
        <v>1961</v>
      </c>
      <c r="J33" s="15">
        <v>1996</v>
      </c>
      <c r="K33" s="25">
        <v>73.933761596679702</v>
      </c>
    </row>
    <row r="34" spans="1:11" ht="15">
      <c r="A34" s="11" t="s">
        <v>5</v>
      </c>
      <c r="B34" s="12" t="s">
        <v>35</v>
      </c>
      <c r="C34" s="12"/>
      <c r="D34" s="12">
        <v>1961</v>
      </c>
      <c r="J34" s="15">
        <v>1997</v>
      </c>
      <c r="K34" s="25"/>
    </row>
    <row r="35" spans="1:11" ht="15">
      <c r="A35" s="11" t="s">
        <v>6</v>
      </c>
      <c r="B35" s="12" t="s">
        <v>35</v>
      </c>
      <c r="C35" s="12"/>
      <c r="D35" s="12">
        <v>1961</v>
      </c>
      <c r="J35" s="15">
        <v>1998</v>
      </c>
      <c r="K35" s="25">
        <v>66.499549865722699</v>
      </c>
    </row>
    <row r="36" spans="1:11" ht="15">
      <c r="A36" s="11" t="s">
        <v>7</v>
      </c>
      <c r="B36" s="12" t="s">
        <v>35</v>
      </c>
      <c r="C36" s="12"/>
      <c r="D36" s="12">
        <v>1961</v>
      </c>
      <c r="H36" s="29"/>
      <c r="J36" s="15">
        <v>1999</v>
      </c>
      <c r="K36" s="25">
        <v>64.007720947265597</v>
      </c>
    </row>
    <row r="37" spans="1:11" ht="15">
      <c r="A37" s="11" t="s">
        <v>8</v>
      </c>
      <c r="B37" s="12" t="s">
        <v>35</v>
      </c>
      <c r="C37" s="12"/>
      <c r="D37" s="12">
        <v>1961</v>
      </c>
      <c r="J37" s="15">
        <v>2000</v>
      </c>
      <c r="K37" s="25">
        <v>59.9315795898438</v>
      </c>
    </row>
    <row r="38" spans="1:11" ht="15">
      <c r="A38" s="11" t="s">
        <v>1</v>
      </c>
      <c r="B38" s="12" t="s">
        <v>35</v>
      </c>
      <c r="C38" s="12"/>
      <c r="D38" s="12">
        <v>1961</v>
      </c>
      <c r="J38" s="15">
        <v>2001</v>
      </c>
      <c r="K38" s="25">
        <v>55.669109344482401</v>
      </c>
    </row>
    <row r="39" spans="1:11" ht="15">
      <c r="A39" s="11" t="s">
        <v>9</v>
      </c>
      <c r="B39" s="12" t="s">
        <v>35</v>
      </c>
      <c r="C39" s="12"/>
      <c r="D39" s="12">
        <v>1961</v>
      </c>
      <c r="J39" s="15">
        <v>2002</v>
      </c>
      <c r="K39" s="25">
        <v>53.435169219970703</v>
      </c>
    </row>
    <row r="40" spans="1:11" ht="15">
      <c r="A40" s="11" t="s">
        <v>10</v>
      </c>
      <c r="B40" s="12" t="s">
        <v>35</v>
      </c>
      <c r="C40" s="12"/>
      <c r="D40" s="12">
        <v>1961</v>
      </c>
      <c r="J40" s="15">
        <v>2003</v>
      </c>
      <c r="K40" s="25">
        <v>52.647491455078097</v>
      </c>
    </row>
    <row r="41" spans="1:11" ht="15">
      <c r="A41" s="11" t="s">
        <v>11</v>
      </c>
      <c r="B41" s="12" t="s">
        <v>35</v>
      </c>
      <c r="C41" s="12"/>
      <c r="D41" s="12">
        <v>1961</v>
      </c>
      <c r="J41" s="15">
        <v>2004</v>
      </c>
      <c r="K41" s="25">
        <v>49.771209716796903</v>
      </c>
    </row>
    <row r="42" spans="1:11" ht="15">
      <c r="A42" s="11" t="s">
        <v>38</v>
      </c>
      <c r="B42" s="12" t="s">
        <v>35</v>
      </c>
      <c r="C42" s="12"/>
      <c r="D42" s="12">
        <v>1961</v>
      </c>
      <c r="J42" s="15">
        <v>2005</v>
      </c>
      <c r="K42" s="25">
        <v>38.842800140380902</v>
      </c>
    </row>
    <row r="43" spans="1:11" ht="15">
      <c r="A43" s="11" t="s">
        <v>12</v>
      </c>
      <c r="B43" s="12" t="s">
        <v>35</v>
      </c>
      <c r="C43" s="12"/>
      <c r="D43" s="12">
        <v>1961</v>
      </c>
      <c r="J43" s="15">
        <v>2006</v>
      </c>
      <c r="K43" s="25">
        <v>34.163490295410199</v>
      </c>
    </row>
    <row r="44" spans="1:11" ht="15">
      <c r="A44" s="11" t="s">
        <v>13</v>
      </c>
      <c r="B44" s="12" t="s">
        <v>35</v>
      </c>
      <c r="C44" s="12"/>
      <c r="D44" s="12">
        <v>1961</v>
      </c>
      <c r="J44" s="15">
        <v>2007</v>
      </c>
      <c r="K44" s="25">
        <v>28.994960784912099</v>
      </c>
    </row>
    <row r="45" spans="1:11" ht="15">
      <c r="A45" s="11" t="s">
        <v>14</v>
      </c>
      <c r="B45" s="12" t="s">
        <v>35</v>
      </c>
      <c r="C45" s="12"/>
      <c r="D45" s="12">
        <v>1961</v>
      </c>
      <c r="J45" s="15">
        <v>2008</v>
      </c>
      <c r="K45" s="25">
        <v>23.365360260009801</v>
      </c>
    </row>
    <row r="46" spans="1:11" ht="15">
      <c r="A46" s="11" t="s">
        <v>15</v>
      </c>
      <c r="B46" s="12" t="s">
        <v>35</v>
      </c>
      <c r="C46" s="12"/>
      <c r="D46" s="12">
        <v>1961</v>
      </c>
      <c r="J46" s="15">
        <v>2009</v>
      </c>
      <c r="K46" s="25">
        <v>23.799770355224599</v>
      </c>
    </row>
    <row r="47" spans="1:11" ht="15">
      <c r="A47" s="11" t="s">
        <v>16</v>
      </c>
      <c r="B47" s="12" t="s">
        <v>35</v>
      </c>
      <c r="C47" s="12"/>
      <c r="D47" s="12">
        <v>1961</v>
      </c>
      <c r="J47" s="15">
        <v>2010</v>
      </c>
      <c r="K47" s="25">
        <v>25.711769104003899</v>
      </c>
    </row>
    <row r="48" spans="1:11" ht="15">
      <c r="A48" s="11" t="s">
        <v>17</v>
      </c>
      <c r="B48" s="12" t="s">
        <v>35</v>
      </c>
      <c r="C48" s="12"/>
      <c r="D48" s="12">
        <v>1961</v>
      </c>
      <c r="J48" s="15">
        <v>2011</v>
      </c>
      <c r="K48" s="25">
        <v>21.749940872192401</v>
      </c>
    </row>
    <row r="49" spans="1:11" ht="15">
      <c r="A49" s="11" t="s">
        <v>18</v>
      </c>
      <c r="B49" s="12" t="s">
        <v>35</v>
      </c>
      <c r="C49" s="12"/>
      <c r="D49" s="12">
        <v>1961</v>
      </c>
      <c r="J49" s="15">
        <v>2012</v>
      </c>
      <c r="K49" s="25">
        <v>20.509889602661101</v>
      </c>
    </row>
    <row r="50" spans="1:11" ht="15">
      <c r="A50" s="11" t="s">
        <v>19</v>
      </c>
      <c r="B50" s="12" t="s">
        <v>35</v>
      </c>
      <c r="C50" s="12"/>
      <c r="D50" s="12">
        <v>1961</v>
      </c>
      <c r="J50" s="15">
        <v>2013</v>
      </c>
      <c r="K50" s="25"/>
    </row>
    <row r="51" spans="1:11" ht="15">
      <c r="A51" s="11" t="s">
        <v>20</v>
      </c>
      <c r="B51" s="12" t="s">
        <v>35</v>
      </c>
      <c r="C51" s="12"/>
      <c r="D51" s="12">
        <v>1961</v>
      </c>
      <c r="J51" s="15">
        <v>2014</v>
      </c>
      <c r="K51" s="25">
        <v>13.6830501556396</v>
      </c>
    </row>
    <row r="52" spans="1:11" ht="15">
      <c r="A52" s="11" t="s">
        <v>21</v>
      </c>
      <c r="B52" s="12" t="s">
        <v>35</v>
      </c>
      <c r="C52" s="12"/>
      <c r="D52" s="12">
        <v>1961</v>
      </c>
      <c r="J52" s="15">
        <v>2015</v>
      </c>
      <c r="K52" s="25">
        <v>13.980970382690399</v>
      </c>
    </row>
    <row r="53" spans="1:11" ht="15">
      <c r="A53" s="11" t="s">
        <v>22</v>
      </c>
      <c r="B53" s="12" t="s">
        <v>35</v>
      </c>
      <c r="C53" s="12"/>
      <c r="D53" s="12">
        <v>1961</v>
      </c>
      <c r="J53" s="15">
        <v>2016</v>
      </c>
      <c r="K53" s="25"/>
    </row>
    <row r="54" spans="1:11" ht="28.5">
      <c r="A54" s="11" t="s">
        <v>23</v>
      </c>
      <c r="B54" s="12" t="s">
        <v>35</v>
      </c>
      <c r="C54" s="12"/>
      <c r="D54" s="12">
        <v>1961</v>
      </c>
      <c r="J54" s="16">
        <v>2017</v>
      </c>
      <c r="K54" s="26"/>
    </row>
    <row r="55" spans="1:11" ht="19.899999999999999" customHeight="1">
      <c r="A55" s="11" t="s">
        <v>24</v>
      </c>
      <c r="B55" s="12" t="s">
        <v>35</v>
      </c>
      <c r="C55" s="12"/>
      <c r="D55" s="12">
        <v>1961</v>
      </c>
    </row>
    <row r="56" spans="1:11" ht="19.899999999999999" customHeight="1">
      <c r="A56" s="11" t="s">
        <v>25</v>
      </c>
      <c r="B56" s="12" t="s">
        <v>35</v>
      </c>
      <c r="C56" s="12"/>
      <c r="D56" s="12">
        <v>1961</v>
      </c>
    </row>
    <row r="57" spans="1:11" ht="19.899999999999999" customHeight="1">
      <c r="A57" s="11" t="s">
        <v>26</v>
      </c>
      <c r="B57" s="12" t="s">
        <v>35</v>
      </c>
      <c r="C57" s="12"/>
      <c r="D57" s="12">
        <v>1961</v>
      </c>
    </row>
    <row r="58" spans="1:11" ht="19.899999999999999" customHeight="1">
      <c r="A58" s="11" t="s">
        <v>27</v>
      </c>
      <c r="B58" s="12" t="s">
        <v>35</v>
      </c>
      <c r="C58" s="12"/>
      <c r="D58" s="12">
        <v>1961</v>
      </c>
    </row>
    <row r="59" spans="1:11" ht="19.899999999999999" customHeight="1">
      <c r="A59" s="11" t="s">
        <v>28</v>
      </c>
      <c r="B59" s="12" t="s">
        <v>35</v>
      </c>
      <c r="C59" s="12"/>
      <c r="D59" s="12">
        <v>1961</v>
      </c>
    </row>
    <row r="60" spans="1:11" ht="19.899999999999999" customHeight="1">
      <c r="A60" s="11" t="s">
        <v>29</v>
      </c>
      <c r="B60" s="12" t="s">
        <v>35</v>
      </c>
      <c r="C60" s="12"/>
      <c r="D60" s="12">
        <v>1961</v>
      </c>
    </row>
    <row r="61" spans="1:11" ht="19.899999999999999" customHeight="1">
      <c r="A61" s="11" t="s">
        <v>4</v>
      </c>
      <c r="B61" s="12" t="s">
        <v>35</v>
      </c>
      <c r="C61" s="12"/>
      <c r="D61" s="12">
        <v>1962</v>
      </c>
    </row>
    <row r="62" spans="1:11" ht="19.899999999999999" customHeight="1">
      <c r="A62" s="11" t="s">
        <v>5</v>
      </c>
      <c r="B62" s="12" t="s">
        <v>35</v>
      </c>
      <c r="C62" s="12"/>
      <c r="D62" s="12">
        <v>1962</v>
      </c>
    </row>
    <row r="63" spans="1:11" ht="19.899999999999999" customHeight="1">
      <c r="A63" s="11" t="s">
        <v>6</v>
      </c>
      <c r="B63" s="12" t="s">
        <v>35</v>
      </c>
      <c r="C63" s="12"/>
      <c r="D63" s="12">
        <v>1962</v>
      </c>
    </row>
    <row r="64" spans="1:11" ht="19.899999999999999" customHeight="1">
      <c r="A64" s="11" t="s">
        <v>7</v>
      </c>
      <c r="B64" s="12" t="s">
        <v>35</v>
      </c>
      <c r="C64" s="12"/>
      <c r="D64" s="12">
        <v>1962</v>
      </c>
    </row>
    <row r="65" spans="1:4" ht="19.899999999999999" customHeight="1">
      <c r="A65" s="11" t="s">
        <v>8</v>
      </c>
      <c r="B65" s="12" t="s">
        <v>35</v>
      </c>
      <c r="C65" s="12"/>
      <c r="D65" s="12">
        <v>1962</v>
      </c>
    </row>
    <row r="66" spans="1:4" ht="19.899999999999999" customHeight="1">
      <c r="A66" s="11" t="s">
        <v>1</v>
      </c>
      <c r="B66" s="12" t="s">
        <v>35</v>
      </c>
      <c r="C66" s="12"/>
      <c r="D66" s="12">
        <v>1962</v>
      </c>
    </row>
    <row r="67" spans="1:4" ht="19.899999999999999" customHeight="1">
      <c r="A67" s="11" t="s">
        <v>9</v>
      </c>
      <c r="B67" s="12" t="s">
        <v>35</v>
      </c>
      <c r="C67" s="12"/>
      <c r="D67" s="12">
        <v>1962</v>
      </c>
    </row>
    <row r="68" spans="1:4" ht="19.899999999999999" customHeight="1">
      <c r="A68" s="11" t="s">
        <v>10</v>
      </c>
      <c r="B68" s="12" t="s">
        <v>35</v>
      </c>
      <c r="C68" s="12"/>
      <c r="D68" s="12">
        <v>1962</v>
      </c>
    </row>
    <row r="69" spans="1:4" ht="19.899999999999999" customHeight="1">
      <c r="A69" s="11" t="s">
        <v>11</v>
      </c>
      <c r="B69" s="12" t="s">
        <v>35</v>
      </c>
      <c r="C69" s="12"/>
      <c r="D69" s="12">
        <v>1962</v>
      </c>
    </row>
    <row r="70" spans="1:4" ht="19.899999999999999" customHeight="1">
      <c r="A70" s="11" t="s">
        <v>38</v>
      </c>
      <c r="B70" s="12" t="s">
        <v>35</v>
      </c>
      <c r="C70" s="12"/>
      <c r="D70" s="12">
        <v>1962</v>
      </c>
    </row>
    <row r="71" spans="1:4" ht="19.899999999999999" customHeight="1">
      <c r="A71" s="11" t="s">
        <v>12</v>
      </c>
      <c r="B71" s="12" t="s">
        <v>35</v>
      </c>
      <c r="C71" s="12"/>
      <c r="D71" s="12">
        <v>1962</v>
      </c>
    </row>
    <row r="72" spans="1:4" ht="19.899999999999999" customHeight="1">
      <c r="A72" s="11" t="s">
        <v>13</v>
      </c>
      <c r="B72" s="12" t="s">
        <v>35</v>
      </c>
      <c r="C72" s="12"/>
      <c r="D72" s="12">
        <v>1962</v>
      </c>
    </row>
    <row r="73" spans="1:4" ht="19.899999999999999" customHeight="1">
      <c r="A73" s="11" t="s">
        <v>14</v>
      </c>
      <c r="B73" s="12" t="s">
        <v>35</v>
      </c>
      <c r="C73" s="12"/>
      <c r="D73" s="12">
        <v>1962</v>
      </c>
    </row>
    <row r="74" spans="1:4" ht="19.899999999999999" customHeight="1">
      <c r="A74" s="11" t="s">
        <v>15</v>
      </c>
      <c r="B74" s="12" t="s">
        <v>35</v>
      </c>
      <c r="C74" s="12"/>
      <c r="D74" s="12">
        <v>1962</v>
      </c>
    </row>
    <row r="75" spans="1:4" ht="19.899999999999999" customHeight="1">
      <c r="A75" s="11" t="s">
        <v>16</v>
      </c>
      <c r="B75" s="12" t="s">
        <v>35</v>
      </c>
      <c r="C75" s="12"/>
      <c r="D75" s="12">
        <v>1962</v>
      </c>
    </row>
    <row r="76" spans="1:4" ht="19.899999999999999" customHeight="1">
      <c r="A76" s="11" t="s">
        <v>17</v>
      </c>
      <c r="B76" s="12" t="s">
        <v>35</v>
      </c>
      <c r="C76" s="12"/>
      <c r="D76" s="12">
        <v>1962</v>
      </c>
    </row>
    <row r="77" spans="1:4" ht="19.899999999999999" customHeight="1">
      <c r="A77" s="11" t="s">
        <v>18</v>
      </c>
      <c r="B77" s="12" t="s">
        <v>35</v>
      </c>
      <c r="C77" s="12"/>
      <c r="D77" s="12">
        <v>1962</v>
      </c>
    </row>
    <row r="78" spans="1:4" ht="19.899999999999999" customHeight="1">
      <c r="A78" s="11" t="s">
        <v>19</v>
      </c>
      <c r="B78" s="12" t="s">
        <v>35</v>
      </c>
      <c r="C78" s="12"/>
      <c r="D78" s="12">
        <v>1962</v>
      </c>
    </row>
    <row r="79" spans="1:4" ht="19.899999999999999" customHeight="1">
      <c r="A79" s="11" t="s">
        <v>20</v>
      </c>
      <c r="B79" s="12" t="s">
        <v>35</v>
      </c>
      <c r="C79" s="12"/>
      <c r="D79" s="12">
        <v>1962</v>
      </c>
    </row>
    <row r="80" spans="1:4" ht="19.899999999999999" customHeight="1">
      <c r="A80" s="11" t="s">
        <v>21</v>
      </c>
      <c r="B80" s="12" t="s">
        <v>35</v>
      </c>
      <c r="C80" s="12"/>
      <c r="D80" s="12">
        <v>1962</v>
      </c>
    </row>
    <row r="81" spans="1:4" ht="19.899999999999999" customHeight="1">
      <c r="A81" s="11" t="s">
        <v>22</v>
      </c>
      <c r="B81" s="12" t="s">
        <v>35</v>
      </c>
      <c r="C81" s="12"/>
      <c r="D81" s="12">
        <v>1962</v>
      </c>
    </row>
    <row r="82" spans="1:4" ht="19.899999999999999" customHeight="1">
      <c r="A82" s="11" t="s">
        <v>23</v>
      </c>
      <c r="B82" s="12" t="s">
        <v>35</v>
      </c>
      <c r="C82" s="12"/>
      <c r="D82" s="12">
        <v>1962</v>
      </c>
    </row>
    <row r="83" spans="1:4" ht="19.899999999999999" customHeight="1">
      <c r="A83" s="11" t="s">
        <v>24</v>
      </c>
      <c r="B83" s="12" t="s">
        <v>35</v>
      </c>
      <c r="C83" s="12"/>
      <c r="D83" s="12">
        <v>1962</v>
      </c>
    </row>
    <row r="84" spans="1:4" ht="19.899999999999999" customHeight="1">
      <c r="A84" s="11" t="s">
        <v>25</v>
      </c>
      <c r="B84" s="12" t="s">
        <v>35</v>
      </c>
      <c r="C84" s="12"/>
      <c r="D84" s="12">
        <v>1962</v>
      </c>
    </row>
    <row r="85" spans="1:4" ht="19.899999999999999" customHeight="1">
      <c r="A85" s="11" t="s">
        <v>26</v>
      </c>
      <c r="B85" s="12" t="s">
        <v>35</v>
      </c>
      <c r="C85" s="12"/>
      <c r="D85" s="12">
        <v>1962</v>
      </c>
    </row>
    <row r="86" spans="1:4" ht="19.899999999999999" customHeight="1">
      <c r="A86" s="11" t="s">
        <v>27</v>
      </c>
      <c r="B86" s="12" t="s">
        <v>35</v>
      </c>
      <c r="C86" s="12"/>
      <c r="D86" s="12">
        <v>1962</v>
      </c>
    </row>
    <row r="87" spans="1:4" ht="19.899999999999999" customHeight="1">
      <c r="A87" s="11" t="s">
        <v>28</v>
      </c>
      <c r="B87" s="12" t="s">
        <v>35</v>
      </c>
      <c r="C87" s="12"/>
      <c r="D87" s="12">
        <v>1962</v>
      </c>
    </row>
    <row r="88" spans="1:4" ht="19.899999999999999" customHeight="1">
      <c r="A88" s="11" t="s">
        <v>29</v>
      </c>
      <c r="B88" s="12" t="s">
        <v>35</v>
      </c>
      <c r="C88" s="12"/>
      <c r="D88" s="12">
        <v>1962</v>
      </c>
    </row>
    <row r="89" spans="1:4" ht="19.899999999999999" customHeight="1">
      <c r="A89" s="11" t="s">
        <v>4</v>
      </c>
      <c r="B89" s="12" t="s">
        <v>35</v>
      </c>
      <c r="C89" s="12"/>
      <c r="D89" s="12">
        <v>1963</v>
      </c>
    </row>
    <row r="90" spans="1:4" ht="19.899999999999999" customHeight="1">
      <c r="A90" s="11" t="s">
        <v>5</v>
      </c>
      <c r="B90" s="12" t="s">
        <v>35</v>
      </c>
      <c r="C90" s="12"/>
      <c r="D90" s="12">
        <v>1963</v>
      </c>
    </row>
    <row r="91" spans="1:4" ht="19.899999999999999" customHeight="1">
      <c r="A91" s="11" t="s">
        <v>6</v>
      </c>
      <c r="B91" s="12" t="s">
        <v>35</v>
      </c>
      <c r="C91" s="12"/>
      <c r="D91" s="12">
        <v>1963</v>
      </c>
    </row>
    <row r="92" spans="1:4" ht="19.899999999999999" customHeight="1">
      <c r="A92" s="11" t="s">
        <v>7</v>
      </c>
      <c r="B92" s="12" t="s">
        <v>35</v>
      </c>
      <c r="C92" s="12"/>
      <c r="D92" s="12">
        <v>1963</v>
      </c>
    </row>
    <row r="93" spans="1:4" ht="19.899999999999999" customHeight="1">
      <c r="A93" s="11" t="s">
        <v>8</v>
      </c>
      <c r="B93" s="12" t="s">
        <v>35</v>
      </c>
      <c r="C93" s="12"/>
      <c r="D93" s="12">
        <v>1963</v>
      </c>
    </row>
    <row r="94" spans="1:4" ht="19.899999999999999" customHeight="1">
      <c r="A94" s="11" t="s">
        <v>1</v>
      </c>
      <c r="B94" s="12" t="s">
        <v>35</v>
      </c>
      <c r="C94" s="12"/>
      <c r="D94" s="12">
        <v>1963</v>
      </c>
    </row>
    <row r="95" spans="1:4" ht="19.899999999999999" customHeight="1">
      <c r="A95" s="11" t="s">
        <v>9</v>
      </c>
      <c r="B95" s="12" t="s">
        <v>35</v>
      </c>
      <c r="C95" s="12"/>
      <c r="D95" s="12">
        <v>1963</v>
      </c>
    </row>
    <row r="96" spans="1:4" ht="19.899999999999999" customHeight="1">
      <c r="A96" s="11" t="s">
        <v>10</v>
      </c>
      <c r="B96" s="12" t="s">
        <v>35</v>
      </c>
      <c r="C96" s="12"/>
      <c r="D96" s="12">
        <v>1963</v>
      </c>
    </row>
    <row r="97" spans="1:4" ht="19.899999999999999" customHeight="1">
      <c r="A97" s="11" t="s">
        <v>11</v>
      </c>
      <c r="B97" s="12" t="s">
        <v>35</v>
      </c>
      <c r="C97" s="12"/>
      <c r="D97" s="12">
        <v>1963</v>
      </c>
    </row>
    <row r="98" spans="1:4" ht="19.899999999999999" customHeight="1">
      <c r="A98" s="11" t="s">
        <v>38</v>
      </c>
      <c r="B98" s="12" t="s">
        <v>35</v>
      </c>
      <c r="C98" s="12"/>
      <c r="D98" s="12">
        <v>1963</v>
      </c>
    </row>
    <row r="99" spans="1:4" ht="19.899999999999999" customHeight="1">
      <c r="A99" s="11" t="s">
        <v>12</v>
      </c>
      <c r="B99" s="12" t="s">
        <v>35</v>
      </c>
      <c r="C99" s="12"/>
      <c r="D99" s="12">
        <v>1963</v>
      </c>
    </row>
    <row r="100" spans="1:4" ht="19.899999999999999" customHeight="1">
      <c r="A100" s="11" t="s">
        <v>13</v>
      </c>
      <c r="B100" s="12" t="s">
        <v>35</v>
      </c>
      <c r="C100" s="12"/>
      <c r="D100" s="12">
        <v>1963</v>
      </c>
    </row>
    <row r="101" spans="1:4" ht="19.899999999999999" customHeight="1">
      <c r="A101" s="11" t="s">
        <v>14</v>
      </c>
      <c r="B101" s="12" t="s">
        <v>35</v>
      </c>
      <c r="C101" s="12"/>
      <c r="D101" s="12">
        <v>1963</v>
      </c>
    </row>
    <row r="102" spans="1:4" ht="19.899999999999999" customHeight="1">
      <c r="A102" s="11" t="s">
        <v>15</v>
      </c>
      <c r="B102" s="12" t="s">
        <v>35</v>
      </c>
      <c r="C102" s="12"/>
      <c r="D102" s="12">
        <v>1963</v>
      </c>
    </row>
    <row r="103" spans="1:4" ht="19.899999999999999" customHeight="1">
      <c r="A103" s="11" t="s">
        <v>16</v>
      </c>
      <c r="B103" s="12" t="s">
        <v>35</v>
      </c>
      <c r="C103" s="12"/>
      <c r="D103" s="12">
        <v>1963</v>
      </c>
    </row>
    <row r="104" spans="1:4" ht="19.899999999999999" customHeight="1">
      <c r="A104" s="11" t="s">
        <v>17</v>
      </c>
      <c r="B104" s="12" t="s">
        <v>35</v>
      </c>
      <c r="C104" s="12"/>
      <c r="D104" s="12">
        <v>1963</v>
      </c>
    </row>
    <row r="105" spans="1:4" ht="19.899999999999999" customHeight="1">
      <c r="A105" s="11" t="s">
        <v>18</v>
      </c>
      <c r="B105" s="12" t="s">
        <v>35</v>
      </c>
      <c r="C105" s="12"/>
      <c r="D105" s="12">
        <v>1963</v>
      </c>
    </row>
    <row r="106" spans="1:4" ht="19.899999999999999" customHeight="1">
      <c r="A106" s="11" t="s">
        <v>19</v>
      </c>
      <c r="B106" s="12" t="s">
        <v>35</v>
      </c>
      <c r="C106" s="12"/>
      <c r="D106" s="12">
        <v>1963</v>
      </c>
    </row>
    <row r="107" spans="1:4" ht="19.899999999999999" customHeight="1">
      <c r="A107" s="11" t="s">
        <v>20</v>
      </c>
      <c r="B107" s="12" t="s">
        <v>35</v>
      </c>
      <c r="C107" s="12"/>
      <c r="D107" s="12">
        <v>1963</v>
      </c>
    </row>
    <row r="108" spans="1:4" ht="19.899999999999999" customHeight="1">
      <c r="A108" s="11" t="s">
        <v>21</v>
      </c>
      <c r="B108" s="12" t="s">
        <v>35</v>
      </c>
      <c r="C108" s="12"/>
      <c r="D108" s="12">
        <v>1963</v>
      </c>
    </row>
    <row r="109" spans="1:4" ht="19.899999999999999" customHeight="1">
      <c r="A109" s="11" t="s">
        <v>22</v>
      </c>
      <c r="B109" s="12" t="s">
        <v>35</v>
      </c>
      <c r="C109" s="12"/>
      <c r="D109" s="12">
        <v>1963</v>
      </c>
    </row>
    <row r="110" spans="1:4" ht="19.899999999999999" customHeight="1">
      <c r="A110" s="11" t="s">
        <v>23</v>
      </c>
      <c r="B110" s="12" t="s">
        <v>35</v>
      </c>
      <c r="C110" s="12"/>
      <c r="D110" s="12">
        <v>1963</v>
      </c>
    </row>
    <row r="111" spans="1:4" ht="19.899999999999999" customHeight="1">
      <c r="A111" s="11" t="s">
        <v>24</v>
      </c>
      <c r="B111" s="12" t="s">
        <v>35</v>
      </c>
      <c r="C111" s="12"/>
      <c r="D111" s="12">
        <v>1963</v>
      </c>
    </row>
    <row r="112" spans="1:4" ht="19.899999999999999" customHeight="1">
      <c r="A112" s="11" t="s">
        <v>25</v>
      </c>
      <c r="B112" s="12" t="s">
        <v>35</v>
      </c>
      <c r="C112" s="12"/>
      <c r="D112" s="12">
        <v>1963</v>
      </c>
    </row>
    <row r="113" spans="1:4" ht="19.899999999999999" customHeight="1">
      <c r="A113" s="11" t="s">
        <v>26</v>
      </c>
      <c r="B113" s="12" t="s">
        <v>35</v>
      </c>
      <c r="C113" s="12"/>
      <c r="D113" s="12">
        <v>1963</v>
      </c>
    </row>
    <row r="114" spans="1:4" ht="19.899999999999999" customHeight="1">
      <c r="A114" s="11" t="s">
        <v>27</v>
      </c>
      <c r="B114" s="12" t="s">
        <v>35</v>
      </c>
      <c r="C114" s="12"/>
      <c r="D114" s="12">
        <v>1963</v>
      </c>
    </row>
    <row r="115" spans="1:4" ht="19.899999999999999" customHeight="1">
      <c r="A115" s="11" t="s">
        <v>28</v>
      </c>
      <c r="B115" s="12" t="s">
        <v>35</v>
      </c>
      <c r="C115" s="12"/>
      <c r="D115" s="12">
        <v>1963</v>
      </c>
    </row>
    <row r="116" spans="1:4" ht="19.899999999999999" customHeight="1">
      <c r="A116" s="11" t="s">
        <v>29</v>
      </c>
      <c r="B116" s="12" t="s">
        <v>35</v>
      </c>
      <c r="C116" s="12"/>
      <c r="D116" s="12">
        <v>1963</v>
      </c>
    </row>
    <row r="117" spans="1:4" ht="19.899999999999999" customHeight="1">
      <c r="A117" s="11" t="s">
        <v>4</v>
      </c>
      <c r="B117" s="12" t="s">
        <v>35</v>
      </c>
      <c r="C117" s="12"/>
      <c r="D117" s="12">
        <v>1964</v>
      </c>
    </row>
    <row r="118" spans="1:4" ht="19.899999999999999" customHeight="1">
      <c r="A118" s="11" t="s">
        <v>5</v>
      </c>
      <c r="B118" s="12" t="s">
        <v>35</v>
      </c>
      <c r="C118" s="12"/>
      <c r="D118" s="12">
        <v>1964</v>
      </c>
    </row>
    <row r="119" spans="1:4" ht="19.899999999999999" customHeight="1">
      <c r="A119" s="11" t="s">
        <v>6</v>
      </c>
      <c r="B119" s="12" t="s">
        <v>35</v>
      </c>
      <c r="C119" s="12"/>
      <c r="D119" s="12">
        <v>1964</v>
      </c>
    </row>
    <row r="120" spans="1:4" ht="19.899999999999999" customHeight="1">
      <c r="A120" s="11" t="s">
        <v>7</v>
      </c>
      <c r="B120" s="12" t="s">
        <v>35</v>
      </c>
      <c r="C120" s="12"/>
      <c r="D120" s="12">
        <v>1964</v>
      </c>
    </row>
    <row r="121" spans="1:4" ht="19.899999999999999" customHeight="1">
      <c r="A121" s="11" t="s">
        <v>8</v>
      </c>
      <c r="B121" s="12" t="s">
        <v>35</v>
      </c>
      <c r="C121" s="12"/>
      <c r="D121" s="12">
        <v>1964</v>
      </c>
    </row>
    <row r="122" spans="1:4" ht="19.899999999999999" customHeight="1">
      <c r="A122" s="11" t="s">
        <v>1</v>
      </c>
      <c r="B122" s="12" t="s">
        <v>35</v>
      </c>
      <c r="C122" s="12"/>
      <c r="D122" s="12">
        <v>1964</v>
      </c>
    </row>
    <row r="123" spans="1:4" ht="19.899999999999999" customHeight="1">
      <c r="A123" s="11" t="s">
        <v>9</v>
      </c>
      <c r="B123" s="12" t="s">
        <v>35</v>
      </c>
      <c r="C123" s="12"/>
      <c r="D123" s="12">
        <v>1964</v>
      </c>
    </row>
    <row r="124" spans="1:4" ht="19.899999999999999" customHeight="1">
      <c r="A124" s="11" t="s">
        <v>10</v>
      </c>
      <c r="B124" s="12" t="s">
        <v>35</v>
      </c>
      <c r="C124" s="12"/>
      <c r="D124" s="12">
        <v>1964</v>
      </c>
    </row>
    <row r="125" spans="1:4" ht="19.899999999999999" customHeight="1">
      <c r="A125" s="11" t="s">
        <v>11</v>
      </c>
      <c r="B125" s="12" t="s">
        <v>35</v>
      </c>
      <c r="C125" s="12"/>
      <c r="D125" s="12">
        <v>1964</v>
      </c>
    </row>
    <row r="126" spans="1:4" ht="19.899999999999999" customHeight="1">
      <c r="A126" s="11" t="s">
        <v>38</v>
      </c>
      <c r="B126" s="12" t="s">
        <v>35</v>
      </c>
      <c r="C126" s="12"/>
      <c r="D126" s="12">
        <v>1964</v>
      </c>
    </row>
    <row r="127" spans="1:4" ht="19.899999999999999" customHeight="1">
      <c r="A127" s="11" t="s">
        <v>12</v>
      </c>
      <c r="B127" s="12" t="s">
        <v>35</v>
      </c>
      <c r="C127" s="12"/>
      <c r="D127" s="12">
        <v>1964</v>
      </c>
    </row>
    <row r="128" spans="1:4" ht="19.899999999999999" customHeight="1">
      <c r="A128" s="11" t="s">
        <v>13</v>
      </c>
      <c r="B128" s="12" t="s">
        <v>35</v>
      </c>
      <c r="C128" s="12"/>
      <c r="D128" s="12">
        <v>1964</v>
      </c>
    </row>
    <row r="129" spans="1:4" ht="19.899999999999999" customHeight="1">
      <c r="A129" s="11" t="s">
        <v>14</v>
      </c>
      <c r="B129" s="12" t="s">
        <v>35</v>
      </c>
      <c r="C129" s="12"/>
      <c r="D129" s="12">
        <v>1964</v>
      </c>
    </row>
    <row r="130" spans="1:4" ht="19.899999999999999" customHeight="1">
      <c r="A130" s="11" t="s">
        <v>15</v>
      </c>
      <c r="B130" s="12" t="s">
        <v>35</v>
      </c>
      <c r="C130" s="12"/>
      <c r="D130" s="12">
        <v>1964</v>
      </c>
    </row>
    <row r="131" spans="1:4" ht="19.899999999999999" customHeight="1">
      <c r="A131" s="11" t="s">
        <v>16</v>
      </c>
      <c r="B131" s="12" t="s">
        <v>35</v>
      </c>
      <c r="C131" s="12"/>
      <c r="D131" s="12">
        <v>1964</v>
      </c>
    </row>
    <row r="132" spans="1:4" ht="19.899999999999999" customHeight="1">
      <c r="A132" s="11" t="s">
        <v>17</v>
      </c>
      <c r="B132" s="12" t="s">
        <v>35</v>
      </c>
      <c r="C132" s="12"/>
      <c r="D132" s="12">
        <v>1964</v>
      </c>
    </row>
    <row r="133" spans="1:4" ht="19.899999999999999" customHeight="1">
      <c r="A133" s="11" t="s">
        <v>18</v>
      </c>
      <c r="B133" s="12" t="s">
        <v>35</v>
      </c>
      <c r="C133" s="12"/>
      <c r="D133" s="12">
        <v>1964</v>
      </c>
    </row>
    <row r="134" spans="1:4" ht="19.899999999999999" customHeight="1">
      <c r="A134" s="11" t="s">
        <v>19</v>
      </c>
      <c r="B134" s="12" t="s">
        <v>35</v>
      </c>
      <c r="C134" s="12"/>
      <c r="D134" s="12">
        <v>1964</v>
      </c>
    </row>
    <row r="135" spans="1:4" ht="19.899999999999999" customHeight="1">
      <c r="A135" s="11" t="s">
        <v>20</v>
      </c>
      <c r="B135" s="12" t="s">
        <v>35</v>
      </c>
      <c r="C135" s="12"/>
      <c r="D135" s="12">
        <v>1964</v>
      </c>
    </row>
    <row r="136" spans="1:4" ht="19.899999999999999" customHeight="1">
      <c r="A136" s="11" t="s">
        <v>21</v>
      </c>
      <c r="B136" s="12" t="s">
        <v>35</v>
      </c>
      <c r="C136" s="12"/>
      <c r="D136" s="12">
        <v>1964</v>
      </c>
    </row>
    <row r="137" spans="1:4" ht="19.899999999999999" customHeight="1">
      <c r="A137" s="11" t="s">
        <v>22</v>
      </c>
      <c r="B137" s="12" t="s">
        <v>35</v>
      </c>
      <c r="C137" s="12"/>
      <c r="D137" s="12">
        <v>1964</v>
      </c>
    </row>
    <row r="138" spans="1:4" ht="19.899999999999999" customHeight="1">
      <c r="A138" s="11" t="s">
        <v>23</v>
      </c>
      <c r="B138" s="12" t="s">
        <v>35</v>
      </c>
      <c r="C138" s="12"/>
      <c r="D138" s="12">
        <v>1964</v>
      </c>
    </row>
    <row r="139" spans="1:4" ht="19.899999999999999" customHeight="1">
      <c r="A139" s="11" t="s">
        <v>24</v>
      </c>
      <c r="B139" s="12" t="s">
        <v>35</v>
      </c>
      <c r="C139" s="12"/>
      <c r="D139" s="12">
        <v>1964</v>
      </c>
    </row>
    <row r="140" spans="1:4" ht="19.899999999999999" customHeight="1">
      <c r="A140" s="11" t="s">
        <v>25</v>
      </c>
      <c r="B140" s="12" t="s">
        <v>35</v>
      </c>
      <c r="C140" s="12"/>
      <c r="D140" s="12">
        <v>1964</v>
      </c>
    </row>
    <row r="141" spans="1:4" ht="19.899999999999999" customHeight="1">
      <c r="A141" s="11" t="s">
        <v>26</v>
      </c>
      <c r="B141" s="12" t="s">
        <v>35</v>
      </c>
      <c r="C141" s="12"/>
      <c r="D141" s="12">
        <v>1964</v>
      </c>
    </row>
    <row r="142" spans="1:4" ht="19.899999999999999" customHeight="1">
      <c r="A142" s="11" t="s">
        <v>27</v>
      </c>
      <c r="B142" s="12" t="s">
        <v>35</v>
      </c>
      <c r="C142" s="12"/>
      <c r="D142" s="12">
        <v>1964</v>
      </c>
    </row>
    <row r="143" spans="1:4" ht="19.899999999999999" customHeight="1">
      <c r="A143" s="11" t="s">
        <v>28</v>
      </c>
      <c r="B143" s="12" t="s">
        <v>35</v>
      </c>
      <c r="C143" s="12"/>
      <c r="D143" s="12">
        <v>1964</v>
      </c>
    </row>
    <row r="144" spans="1:4" ht="19.899999999999999" customHeight="1">
      <c r="A144" s="11" t="s">
        <v>29</v>
      </c>
      <c r="B144" s="12" t="s">
        <v>35</v>
      </c>
      <c r="C144" s="12"/>
      <c r="D144" s="12">
        <v>1964</v>
      </c>
    </row>
    <row r="145" spans="1:4" ht="19.899999999999999" customHeight="1">
      <c r="A145" s="11" t="s">
        <v>4</v>
      </c>
      <c r="B145" s="12" t="s">
        <v>35</v>
      </c>
      <c r="C145" s="12"/>
      <c r="D145" s="12">
        <v>1965</v>
      </c>
    </row>
    <row r="146" spans="1:4" ht="19.899999999999999" customHeight="1">
      <c r="A146" s="11" t="s">
        <v>5</v>
      </c>
      <c r="B146" s="12" t="s">
        <v>35</v>
      </c>
      <c r="C146" s="12"/>
      <c r="D146" s="12">
        <v>1965</v>
      </c>
    </row>
    <row r="147" spans="1:4" ht="19.899999999999999" customHeight="1">
      <c r="A147" s="11" t="s">
        <v>6</v>
      </c>
      <c r="B147" s="12" t="s">
        <v>35</v>
      </c>
      <c r="C147" s="12"/>
      <c r="D147" s="12">
        <v>1965</v>
      </c>
    </row>
    <row r="148" spans="1:4" ht="19.899999999999999" customHeight="1">
      <c r="A148" s="11" t="s">
        <v>7</v>
      </c>
      <c r="B148" s="12" t="s">
        <v>35</v>
      </c>
      <c r="C148" s="12"/>
      <c r="D148" s="12">
        <v>1965</v>
      </c>
    </row>
    <row r="149" spans="1:4" ht="19.899999999999999" customHeight="1">
      <c r="A149" s="11" t="s">
        <v>8</v>
      </c>
      <c r="B149" s="12" t="s">
        <v>35</v>
      </c>
      <c r="C149" s="12"/>
      <c r="D149" s="12">
        <v>1965</v>
      </c>
    </row>
    <row r="150" spans="1:4" ht="19.899999999999999" customHeight="1">
      <c r="A150" s="11" t="s">
        <v>1</v>
      </c>
      <c r="B150" s="12" t="s">
        <v>35</v>
      </c>
      <c r="C150" s="12"/>
      <c r="D150" s="12">
        <v>1965</v>
      </c>
    </row>
    <row r="151" spans="1:4" ht="19.899999999999999" customHeight="1">
      <c r="A151" s="11" t="s">
        <v>9</v>
      </c>
      <c r="B151" s="12" t="s">
        <v>35</v>
      </c>
      <c r="C151" s="12"/>
      <c r="D151" s="12">
        <v>1965</v>
      </c>
    </row>
    <row r="152" spans="1:4" ht="19.899999999999999" customHeight="1">
      <c r="A152" s="11" t="s">
        <v>10</v>
      </c>
      <c r="B152" s="12" t="s">
        <v>35</v>
      </c>
      <c r="C152" s="12"/>
      <c r="D152" s="12">
        <v>1965</v>
      </c>
    </row>
    <row r="153" spans="1:4" ht="19.899999999999999" customHeight="1">
      <c r="A153" s="11" t="s">
        <v>11</v>
      </c>
      <c r="B153" s="12" t="s">
        <v>35</v>
      </c>
      <c r="C153" s="12"/>
      <c r="D153" s="12">
        <v>1965</v>
      </c>
    </row>
    <row r="154" spans="1:4" ht="19.899999999999999" customHeight="1">
      <c r="A154" s="11" t="s">
        <v>38</v>
      </c>
      <c r="B154" s="12" t="s">
        <v>35</v>
      </c>
      <c r="C154" s="12"/>
      <c r="D154" s="12">
        <v>1965</v>
      </c>
    </row>
    <row r="155" spans="1:4" ht="19.899999999999999" customHeight="1">
      <c r="A155" s="11" t="s">
        <v>12</v>
      </c>
      <c r="B155" s="12" t="s">
        <v>35</v>
      </c>
      <c r="C155" s="12"/>
      <c r="D155" s="12">
        <v>1965</v>
      </c>
    </row>
    <row r="156" spans="1:4" ht="19.899999999999999" customHeight="1">
      <c r="A156" s="11" t="s">
        <v>13</v>
      </c>
      <c r="B156" s="12" t="s">
        <v>35</v>
      </c>
      <c r="C156" s="12"/>
      <c r="D156" s="12">
        <v>1965</v>
      </c>
    </row>
    <row r="157" spans="1:4" ht="19.899999999999999" customHeight="1">
      <c r="A157" s="11" t="s">
        <v>14</v>
      </c>
      <c r="B157" s="12" t="s">
        <v>35</v>
      </c>
      <c r="C157" s="12"/>
      <c r="D157" s="12">
        <v>1965</v>
      </c>
    </row>
    <row r="158" spans="1:4" ht="19.899999999999999" customHeight="1">
      <c r="A158" s="11" t="s">
        <v>15</v>
      </c>
      <c r="B158" s="12" t="s">
        <v>35</v>
      </c>
      <c r="C158" s="12"/>
      <c r="D158" s="12">
        <v>1965</v>
      </c>
    </row>
    <row r="159" spans="1:4" ht="19.899999999999999" customHeight="1">
      <c r="A159" s="11" t="s">
        <v>16</v>
      </c>
      <c r="B159" s="12" t="s">
        <v>35</v>
      </c>
      <c r="C159" s="12"/>
      <c r="D159" s="12">
        <v>1965</v>
      </c>
    </row>
    <row r="160" spans="1:4" ht="19.899999999999999" customHeight="1">
      <c r="A160" s="11" t="s">
        <v>17</v>
      </c>
      <c r="B160" s="12" t="s">
        <v>35</v>
      </c>
      <c r="C160" s="12"/>
      <c r="D160" s="12">
        <v>1965</v>
      </c>
    </row>
    <row r="161" spans="1:4" ht="19.899999999999999" customHeight="1">
      <c r="A161" s="11" t="s">
        <v>18</v>
      </c>
      <c r="B161" s="12" t="s">
        <v>35</v>
      </c>
      <c r="C161" s="12"/>
      <c r="D161" s="12">
        <v>1965</v>
      </c>
    </row>
    <row r="162" spans="1:4" ht="19.899999999999999" customHeight="1">
      <c r="A162" s="11" t="s">
        <v>19</v>
      </c>
      <c r="B162" s="12" t="s">
        <v>35</v>
      </c>
      <c r="C162" s="12"/>
      <c r="D162" s="12">
        <v>1965</v>
      </c>
    </row>
    <row r="163" spans="1:4" ht="19.899999999999999" customHeight="1">
      <c r="A163" s="11" t="s">
        <v>20</v>
      </c>
      <c r="B163" s="12" t="s">
        <v>35</v>
      </c>
      <c r="C163" s="12"/>
      <c r="D163" s="12">
        <v>1965</v>
      </c>
    </row>
    <row r="164" spans="1:4" ht="19.899999999999999" customHeight="1">
      <c r="A164" s="11" t="s">
        <v>21</v>
      </c>
      <c r="B164" s="12" t="s">
        <v>35</v>
      </c>
      <c r="C164" s="12"/>
      <c r="D164" s="12">
        <v>1965</v>
      </c>
    </row>
    <row r="165" spans="1:4" ht="19.899999999999999" customHeight="1">
      <c r="A165" s="11" t="s">
        <v>22</v>
      </c>
      <c r="B165" s="12" t="s">
        <v>35</v>
      </c>
      <c r="C165" s="12"/>
      <c r="D165" s="12">
        <v>1965</v>
      </c>
    </row>
    <row r="166" spans="1:4" ht="19.899999999999999" customHeight="1">
      <c r="A166" s="11" t="s">
        <v>23</v>
      </c>
      <c r="B166" s="12" t="s">
        <v>35</v>
      </c>
      <c r="C166" s="12"/>
      <c r="D166" s="12">
        <v>1965</v>
      </c>
    </row>
    <row r="167" spans="1:4" ht="19.899999999999999" customHeight="1">
      <c r="A167" s="11" t="s">
        <v>24</v>
      </c>
      <c r="B167" s="12" t="s">
        <v>35</v>
      </c>
      <c r="C167" s="12"/>
      <c r="D167" s="12">
        <v>1965</v>
      </c>
    </row>
    <row r="168" spans="1:4" ht="19.899999999999999" customHeight="1">
      <c r="A168" s="11" t="s">
        <v>25</v>
      </c>
      <c r="B168" s="12" t="s">
        <v>35</v>
      </c>
      <c r="C168" s="12"/>
      <c r="D168" s="12">
        <v>1965</v>
      </c>
    </row>
    <row r="169" spans="1:4" ht="19.899999999999999" customHeight="1">
      <c r="A169" s="11" t="s">
        <v>26</v>
      </c>
      <c r="B169" s="12" t="s">
        <v>35</v>
      </c>
      <c r="C169" s="12"/>
      <c r="D169" s="12">
        <v>1965</v>
      </c>
    </row>
    <row r="170" spans="1:4" ht="19.899999999999999" customHeight="1">
      <c r="A170" s="11" t="s">
        <v>27</v>
      </c>
      <c r="B170" s="12" t="s">
        <v>35</v>
      </c>
      <c r="C170" s="12"/>
      <c r="D170" s="12">
        <v>1965</v>
      </c>
    </row>
    <row r="171" spans="1:4" ht="19.899999999999999" customHeight="1">
      <c r="A171" s="11" t="s">
        <v>28</v>
      </c>
      <c r="B171" s="12" t="s">
        <v>35</v>
      </c>
      <c r="C171" s="12"/>
      <c r="D171" s="12">
        <v>1965</v>
      </c>
    </row>
    <row r="172" spans="1:4" ht="19.899999999999999" customHeight="1">
      <c r="A172" s="11" t="s">
        <v>29</v>
      </c>
      <c r="B172" s="12" t="s">
        <v>35</v>
      </c>
      <c r="C172" s="12"/>
      <c r="D172" s="12">
        <v>1965</v>
      </c>
    </row>
    <row r="173" spans="1:4" ht="19.899999999999999" customHeight="1">
      <c r="A173" s="11" t="s">
        <v>4</v>
      </c>
      <c r="B173" s="12" t="s">
        <v>35</v>
      </c>
      <c r="C173" s="12"/>
      <c r="D173" s="12">
        <v>1966</v>
      </c>
    </row>
    <row r="174" spans="1:4" ht="19.899999999999999" customHeight="1">
      <c r="A174" s="11" t="s">
        <v>5</v>
      </c>
      <c r="B174" s="12" t="s">
        <v>35</v>
      </c>
      <c r="C174" s="12"/>
      <c r="D174" s="12">
        <v>1966</v>
      </c>
    </row>
    <row r="175" spans="1:4" ht="19.899999999999999" customHeight="1">
      <c r="A175" s="11" t="s">
        <v>6</v>
      </c>
      <c r="B175" s="12" t="s">
        <v>35</v>
      </c>
      <c r="C175" s="12"/>
      <c r="D175" s="12">
        <v>1966</v>
      </c>
    </row>
    <row r="176" spans="1:4" ht="19.899999999999999" customHeight="1">
      <c r="A176" s="11" t="s">
        <v>7</v>
      </c>
      <c r="B176" s="12" t="s">
        <v>35</v>
      </c>
      <c r="C176" s="12"/>
      <c r="D176" s="12">
        <v>1966</v>
      </c>
    </row>
    <row r="177" spans="1:4" ht="19.899999999999999" customHeight="1">
      <c r="A177" s="11" t="s">
        <v>8</v>
      </c>
      <c r="B177" s="12" t="s">
        <v>35</v>
      </c>
      <c r="C177" s="12"/>
      <c r="D177" s="12">
        <v>1966</v>
      </c>
    </row>
    <row r="178" spans="1:4" ht="19.899999999999999" customHeight="1">
      <c r="A178" s="11" t="s">
        <v>1</v>
      </c>
      <c r="B178" s="12" t="s">
        <v>35</v>
      </c>
      <c r="C178" s="12"/>
      <c r="D178" s="12">
        <v>1966</v>
      </c>
    </row>
    <row r="179" spans="1:4" ht="19.899999999999999" customHeight="1">
      <c r="A179" s="11" t="s">
        <v>9</v>
      </c>
      <c r="B179" s="12" t="s">
        <v>35</v>
      </c>
      <c r="C179" s="12"/>
      <c r="D179" s="12">
        <v>1966</v>
      </c>
    </row>
    <row r="180" spans="1:4" ht="19.899999999999999" customHeight="1">
      <c r="A180" s="11" t="s">
        <v>10</v>
      </c>
      <c r="B180" s="12" t="s">
        <v>35</v>
      </c>
      <c r="C180" s="12"/>
      <c r="D180" s="12">
        <v>1966</v>
      </c>
    </row>
    <row r="181" spans="1:4" ht="19.899999999999999" customHeight="1">
      <c r="A181" s="11" t="s">
        <v>11</v>
      </c>
      <c r="B181" s="12" t="s">
        <v>35</v>
      </c>
      <c r="C181" s="12"/>
      <c r="D181" s="12">
        <v>1966</v>
      </c>
    </row>
    <row r="182" spans="1:4" ht="19.899999999999999" customHeight="1">
      <c r="A182" s="11" t="s">
        <v>38</v>
      </c>
      <c r="B182" s="12" t="s">
        <v>35</v>
      </c>
      <c r="C182" s="12"/>
      <c r="D182" s="12">
        <v>1966</v>
      </c>
    </row>
    <row r="183" spans="1:4" ht="19.899999999999999" customHeight="1">
      <c r="A183" s="11" t="s">
        <v>12</v>
      </c>
      <c r="B183" s="12" t="s">
        <v>35</v>
      </c>
      <c r="C183" s="12"/>
      <c r="D183" s="12">
        <v>1966</v>
      </c>
    </row>
    <row r="184" spans="1:4" ht="19.899999999999999" customHeight="1">
      <c r="A184" s="11" t="s">
        <v>13</v>
      </c>
      <c r="B184" s="12" t="s">
        <v>35</v>
      </c>
      <c r="C184" s="12"/>
      <c r="D184" s="12">
        <v>1966</v>
      </c>
    </row>
    <row r="185" spans="1:4" ht="19.899999999999999" customHeight="1">
      <c r="A185" s="11" t="s">
        <v>14</v>
      </c>
      <c r="B185" s="12" t="s">
        <v>35</v>
      </c>
      <c r="C185" s="12"/>
      <c r="D185" s="12">
        <v>1966</v>
      </c>
    </row>
    <row r="186" spans="1:4" ht="19.899999999999999" customHeight="1">
      <c r="A186" s="11" t="s">
        <v>15</v>
      </c>
      <c r="B186" s="12" t="s">
        <v>35</v>
      </c>
      <c r="C186" s="12"/>
      <c r="D186" s="12">
        <v>1966</v>
      </c>
    </row>
    <row r="187" spans="1:4" ht="19.899999999999999" customHeight="1">
      <c r="A187" s="11" t="s">
        <v>16</v>
      </c>
      <c r="B187" s="12" t="s">
        <v>35</v>
      </c>
      <c r="C187" s="12"/>
      <c r="D187" s="12">
        <v>1966</v>
      </c>
    </row>
    <row r="188" spans="1:4" ht="19.899999999999999" customHeight="1">
      <c r="A188" s="11" t="s">
        <v>17</v>
      </c>
      <c r="B188" s="12" t="s">
        <v>35</v>
      </c>
      <c r="C188" s="12"/>
      <c r="D188" s="12">
        <v>1966</v>
      </c>
    </row>
    <row r="189" spans="1:4" ht="19.899999999999999" customHeight="1">
      <c r="A189" s="11" t="s">
        <v>18</v>
      </c>
      <c r="B189" s="12" t="s">
        <v>35</v>
      </c>
      <c r="C189" s="12"/>
      <c r="D189" s="12">
        <v>1966</v>
      </c>
    </row>
    <row r="190" spans="1:4" ht="19.899999999999999" customHeight="1">
      <c r="A190" s="11" t="s">
        <v>19</v>
      </c>
      <c r="B190" s="12" t="s">
        <v>35</v>
      </c>
      <c r="C190" s="12"/>
      <c r="D190" s="12">
        <v>1966</v>
      </c>
    </row>
    <row r="191" spans="1:4" ht="19.899999999999999" customHeight="1">
      <c r="A191" s="11" t="s">
        <v>20</v>
      </c>
      <c r="B191" s="12" t="s">
        <v>35</v>
      </c>
      <c r="C191" s="12"/>
      <c r="D191" s="12">
        <v>1966</v>
      </c>
    </row>
    <row r="192" spans="1:4" ht="19.899999999999999" customHeight="1">
      <c r="A192" s="11" t="s">
        <v>21</v>
      </c>
      <c r="B192" s="12" t="s">
        <v>35</v>
      </c>
      <c r="C192" s="12"/>
      <c r="D192" s="12">
        <v>1966</v>
      </c>
    </row>
    <row r="193" spans="1:4" ht="19.899999999999999" customHeight="1">
      <c r="A193" s="11" t="s">
        <v>22</v>
      </c>
      <c r="B193" s="12" t="s">
        <v>35</v>
      </c>
      <c r="C193" s="12"/>
      <c r="D193" s="12">
        <v>1966</v>
      </c>
    </row>
    <row r="194" spans="1:4" ht="19.899999999999999" customHeight="1">
      <c r="A194" s="11" t="s">
        <v>23</v>
      </c>
      <c r="B194" s="12" t="s">
        <v>35</v>
      </c>
      <c r="C194" s="12"/>
      <c r="D194" s="12">
        <v>1966</v>
      </c>
    </row>
    <row r="195" spans="1:4" ht="19.899999999999999" customHeight="1">
      <c r="A195" s="11" t="s">
        <v>24</v>
      </c>
      <c r="B195" s="12" t="s">
        <v>35</v>
      </c>
      <c r="C195" s="12"/>
      <c r="D195" s="12">
        <v>1966</v>
      </c>
    </row>
    <row r="196" spans="1:4" ht="19.899999999999999" customHeight="1">
      <c r="A196" s="11" t="s">
        <v>25</v>
      </c>
      <c r="B196" s="12" t="s">
        <v>35</v>
      </c>
      <c r="C196" s="12"/>
      <c r="D196" s="12">
        <v>1966</v>
      </c>
    </row>
    <row r="197" spans="1:4" ht="19.899999999999999" customHeight="1">
      <c r="A197" s="11" t="s">
        <v>26</v>
      </c>
      <c r="B197" s="12" t="s">
        <v>35</v>
      </c>
      <c r="C197" s="12"/>
      <c r="D197" s="12">
        <v>1966</v>
      </c>
    </row>
    <row r="198" spans="1:4" ht="19.899999999999999" customHeight="1">
      <c r="A198" s="11" t="s">
        <v>27</v>
      </c>
      <c r="B198" s="12" t="s">
        <v>35</v>
      </c>
      <c r="C198" s="12"/>
      <c r="D198" s="12">
        <v>1966</v>
      </c>
    </row>
    <row r="199" spans="1:4" ht="19.899999999999999" customHeight="1">
      <c r="A199" s="11" t="s">
        <v>28</v>
      </c>
      <c r="B199" s="12" t="s">
        <v>35</v>
      </c>
      <c r="C199" s="12"/>
      <c r="D199" s="12">
        <v>1966</v>
      </c>
    </row>
    <row r="200" spans="1:4" ht="19.899999999999999" customHeight="1">
      <c r="A200" s="11" t="s">
        <v>29</v>
      </c>
      <c r="B200" s="12" t="s">
        <v>35</v>
      </c>
      <c r="C200" s="12"/>
      <c r="D200" s="12">
        <v>1966</v>
      </c>
    </row>
    <row r="201" spans="1:4" ht="19.899999999999999" customHeight="1">
      <c r="A201" s="11" t="s">
        <v>4</v>
      </c>
      <c r="B201" s="12" t="s">
        <v>35</v>
      </c>
      <c r="C201" s="12"/>
      <c r="D201" s="12">
        <v>1967</v>
      </c>
    </row>
    <row r="202" spans="1:4" ht="19.899999999999999" customHeight="1">
      <c r="A202" s="11" t="s">
        <v>5</v>
      </c>
      <c r="B202" s="12" t="s">
        <v>35</v>
      </c>
      <c r="C202" s="12"/>
      <c r="D202" s="12">
        <v>1967</v>
      </c>
    </row>
    <row r="203" spans="1:4" ht="19.899999999999999" customHeight="1">
      <c r="A203" s="11" t="s">
        <v>6</v>
      </c>
      <c r="B203" s="12" t="s">
        <v>35</v>
      </c>
      <c r="C203" s="12"/>
      <c r="D203" s="12">
        <v>1967</v>
      </c>
    </row>
    <row r="204" spans="1:4" ht="19.899999999999999" customHeight="1">
      <c r="A204" s="11" t="s">
        <v>7</v>
      </c>
      <c r="B204" s="12" t="s">
        <v>35</v>
      </c>
      <c r="C204" s="12"/>
      <c r="D204" s="12">
        <v>1967</v>
      </c>
    </row>
    <row r="205" spans="1:4" ht="19.899999999999999" customHeight="1">
      <c r="A205" s="11" t="s">
        <v>8</v>
      </c>
      <c r="B205" s="12" t="s">
        <v>35</v>
      </c>
      <c r="C205" s="12"/>
      <c r="D205" s="12">
        <v>1967</v>
      </c>
    </row>
    <row r="206" spans="1:4" ht="19.899999999999999" customHeight="1">
      <c r="A206" s="11" t="s">
        <v>1</v>
      </c>
      <c r="B206" s="12" t="s">
        <v>35</v>
      </c>
      <c r="C206" s="12"/>
      <c r="D206" s="12">
        <v>1967</v>
      </c>
    </row>
    <row r="207" spans="1:4" ht="19.899999999999999" customHeight="1">
      <c r="A207" s="11" t="s">
        <v>9</v>
      </c>
      <c r="B207" s="12" t="s">
        <v>35</v>
      </c>
      <c r="C207" s="12"/>
      <c r="D207" s="12">
        <v>1967</v>
      </c>
    </row>
    <row r="208" spans="1:4" ht="19.899999999999999" customHeight="1">
      <c r="A208" s="11" t="s">
        <v>10</v>
      </c>
      <c r="B208" s="12" t="s">
        <v>35</v>
      </c>
      <c r="C208" s="12"/>
      <c r="D208" s="12">
        <v>1967</v>
      </c>
    </row>
    <row r="209" spans="1:4" ht="19.899999999999999" customHeight="1">
      <c r="A209" s="11" t="s">
        <v>11</v>
      </c>
      <c r="B209" s="12" t="s">
        <v>35</v>
      </c>
      <c r="C209" s="12"/>
      <c r="D209" s="12">
        <v>1967</v>
      </c>
    </row>
    <row r="210" spans="1:4" ht="19.899999999999999" customHeight="1">
      <c r="A210" s="11" t="s">
        <v>38</v>
      </c>
      <c r="B210" s="12" t="s">
        <v>35</v>
      </c>
      <c r="C210" s="12"/>
      <c r="D210" s="12">
        <v>1967</v>
      </c>
    </row>
    <row r="211" spans="1:4" ht="19.899999999999999" customHeight="1">
      <c r="A211" s="11" t="s">
        <v>12</v>
      </c>
      <c r="B211" s="12" t="s">
        <v>35</v>
      </c>
      <c r="C211" s="12"/>
      <c r="D211" s="12">
        <v>1967</v>
      </c>
    </row>
    <row r="212" spans="1:4" ht="19.899999999999999" customHeight="1">
      <c r="A212" s="11" t="s">
        <v>13</v>
      </c>
      <c r="B212" s="12" t="s">
        <v>35</v>
      </c>
      <c r="C212" s="12"/>
      <c r="D212" s="12">
        <v>1967</v>
      </c>
    </row>
    <row r="213" spans="1:4" ht="19.899999999999999" customHeight="1">
      <c r="A213" s="11" t="s">
        <v>14</v>
      </c>
      <c r="B213" s="12" t="s">
        <v>35</v>
      </c>
      <c r="C213" s="12"/>
      <c r="D213" s="12">
        <v>1967</v>
      </c>
    </row>
    <row r="214" spans="1:4" ht="19.899999999999999" customHeight="1">
      <c r="A214" s="11" t="s">
        <v>15</v>
      </c>
      <c r="B214" s="12" t="s">
        <v>35</v>
      </c>
      <c r="C214" s="12"/>
      <c r="D214" s="12">
        <v>1967</v>
      </c>
    </row>
    <row r="215" spans="1:4" ht="19.899999999999999" customHeight="1">
      <c r="A215" s="11" t="s">
        <v>16</v>
      </c>
      <c r="B215" s="12" t="s">
        <v>35</v>
      </c>
      <c r="C215" s="12"/>
      <c r="D215" s="12">
        <v>1967</v>
      </c>
    </row>
    <row r="216" spans="1:4" ht="19.899999999999999" customHeight="1">
      <c r="A216" s="11" t="s">
        <v>17</v>
      </c>
      <c r="B216" s="12" t="s">
        <v>35</v>
      </c>
      <c r="C216" s="12"/>
      <c r="D216" s="12">
        <v>1967</v>
      </c>
    </row>
    <row r="217" spans="1:4" ht="19.899999999999999" customHeight="1">
      <c r="A217" s="11" t="s">
        <v>18</v>
      </c>
      <c r="B217" s="12" t="s">
        <v>35</v>
      </c>
      <c r="C217" s="12"/>
      <c r="D217" s="12">
        <v>1967</v>
      </c>
    </row>
    <row r="218" spans="1:4" ht="19.899999999999999" customHeight="1">
      <c r="A218" s="11" t="s">
        <v>19</v>
      </c>
      <c r="B218" s="12" t="s">
        <v>35</v>
      </c>
      <c r="C218" s="12"/>
      <c r="D218" s="12">
        <v>1967</v>
      </c>
    </row>
    <row r="219" spans="1:4" ht="19.899999999999999" customHeight="1">
      <c r="A219" s="11" t="s">
        <v>20</v>
      </c>
      <c r="B219" s="12" t="s">
        <v>35</v>
      </c>
      <c r="C219" s="12"/>
      <c r="D219" s="12">
        <v>1967</v>
      </c>
    </row>
    <row r="220" spans="1:4" ht="19.899999999999999" customHeight="1">
      <c r="A220" s="11" t="s">
        <v>21</v>
      </c>
      <c r="B220" s="12" t="s">
        <v>35</v>
      </c>
      <c r="C220" s="12"/>
      <c r="D220" s="12">
        <v>1967</v>
      </c>
    </row>
    <row r="221" spans="1:4" ht="19.899999999999999" customHeight="1">
      <c r="A221" s="11" t="s">
        <v>22</v>
      </c>
      <c r="B221" s="12" t="s">
        <v>35</v>
      </c>
      <c r="C221" s="12"/>
      <c r="D221" s="12">
        <v>1967</v>
      </c>
    </row>
    <row r="222" spans="1:4" ht="19.899999999999999" customHeight="1">
      <c r="A222" s="11" t="s">
        <v>23</v>
      </c>
      <c r="B222" s="12" t="s">
        <v>35</v>
      </c>
      <c r="C222" s="12"/>
      <c r="D222" s="12">
        <v>1967</v>
      </c>
    </row>
    <row r="223" spans="1:4" ht="19.899999999999999" customHeight="1">
      <c r="A223" s="11" t="s">
        <v>24</v>
      </c>
      <c r="B223" s="12" t="s">
        <v>35</v>
      </c>
      <c r="C223" s="12"/>
      <c r="D223" s="12">
        <v>1967</v>
      </c>
    </row>
    <row r="224" spans="1:4" ht="19.899999999999999" customHeight="1">
      <c r="A224" s="11" t="s">
        <v>25</v>
      </c>
      <c r="B224" s="12" t="s">
        <v>35</v>
      </c>
      <c r="C224" s="12"/>
      <c r="D224" s="12">
        <v>1967</v>
      </c>
    </row>
    <row r="225" spans="1:4" ht="19.899999999999999" customHeight="1">
      <c r="A225" s="11" t="s">
        <v>26</v>
      </c>
      <c r="B225" s="12" t="s">
        <v>35</v>
      </c>
      <c r="C225" s="12"/>
      <c r="D225" s="12">
        <v>1967</v>
      </c>
    </row>
    <row r="226" spans="1:4" ht="19.899999999999999" customHeight="1">
      <c r="A226" s="11" t="s">
        <v>27</v>
      </c>
      <c r="B226" s="12" t="s">
        <v>35</v>
      </c>
      <c r="C226" s="12"/>
      <c r="D226" s="12">
        <v>1967</v>
      </c>
    </row>
    <row r="227" spans="1:4" ht="19.899999999999999" customHeight="1">
      <c r="A227" s="11" t="s">
        <v>28</v>
      </c>
      <c r="B227" s="12" t="s">
        <v>35</v>
      </c>
      <c r="C227" s="12"/>
      <c r="D227" s="12">
        <v>1967</v>
      </c>
    </row>
    <row r="228" spans="1:4" ht="19.899999999999999" customHeight="1">
      <c r="A228" s="11" t="s">
        <v>29</v>
      </c>
      <c r="B228" s="12" t="s">
        <v>35</v>
      </c>
      <c r="C228" s="12"/>
      <c r="D228" s="12">
        <v>1967</v>
      </c>
    </row>
    <row r="229" spans="1:4" ht="19.899999999999999" customHeight="1">
      <c r="A229" s="11" t="s">
        <v>4</v>
      </c>
      <c r="B229" s="12" t="s">
        <v>35</v>
      </c>
      <c r="C229" s="12"/>
      <c r="D229" s="12">
        <v>1968</v>
      </c>
    </row>
    <row r="230" spans="1:4" ht="19.899999999999999" customHeight="1">
      <c r="A230" s="11" t="s">
        <v>5</v>
      </c>
      <c r="B230" s="12" t="s">
        <v>35</v>
      </c>
      <c r="C230" s="12"/>
      <c r="D230" s="12">
        <v>1968</v>
      </c>
    </row>
    <row r="231" spans="1:4" ht="19.899999999999999" customHeight="1">
      <c r="A231" s="11" t="s">
        <v>6</v>
      </c>
      <c r="B231" s="12" t="s">
        <v>35</v>
      </c>
      <c r="C231" s="12"/>
      <c r="D231" s="12">
        <v>1968</v>
      </c>
    </row>
    <row r="232" spans="1:4" ht="19.899999999999999" customHeight="1">
      <c r="A232" s="11" t="s">
        <v>7</v>
      </c>
      <c r="B232" s="12" t="s">
        <v>35</v>
      </c>
      <c r="C232" s="12"/>
      <c r="D232" s="12">
        <v>1968</v>
      </c>
    </row>
    <row r="233" spans="1:4" ht="19.899999999999999" customHeight="1">
      <c r="A233" s="11" t="s">
        <v>8</v>
      </c>
      <c r="B233" s="12" t="s">
        <v>35</v>
      </c>
      <c r="C233" s="12"/>
      <c r="D233" s="12">
        <v>1968</v>
      </c>
    </row>
    <row r="234" spans="1:4" ht="19.899999999999999" customHeight="1">
      <c r="A234" s="11" t="s">
        <v>1</v>
      </c>
      <c r="B234" s="12" t="s">
        <v>35</v>
      </c>
      <c r="C234" s="12"/>
      <c r="D234" s="12">
        <v>1968</v>
      </c>
    </row>
    <row r="235" spans="1:4" ht="19.899999999999999" customHeight="1">
      <c r="A235" s="11" t="s">
        <v>9</v>
      </c>
      <c r="B235" s="12" t="s">
        <v>35</v>
      </c>
      <c r="C235" s="12"/>
      <c r="D235" s="12">
        <v>1968</v>
      </c>
    </row>
    <row r="236" spans="1:4" ht="19.899999999999999" customHeight="1">
      <c r="A236" s="11" t="s">
        <v>10</v>
      </c>
      <c r="B236" s="12" t="s">
        <v>35</v>
      </c>
      <c r="C236" s="12"/>
      <c r="D236" s="12">
        <v>1968</v>
      </c>
    </row>
    <row r="237" spans="1:4" ht="19.899999999999999" customHeight="1">
      <c r="A237" s="11" t="s">
        <v>11</v>
      </c>
      <c r="B237" s="12" t="s">
        <v>35</v>
      </c>
      <c r="C237" s="12"/>
      <c r="D237" s="12">
        <v>1968</v>
      </c>
    </row>
    <row r="238" spans="1:4" ht="19.899999999999999" customHeight="1">
      <c r="A238" s="11" t="s">
        <v>38</v>
      </c>
      <c r="B238" s="12" t="s">
        <v>35</v>
      </c>
      <c r="C238" s="12"/>
      <c r="D238" s="12">
        <v>1968</v>
      </c>
    </row>
    <row r="239" spans="1:4" ht="19.899999999999999" customHeight="1">
      <c r="A239" s="11" t="s">
        <v>12</v>
      </c>
      <c r="B239" s="12" t="s">
        <v>35</v>
      </c>
      <c r="C239" s="12"/>
      <c r="D239" s="12">
        <v>1968</v>
      </c>
    </row>
    <row r="240" spans="1:4" ht="19.899999999999999" customHeight="1">
      <c r="A240" s="11" t="s">
        <v>13</v>
      </c>
      <c r="B240" s="12" t="s">
        <v>35</v>
      </c>
      <c r="C240" s="12"/>
      <c r="D240" s="12">
        <v>1968</v>
      </c>
    </row>
    <row r="241" spans="1:4" ht="19.899999999999999" customHeight="1">
      <c r="A241" s="11" t="s">
        <v>14</v>
      </c>
      <c r="B241" s="12" t="s">
        <v>35</v>
      </c>
      <c r="C241" s="12"/>
      <c r="D241" s="12">
        <v>1968</v>
      </c>
    </row>
    <row r="242" spans="1:4" ht="19.899999999999999" customHeight="1">
      <c r="A242" s="11" t="s">
        <v>15</v>
      </c>
      <c r="B242" s="12" t="s">
        <v>35</v>
      </c>
      <c r="C242" s="12"/>
      <c r="D242" s="12">
        <v>1968</v>
      </c>
    </row>
    <row r="243" spans="1:4" ht="19.899999999999999" customHeight="1">
      <c r="A243" s="11" t="s">
        <v>16</v>
      </c>
      <c r="B243" s="12" t="s">
        <v>35</v>
      </c>
      <c r="C243" s="12"/>
      <c r="D243" s="12">
        <v>1968</v>
      </c>
    </row>
    <row r="244" spans="1:4" ht="19.899999999999999" customHeight="1">
      <c r="A244" s="11" t="s">
        <v>17</v>
      </c>
      <c r="B244" s="12" t="s">
        <v>35</v>
      </c>
      <c r="C244" s="12"/>
      <c r="D244" s="12">
        <v>1968</v>
      </c>
    </row>
    <row r="245" spans="1:4" ht="19.899999999999999" customHeight="1">
      <c r="A245" s="11" t="s">
        <v>18</v>
      </c>
      <c r="B245" s="12" t="s">
        <v>35</v>
      </c>
      <c r="C245" s="12"/>
      <c r="D245" s="12">
        <v>1968</v>
      </c>
    </row>
    <row r="246" spans="1:4" ht="19.899999999999999" customHeight="1">
      <c r="A246" s="11" t="s">
        <v>19</v>
      </c>
      <c r="B246" s="12" t="s">
        <v>35</v>
      </c>
      <c r="C246" s="12"/>
      <c r="D246" s="12">
        <v>1968</v>
      </c>
    </row>
    <row r="247" spans="1:4" ht="19.899999999999999" customHeight="1">
      <c r="A247" s="11" t="s">
        <v>20</v>
      </c>
      <c r="B247" s="12" t="s">
        <v>35</v>
      </c>
      <c r="C247" s="12"/>
      <c r="D247" s="12">
        <v>1968</v>
      </c>
    </row>
    <row r="248" spans="1:4" ht="19.899999999999999" customHeight="1">
      <c r="A248" s="11" t="s">
        <v>21</v>
      </c>
      <c r="B248" s="12" t="s">
        <v>35</v>
      </c>
      <c r="C248" s="12"/>
      <c r="D248" s="12">
        <v>1968</v>
      </c>
    </row>
    <row r="249" spans="1:4" ht="19.899999999999999" customHeight="1">
      <c r="A249" s="11" t="s">
        <v>22</v>
      </c>
      <c r="B249" s="12" t="s">
        <v>35</v>
      </c>
      <c r="C249" s="12"/>
      <c r="D249" s="12">
        <v>1968</v>
      </c>
    </row>
    <row r="250" spans="1:4" ht="19.899999999999999" customHeight="1">
      <c r="A250" s="11" t="s">
        <v>23</v>
      </c>
      <c r="B250" s="12" t="s">
        <v>35</v>
      </c>
      <c r="C250" s="12"/>
      <c r="D250" s="12">
        <v>1968</v>
      </c>
    </row>
    <row r="251" spans="1:4" ht="19.899999999999999" customHeight="1">
      <c r="A251" s="11" t="s">
        <v>24</v>
      </c>
      <c r="B251" s="12" t="s">
        <v>35</v>
      </c>
      <c r="C251" s="12"/>
      <c r="D251" s="12">
        <v>1968</v>
      </c>
    </row>
    <row r="252" spans="1:4" ht="19.899999999999999" customHeight="1">
      <c r="A252" s="11" t="s">
        <v>25</v>
      </c>
      <c r="B252" s="12" t="s">
        <v>35</v>
      </c>
      <c r="C252" s="12"/>
      <c r="D252" s="12">
        <v>1968</v>
      </c>
    </row>
    <row r="253" spans="1:4" ht="19.899999999999999" customHeight="1">
      <c r="A253" s="11" t="s">
        <v>26</v>
      </c>
      <c r="B253" s="12" t="s">
        <v>35</v>
      </c>
      <c r="C253" s="12"/>
      <c r="D253" s="12">
        <v>1968</v>
      </c>
    </row>
    <row r="254" spans="1:4" ht="19.899999999999999" customHeight="1">
      <c r="A254" s="11" t="s">
        <v>27</v>
      </c>
      <c r="B254" s="12" t="s">
        <v>35</v>
      </c>
      <c r="C254" s="12"/>
      <c r="D254" s="12">
        <v>1968</v>
      </c>
    </row>
    <row r="255" spans="1:4" ht="19.899999999999999" customHeight="1">
      <c r="A255" s="11" t="s">
        <v>28</v>
      </c>
      <c r="B255" s="12" t="s">
        <v>35</v>
      </c>
      <c r="C255" s="12"/>
      <c r="D255" s="12">
        <v>1968</v>
      </c>
    </row>
    <row r="256" spans="1:4" ht="19.899999999999999" customHeight="1">
      <c r="A256" s="11" t="s">
        <v>29</v>
      </c>
      <c r="B256" s="12" t="s">
        <v>35</v>
      </c>
      <c r="C256" s="12"/>
      <c r="D256" s="12">
        <v>1968</v>
      </c>
    </row>
    <row r="257" spans="1:4" ht="19.899999999999999" customHeight="1">
      <c r="A257" s="11" t="s">
        <v>4</v>
      </c>
      <c r="B257" s="12" t="s">
        <v>35</v>
      </c>
      <c r="C257" s="12"/>
      <c r="D257" s="12">
        <v>1969</v>
      </c>
    </row>
    <row r="258" spans="1:4" ht="19.899999999999999" customHeight="1">
      <c r="A258" s="11" t="s">
        <v>5</v>
      </c>
      <c r="B258" s="12" t="s">
        <v>35</v>
      </c>
      <c r="C258" s="12"/>
      <c r="D258" s="12">
        <v>1969</v>
      </c>
    </row>
    <row r="259" spans="1:4" ht="19.899999999999999" customHeight="1">
      <c r="A259" s="11" t="s">
        <v>6</v>
      </c>
      <c r="B259" s="12" t="s">
        <v>35</v>
      </c>
      <c r="C259" s="12"/>
      <c r="D259" s="12">
        <v>1969</v>
      </c>
    </row>
    <row r="260" spans="1:4" ht="19.899999999999999" customHeight="1">
      <c r="A260" s="11" t="s">
        <v>7</v>
      </c>
      <c r="B260" s="12" t="s">
        <v>35</v>
      </c>
      <c r="C260" s="12"/>
      <c r="D260" s="12">
        <v>1969</v>
      </c>
    </row>
    <row r="261" spans="1:4" ht="19.899999999999999" customHeight="1">
      <c r="A261" s="11" t="s">
        <v>8</v>
      </c>
      <c r="B261" s="12" t="s">
        <v>35</v>
      </c>
      <c r="C261" s="12"/>
      <c r="D261" s="12">
        <v>1969</v>
      </c>
    </row>
    <row r="262" spans="1:4" ht="19.899999999999999" customHeight="1">
      <c r="A262" s="11" t="s">
        <v>1</v>
      </c>
      <c r="B262" s="12" t="s">
        <v>35</v>
      </c>
      <c r="C262" s="12"/>
      <c r="D262" s="12">
        <v>1969</v>
      </c>
    </row>
    <row r="263" spans="1:4" ht="19.899999999999999" customHeight="1">
      <c r="A263" s="11" t="s">
        <v>9</v>
      </c>
      <c r="B263" s="12" t="s">
        <v>35</v>
      </c>
      <c r="C263" s="12"/>
      <c r="D263" s="12">
        <v>1969</v>
      </c>
    </row>
    <row r="264" spans="1:4" ht="19.899999999999999" customHeight="1">
      <c r="A264" s="11" t="s">
        <v>10</v>
      </c>
      <c r="B264" s="12" t="s">
        <v>35</v>
      </c>
      <c r="C264" s="12"/>
      <c r="D264" s="12">
        <v>1969</v>
      </c>
    </row>
    <row r="265" spans="1:4" ht="19.899999999999999" customHeight="1">
      <c r="A265" s="11" t="s">
        <v>11</v>
      </c>
      <c r="B265" s="12" t="s">
        <v>35</v>
      </c>
      <c r="C265" s="12"/>
      <c r="D265" s="12">
        <v>1969</v>
      </c>
    </row>
    <row r="266" spans="1:4" ht="19.899999999999999" customHeight="1">
      <c r="A266" s="11" t="s">
        <v>38</v>
      </c>
      <c r="B266" s="12" t="s">
        <v>35</v>
      </c>
      <c r="C266" s="12"/>
      <c r="D266" s="12">
        <v>1969</v>
      </c>
    </row>
    <row r="267" spans="1:4" ht="19.899999999999999" customHeight="1">
      <c r="A267" s="11" t="s">
        <v>12</v>
      </c>
      <c r="B267" s="12" t="s">
        <v>35</v>
      </c>
      <c r="C267" s="12"/>
      <c r="D267" s="12">
        <v>1969</v>
      </c>
    </row>
    <row r="268" spans="1:4" ht="19.899999999999999" customHeight="1">
      <c r="A268" s="11" t="s">
        <v>13</v>
      </c>
      <c r="B268" s="12" t="s">
        <v>35</v>
      </c>
      <c r="C268" s="12"/>
      <c r="D268" s="12">
        <v>1969</v>
      </c>
    </row>
    <row r="269" spans="1:4" ht="19.899999999999999" customHeight="1">
      <c r="A269" s="11" t="s">
        <v>14</v>
      </c>
      <c r="B269" s="12" t="s">
        <v>35</v>
      </c>
      <c r="C269" s="12"/>
      <c r="D269" s="12">
        <v>1969</v>
      </c>
    </row>
    <row r="270" spans="1:4" ht="19.899999999999999" customHeight="1">
      <c r="A270" s="11" t="s">
        <v>15</v>
      </c>
      <c r="B270" s="12" t="s">
        <v>35</v>
      </c>
      <c r="C270" s="12"/>
      <c r="D270" s="12">
        <v>1969</v>
      </c>
    </row>
    <row r="271" spans="1:4" ht="19.899999999999999" customHeight="1">
      <c r="A271" s="11" t="s">
        <v>16</v>
      </c>
      <c r="B271" s="12" t="s">
        <v>35</v>
      </c>
      <c r="C271" s="12"/>
      <c r="D271" s="12">
        <v>1969</v>
      </c>
    </row>
    <row r="272" spans="1:4" ht="19.899999999999999" customHeight="1">
      <c r="A272" s="11" t="s">
        <v>17</v>
      </c>
      <c r="B272" s="12" t="s">
        <v>35</v>
      </c>
      <c r="C272" s="12"/>
      <c r="D272" s="12">
        <v>1969</v>
      </c>
    </row>
    <row r="273" spans="1:4" ht="19.899999999999999" customHeight="1">
      <c r="A273" s="11" t="s">
        <v>18</v>
      </c>
      <c r="B273" s="12" t="s">
        <v>35</v>
      </c>
      <c r="C273" s="12"/>
      <c r="D273" s="12">
        <v>1969</v>
      </c>
    </row>
    <row r="274" spans="1:4" ht="19.899999999999999" customHeight="1">
      <c r="A274" s="11" t="s">
        <v>19</v>
      </c>
      <c r="B274" s="12" t="s">
        <v>35</v>
      </c>
      <c r="C274" s="12"/>
      <c r="D274" s="12">
        <v>1969</v>
      </c>
    </row>
    <row r="275" spans="1:4" ht="19.899999999999999" customHeight="1">
      <c r="A275" s="11" t="s">
        <v>20</v>
      </c>
      <c r="B275" s="12" t="s">
        <v>35</v>
      </c>
      <c r="C275" s="12"/>
      <c r="D275" s="12">
        <v>1969</v>
      </c>
    </row>
    <row r="276" spans="1:4" ht="19.899999999999999" customHeight="1">
      <c r="A276" s="11" t="s">
        <v>21</v>
      </c>
      <c r="B276" s="12" t="s">
        <v>35</v>
      </c>
      <c r="C276" s="12"/>
      <c r="D276" s="12">
        <v>1969</v>
      </c>
    </row>
    <row r="277" spans="1:4" ht="19.899999999999999" customHeight="1">
      <c r="A277" s="11" t="s">
        <v>22</v>
      </c>
      <c r="B277" s="12" t="s">
        <v>35</v>
      </c>
      <c r="C277" s="12"/>
      <c r="D277" s="12">
        <v>1969</v>
      </c>
    </row>
    <row r="278" spans="1:4" ht="19.899999999999999" customHeight="1">
      <c r="A278" s="11" t="s">
        <v>23</v>
      </c>
      <c r="B278" s="12" t="s">
        <v>35</v>
      </c>
      <c r="C278" s="12"/>
      <c r="D278" s="12">
        <v>1969</v>
      </c>
    </row>
    <row r="279" spans="1:4" ht="19.899999999999999" customHeight="1">
      <c r="A279" s="11" t="s">
        <v>24</v>
      </c>
      <c r="B279" s="12" t="s">
        <v>35</v>
      </c>
      <c r="C279" s="12"/>
      <c r="D279" s="12">
        <v>1969</v>
      </c>
    </row>
    <row r="280" spans="1:4" ht="19.899999999999999" customHeight="1">
      <c r="A280" s="11" t="s">
        <v>25</v>
      </c>
      <c r="B280" s="12" t="s">
        <v>35</v>
      </c>
      <c r="C280" s="12"/>
      <c r="D280" s="12">
        <v>1969</v>
      </c>
    </row>
    <row r="281" spans="1:4" ht="19.899999999999999" customHeight="1">
      <c r="A281" s="11" t="s">
        <v>26</v>
      </c>
      <c r="B281" s="12" t="s">
        <v>35</v>
      </c>
      <c r="C281" s="12"/>
      <c r="D281" s="12">
        <v>1969</v>
      </c>
    </row>
    <row r="282" spans="1:4" ht="19.899999999999999" customHeight="1">
      <c r="A282" s="11" t="s">
        <v>27</v>
      </c>
      <c r="B282" s="12" t="s">
        <v>35</v>
      </c>
      <c r="C282" s="12"/>
      <c r="D282" s="12">
        <v>1969</v>
      </c>
    </row>
    <row r="283" spans="1:4" ht="19.899999999999999" customHeight="1">
      <c r="A283" s="11" t="s">
        <v>28</v>
      </c>
      <c r="B283" s="12" t="s">
        <v>35</v>
      </c>
      <c r="C283" s="12"/>
      <c r="D283" s="12">
        <v>1969</v>
      </c>
    </row>
    <row r="284" spans="1:4" ht="19.899999999999999" customHeight="1">
      <c r="A284" s="11" t="s">
        <v>29</v>
      </c>
      <c r="B284" s="12" t="s">
        <v>35</v>
      </c>
      <c r="C284" s="12"/>
      <c r="D284" s="12">
        <v>1969</v>
      </c>
    </row>
    <row r="285" spans="1:4" ht="19.899999999999999" customHeight="1">
      <c r="A285" s="11" t="s">
        <v>4</v>
      </c>
      <c r="B285" s="12" t="s">
        <v>35</v>
      </c>
      <c r="C285" s="12"/>
      <c r="D285" s="12">
        <v>1970</v>
      </c>
    </row>
    <row r="286" spans="1:4" ht="19.899999999999999" customHeight="1">
      <c r="A286" s="11" t="s">
        <v>5</v>
      </c>
      <c r="B286" s="12" t="s">
        <v>35</v>
      </c>
      <c r="C286" s="12"/>
      <c r="D286" s="12">
        <v>1970</v>
      </c>
    </row>
    <row r="287" spans="1:4" ht="19.899999999999999" customHeight="1">
      <c r="A287" s="11" t="s">
        <v>6</v>
      </c>
      <c r="B287" s="12" t="s">
        <v>35</v>
      </c>
      <c r="C287" s="12"/>
      <c r="D287" s="12">
        <v>1970</v>
      </c>
    </row>
    <row r="288" spans="1:4" ht="19.899999999999999" customHeight="1">
      <c r="A288" s="11" t="s">
        <v>7</v>
      </c>
      <c r="B288" s="12" t="s">
        <v>35</v>
      </c>
      <c r="C288" s="12"/>
      <c r="D288" s="12">
        <v>1970</v>
      </c>
    </row>
    <row r="289" spans="1:4" ht="19.899999999999999" customHeight="1">
      <c r="A289" s="11" t="s">
        <v>8</v>
      </c>
      <c r="B289" s="12" t="s">
        <v>35</v>
      </c>
      <c r="C289" s="12"/>
      <c r="D289" s="12">
        <v>1970</v>
      </c>
    </row>
    <row r="290" spans="1:4" ht="19.899999999999999" customHeight="1">
      <c r="A290" s="11" t="s">
        <v>1</v>
      </c>
      <c r="B290" s="12" t="s">
        <v>35</v>
      </c>
      <c r="C290" s="12"/>
      <c r="D290" s="12">
        <v>1970</v>
      </c>
    </row>
    <row r="291" spans="1:4" ht="19.899999999999999" customHeight="1">
      <c r="A291" s="11" t="s">
        <v>9</v>
      </c>
      <c r="B291" s="12" t="s">
        <v>35</v>
      </c>
      <c r="C291" s="12"/>
      <c r="D291" s="12">
        <v>1970</v>
      </c>
    </row>
    <row r="292" spans="1:4" ht="19.899999999999999" customHeight="1">
      <c r="A292" s="11" t="s">
        <v>10</v>
      </c>
      <c r="B292" s="12" t="s">
        <v>35</v>
      </c>
      <c r="C292" s="12"/>
      <c r="D292" s="12">
        <v>1970</v>
      </c>
    </row>
    <row r="293" spans="1:4" ht="19.899999999999999" customHeight="1">
      <c r="A293" s="11" t="s">
        <v>11</v>
      </c>
      <c r="B293" s="12" t="s">
        <v>35</v>
      </c>
      <c r="C293" s="12"/>
      <c r="D293" s="12">
        <v>1970</v>
      </c>
    </row>
    <row r="294" spans="1:4" ht="19.899999999999999" customHeight="1">
      <c r="A294" s="11" t="s">
        <v>38</v>
      </c>
      <c r="B294" s="12" t="s">
        <v>35</v>
      </c>
      <c r="C294" s="12"/>
      <c r="D294" s="12">
        <v>1970</v>
      </c>
    </row>
    <row r="295" spans="1:4" ht="19.899999999999999" customHeight="1">
      <c r="A295" s="11" t="s">
        <v>12</v>
      </c>
      <c r="B295" s="12" t="s">
        <v>35</v>
      </c>
      <c r="C295" s="12"/>
      <c r="D295" s="12">
        <v>1970</v>
      </c>
    </row>
    <row r="296" spans="1:4" ht="19.899999999999999" customHeight="1">
      <c r="A296" s="11" t="s">
        <v>13</v>
      </c>
      <c r="B296" s="12" t="s">
        <v>35</v>
      </c>
      <c r="C296" s="12"/>
      <c r="D296" s="12">
        <v>1970</v>
      </c>
    </row>
    <row r="297" spans="1:4" ht="19.899999999999999" customHeight="1">
      <c r="A297" s="11" t="s">
        <v>14</v>
      </c>
      <c r="B297" s="12" t="s">
        <v>35</v>
      </c>
      <c r="C297" s="12"/>
      <c r="D297" s="12">
        <v>1970</v>
      </c>
    </row>
    <row r="298" spans="1:4" ht="19.899999999999999" customHeight="1">
      <c r="A298" s="11" t="s">
        <v>15</v>
      </c>
      <c r="B298" s="12" t="s">
        <v>35</v>
      </c>
      <c r="C298" s="12"/>
      <c r="D298" s="12">
        <v>1970</v>
      </c>
    </row>
    <row r="299" spans="1:4" ht="19.899999999999999" customHeight="1">
      <c r="A299" s="11" t="s">
        <v>16</v>
      </c>
      <c r="B299" s="12" t="s">
        <v>35</v>
      </c>
      <c r="C299" s="12"/>
      <c r="D299" s="12">
        <v>1970</v>
      </c>
    </row>
    <row r="300" spans="1:4" ht="19.899999999999999" customHeight="1">
      <c r="A300" s="11" t="s">
        <v>17</v>
      </c>
      <c r="B300" s="12" t="s">
        <v>35</v>
      </c>
      <c r="C300" s="12"/>
      <c r="D300" s="12">
        <v>1970</v>
      </c>
    </row>
    <row r="301" spans="1:4" ht="19.899999999999999" customHeight="1">
      <c r="A301" s="11" t="s">
        <v>18</v>
      </c>
      <c r="B301" s="12" t="s">
        <v>35</v>
      </c>
      <c r="C301" s="12"/>
      <c r="D301" s="12">
        <v>1970</v>
      </c>
    </row>
    <row r="302" spans="1:4" ht="19.899999999999999" customHeight="1">
      <c r="A302" s="11" t="s">
        <v>19</v>
      </c>
      <c r="B302" s="12" t="s">
        <v>35</v>
      </c>
      <c r="C302" s="12"/>
      <c r="D302" s="12">
        <v>1970</v>
      </c>
    </row>
    <row r="303" spans="1:4" ht="19.899999999999999" customHeight="1">
      <c r="A303" s="11" t="s">
        <v>20</v>
      </c>
      <c r="B303" s="12" t="s">
        <v>35</v>
      </c>
      <c r="C303" s="12">
        <v>47.5801811218262</v>
      </c>
      <c r="D303" s="12">
        <v>1970</v>
      </c>
    </row>
    <row r="304" spans="1:4" ht="19.899999999999999" customHeight="1">
      <c r="A304" s="11" t="s">
        <v>21</v>
      </c>
      <c r="B304" s="12" t="s">
        <v>35</v>
      </c>
      <c r="C304" s="12"/>
      <c r="D304" s="12">
        <v>1970</v>
      </c>
    </row>
    <row r="305" spans="1:4" ht="19.899999999999999" customHeight="1">
      <c r="A305" s="11" t="s">
        <v>22</v>
      </c>
      <c r="B305" s="12" t="s">
        <v>35</v>
      </c>
      <c r="C305" s="12"/>
      <c r="D305" s="12">
        <v>1970</v>
      </c>
    </row>
    <row r="306" spans="1:4" ht="19.899999999999999" customHeight="1">
      <c r="A306" s="11" t="s">
        <v>23</v>
      </c>
      <c r="B306" s="12" t="s">
        <v>35</v>
      </c>
      <c r="C306" s="12"/>
      <c r="D306" s="12">
        <v>1970</v>
      </c>
    </row>
    <row r="307" spans="1:4" ht="19.899999999999999" customHeight="1">
      <c r="A307" s="11" t="s">
        <v>24</v>
      </c>
      <c r="B307" s="12" t="s">
        <v>35</v>
      </c>
      <c r="C307" s="12"/>
      <c r="D307" s="12">
        <v>1970</v>
      </c>
    </row>
    <row r="308" spans="1:4" ht="19.899999999999999" customHeight="1">
      <c r="A308" s="11" t="s">
        <v>25</v>
      </c>
      <c r="B308" s="12" t="s">
        <v>35</v>
      </c>
      <c r="C308" s="12"/>
      <c r="D308" s="12">
        <v>1970</v>
      </c>
    </row>
    <row r="309" spans="1:4" ht="19.899999999999999" customHeight="1">
      <c r="A309" s="11" t="s">
        <v>26</v>
      </c>
      <c r="B309" s="12" t="s">
        <v>35</v>
      </c>
      <c r="C309" s="12"/>
      <c r="D309" s="12">
        <v>1970</v>
      </c>
    </row>
    <row r="310" spans="1:4" ht="19.899999999999999" customHeight="1">
      <c r="A310" s="11" t="s">
        <v>27</v>
      </c>
      <c r="B310" s="12" t="s">
        <v>35</v>
      </c>
      <c r="C310" s="12"/>
      <c r="D310" s="12">
        <v>1970</v>
      </c>
    </row>
    <row r="311" spans="1:4" ht="19.899999999999999" customHeight="1">
      <c r="A311" s="11" t="s">
        <v>28</v>
      </c>
      <c r="B311" s="12" t="s">
        <v>35</v>
      </c>
      <c r="C311" s="12"/>
      <c r="D311" s="12">
        <v>1970</v>
      </c>
    </row>
    <row r="312" spans="1:4" ht="19.899999999999999" customHeight="1">
      <c r="A312" s="11" t="s">
        <v>29</v>
      </c>
      <c r="B312" s="12" t="s">
        <v>35</v>
      </c>
      <c r="C312" s="12"/>
      <c r="D312" s="12">
        <v>1970</v>
      </c>
    </row>
    <row r="313" spans="1:4" ht="19.899999999999999" customHeight="1">
      <c r="A313" s="11" t="s">
        <v>4</v>
      </c>
      <c r="B313" s="12" t="s">
        <v>35</v>
      </c>
      <c r="C313" s="12"/>
      <c r="D313" s="12">
        <v>1971</v>
      </c>
    </row>
    <row r="314" spans="1:4" ht="19.899999999999999" customHeight="1">
      <c r="A314" s="11" t="s">
        <v>5</v>
      </c>
      <c r="B314" s="12" t="s">
        <v>35</v>
      </c>
      <c r="C314" s="12">
        <v>35.5182914733887</v>
      </c>
      <c r="D314" s="12">
        <v>1971</v>
      </c>
    </row>
    <row r="315" spans="1:4" ht="19.899999999999999" customHeight="1">
      <c r="A315" s="11" t="s">
        <v>6</v>
      </c>
      <c r="B315" s="12" t="s">
        <v>35</v>
      </c>
      <c r="C315" s="12"/>
      <c r="D315" s="12">
        <v>1971</v>
      </c>
    </row>
    <row r="316" spans="1:4" ht="19.899999999999999" customHeight="1">
      <c r="A316" s="11" t="s">
        <v>7</v>
      </c>
      <c r="B316" s="12" t="s">
        <v>35</v>
      </c>
      <c r="C316" s="12"/>
      <c r="D316" s="12">
        <v>1971</v>
      </c>
    </row>
    <row r="317" spans="1:4" ht="19.899999999999999" customHeight="1">
      <c r="A317" s="11" t="s">
        <v>8</v>
      </c>
      <c r="B317" s="12" t="s">
        <v>35</v>
      </c>
      <c r="C317" s="12"/>
      <c r="D317" s="12">
        <v>1971</v>
      </c>
    </row>
    <row r="318" spans="1:4" ht="19.899999999999999" customHeight="1">
      <c r="A318" s="11" t="s">
        <v>1</v>
      </c>
      <c r="B318" s="12" t="s">
        <v>35</v>
      </c>
      <c r="C318" s="12"/>
      <c r="D318" s="12">
        <v>1971</v>
      </c>
    </row>
    <row r="319" spans="1:4" ht="19.899999999999999" customHeight="1">
      <c r="A319" s="11" t="s">
        <v>9</v>
      </c>
      <c r="B319" s="12" t="s">
        <v>35</v>
      </c>
      <c r="C319" s="12"/>
      <c r="D319" s="12">
        <v>1971</v>
      </c>
    </row>
    <row r="320" spans="1:4" ht="19.899999999999999" customHeight="1">
      <c r="A320" s="11" t="s">
        <v>10</v>
      </c>
      <c r="B320" s="12" t="s">
        <v>35</v>
      </c>
      <c r="C320" s="12"/>
      <c r="D320" s="12">
        <v>1971</v>
      </c>
    </row>
    <row r="321" spans="1:4" ht="19.899999999999999" customHeight="1">
      <c r="A321" s="11" t="s">
        <v>11</v>
      </c>
      <c r="B321" s="12" t="s">
        <v>35</v>
      </c>
      <c r="C321" s="12"/>
      <c r="D321" s="12">
        <v>1971</v>
      </c>
    </row>
    <row r="322" spans="1:4" ht="19.899999999999999" customHeight="1">
      <c r="A322" s="11" t="s">
        <v>38</v>
      </c>
      <c r="B322" s="12" t="s">
        <v>35</v>
      </c>
      <c r="C322" s="12"/>
      <c r="D322" s="12">
        <v>1971</v>
      </c>
    </row>
    <row r="323" spans="1:4" ht="19.899999999999999" customHeight="1">
      <c r="A323" s="11" t="s">
        <v>12</v>
      </c>
      <c r="B323" s="12" t="s">
        <v>35</v>
      </c>
      <c r="C323" s="12"/>
      <c r="D323" s="12">
        <v>1971</v>
      </c>
    </row>
    <row r="324" spans="1:4" ht="19.899999999999999" customHeight="1">
      <c r="A324" s="11" t="s">
        <v>13</v>
      </c>
      <c r="B324" s="12" t="s">
        <v>35</v>
      </c>
      <c r="C324" s="12"/>
      <c r="D324" s="12">
        <v>1971</v>
      </c>
    </row>
    <row r="325" spans="1:4" ht="19.899999999999999" customHeight="1">
      <c r="A325" s="11" t="s">
        <v>14</v>
      </c>
      <c r="B325" s="12" t="s">
        <v>35</v>
      </c>
      <c r="C325" s="12"/>
      <c r="D325" s="12">
        <v>1971</v>
      </c>
    </row>
    <row r="326" spans="1:4" ht="19.899999999999999" customHeight="1">
      <c r="A326" s="11" t="s">
        <v>15</v>
      </c>
      <c r="B326" s="12" t="s">
        <v>35</v>
      </c>
      <c r="C326" s="12">
        <v>82.985198974609403</v>
      </c>
      <c r="D326" s="12">
        <v>1971</v>
      </c>
    </row>
    <row r="327" spans="1:4" ht="19.899999999999999" customHeight="1">
      <c r="A327" s="11" t="s">
        <v>16</v>
      </c>
      <c r="B327" s="12" t="s">
        <v>35</v>
      </c>
      <c r="C327" s="12"/>
      <c r="D327" s="12">
        <v>1971</v>
      </c>
    </row>
    <row r="328" spans="1:4" ht="19.899999999999999" customHeight="1">
      <c r="A328" s="11" t="s">
        <v>17</v>
      </c>
      <c r="B328" s="12" t="s">
        <v>35</v>
      </c>
      <c r="C328" s="12"/>
      <c r="D328" s="12">
        <v>1971</v>
      </c>
    </row>
    <row r="329" spans="1:4" ht="19.899999999999999" customHeight="1">
      <c r="A329" s="11" t="s">
        <v>18</v>
      </c>
      <c r="B329" s="12" t="s">
        <v>35</v>
      </c>
      <c r="C329" s="12">
        <v>36.297798156738303</v>
      </c>
      <c r="D329" s="12">
        <v>1971</v>
      </c>
    </row>
    <row r="330" spans="1:4" ht="19.899999999999999" customHeight="1">
      <c r="A330" s="11" t="s">
        <v>19</v>
      </c>
      <c r="B330" s="12" t="s">
        <v>35</v>
      </c>
      <c r="C330" s="12"/>
      <c r="D330" s="12">
        <v>1971</v>
      </c>
    </row>
    <row r="331" spans="1:4" ht="19.899999999999999" customHeight="1">
      <c r="A331" s="11" t="s">
        <v>20</v>
      </c>
      <c r="B331" s="12" t="s">
        <v>35</v>
      </c>
      <c r="C331" s="12">
        <v>44.766059875488303</v>
      </c>
      <c r="D331" s="12">
        <v>1971</v>
      </c>
    </row>
    <row r="332" spans="1:4" ht="19.899999999999999" customHeight="1">
      <c r="A332" s="11" t="s">
        <v>21</v>
      </c>
      <c r="B332" s="12" t="s">
        <v>35</v>
      </c>
      <c r="C332" s="12"/>
      <c r="D332" s="12">
        <v>1971</v>
      </c>
    </row>
    <row r="333" spans="1:4" ht="19.899999999999999" customHeight="1">
      <c r="A333" s="11" t="s">
        <v>22</v>
      </c>
      <c r="B333" s="12" t="s">
        <v>35</v>
      </c>
      <c r="C333" s="12"/>
      <c r="D333" s="12">
        <v>1971</v>
      </c>
    </row>
    <row r="334" spans="1:4" ht="19.899999999999999" customHeight="1">
      <c r="A334" s="11" t="s">
        <v>23</v>
      </c>
      <c r="B334" s="12" t="s">
        <v>35</v>
      </c>
      <c r="C334" s="12"/>
      <c r="D334" s="12">
        <v>1971</v>
      </c>
    </row>
    <row r="335" spans="1:4" ht="19.899999999999999" customHeight="1">
      <c r="A335" s="11" t="s">
        <v>24</v>
      </c>
      <c r="B335" s="12" t="s">
        <v>35</v>
      </c>
      <c r="C335" s="12"/>
      <c r="D335" s="12">
        <v>1971</v>
      </c>
    </row>
    <row r="336" spans="1:4" ht="19.899999999999999" customHeight="1">
      <c r="A336" s="11" t="s">
        <v>25</v>
      </c>
      <c r="B336" s="12" t="s">
        <v>35</v>
      </c>
      <c r="C336" s="12"/>
      <c r="D336" s="12">
        <v>1971</v>
      </c>
    </row>
    <row r="337" spans="1:4" ht="19.899999999999999" customHeight="1">
      <c r="A337" s="11" t="s">
        <v>26</v>
      </c>
      <c r="B337" s="12" t="s">
        <v>35</v>
      </c>
      <c r="C337" s="12"/>
      <c r="D337" s="12">
        <v>1971</v>
      </c>
    </row>
    <row r="338" spans="1:4" ht="19.899999999999999" customHeight="1">
      <c r="A338" s="11" t="s">
        <v>27</v>
      </c>
      <c r="B338" s="12" t="s">
        <v>35</v>
      </c>
      <c r="C338" s="12"/>
      <c r="D338" s="12">
        <v>1971</v>
      </c>
    </row>
    <row r="339" spans="1:4" ht="19.899999999999999" customHeight="1">
      <c r="A339" s="11" t="s">
        <v>28</v>
      </c>
      <c r="B339" s="12" t="s">
        <v>35</v>
      </c>
      <c r="C339" s="12"/>
      <c r="D339" s="12">
        <v>1971</v>
      </c>
    </row>
    <row r="340" spans="1:4" ht="19.899999999999999" customHeight="1">
      <c r="A340" s="11" t="s">
        <v>29</v>
      </c>
      <c r="B340" s="12" t="s">
        <v>35</v>
      </c>
      <c r="C340" s="12"/>
      <c r="D340" s="12">
        <v>1971</v>
      </c>
    </row>
    <row r="341" spans="1:4" ht="19.899999999999999" customHeight="1">
      <c r="A341" s="11" t="s">
        <v>4</v>
      </c>
      <c r="B341" s="12" t="s">
        <v>35</v>
      </c>
      <c r="C341" s="12"/>
      <c r="D341" s="12">
        <v>1972</v>
      </c>
    </row>
    <row r="342" spans="1:4" ht="19.899999999999999" customHeight="1">
      <c r="A342" s="11" t="s">
        <v>5</v>
      </c>
      <c r="B342" s="12" t="s">
        <v>35</v>
      </c>
      <c r="C342" s="12">
        <v>36.585720062255902</v>
      </c>
      <c r="D342" s="12">
        <v>1972</v>
      </c>
    </row>
    <row r="343" spans="1:4" ht="19.899999999999999" customHeight="1">
      <c r="A343" s="11" t="s">
        <v>6</v>
      </c>
      <c r="B343" s="12" t="s">
        <v>35</v>
      </c>
      <c r="C343" s="12"/>
      <c r="D343" s="12">
        <v>1972</v>
      </c>
    </row>
    <row r="344" spans="1:4" ht="19.899999999999999" customHeight="1">
      <c r="A344" s="11" t="s">
        <v>7</v>
      </c>
      <c r="B344" s="12" t="s">
        <v>35</v>
      </c>
      <c r="C344" s="12"/>
      <c r="D344" s="12">
        <v>1972</v>
      </c>
    </row>
    <row r="345" spans="1:4" ht="19.899999999999999" customHeight="1">
      <c r="A345" s="11" t="s">
        <v>8</v>
      </c>
      <c r="B345" s="12" t="s">
        <v>35</v>
      </c>
      <c r="C345" s="12"/>
      <c r="D345" s="12">
        <v>1972</v>
      </c>
    </row>
    <row r="346" spans="1:4" ht="19.899999999999999" customHeight="1">
      <c r="A346" s="11" t="s">
        <v>1</v>
      </c>
      <c r="B346" s="12" t="s">
        <v>35</v>
      </c>
      <c r="C346" s="12"/>
      <c r="D346" s="12">
        <v>1972</v>
      </c>
    </row>
    <row r="347" spans="1:4" ht="19.899999999999999" customHeight="1">
      <c r="A347" s="11" t="s">
        <v>9</v>
      </c>
      <c r="B347" s="12" t="s">
        <v>35</v>
      </c>
      <c r="C347" s="12"/>
      <c r="D347" s="12">
        <v>1972</v>
      </c>
    </row>
    <row r="348" spans="1:4" ht="19.899999999999999" customHeight="1">
      <c r="A348" s="11" t="s">
        <v>10</v>
      </c>
      <c r="B348" s="12" t="s">
        <v>35</v>
      </c>
      <c r="C348" s="12"/>
      <c r="D348" s="12">
        <v>1972</v>
      </c>
    </row>
    <row r="349" spans="1:4" ht="19.899999999999999" customHeight="1">
      <c r="A349" s="11" t="s">
        <v>11</v>
      </c>
      <c r="B349" s="12" t="s">
        <v>35</v>
      </c>
      <c r="C349" s="12"/>
      <c r="D349" s="12">
        <v>1972</v>
      </c>
    </row>
    <row r="350" spans="1:4" ht="19.899999999999999" customHeight="1">
      <c r="A350" s="11" t="s">
        <v>38</v>
      </c>
      <c r="B350" s="12" t="s">
        <v>35</v>
      </c>
      <c r="C350" s="12"/>
      <c r="D350" s="12">
        <v>1972</v>
      </c>
    </row>
    <row r="351" spans="1:4" ht="19.899999999999999" customHeight="1">
      <c r="A351" s="11" t="s">
        <v>12</v>
      </c>
      <c r="B351" s="12" t="s">
        <v>35</v>
      </c>
      <c r="C351" s="12"/>
      <c r="D351" s="12">
        <v>1972</v>
      </c>
    </row>
    <row r="352" spans="1:4" ht="19.899999999999999" customHeight="1">
      <c r="A352" s="11" t="s">
        <v>13</v>
      </c>
      <c r="B352" s="12" t="s">
        <v>35</v>
      </c>
      <c r="C352" s="12">
        <v>32.875728607177699</v>
      </c>
      <c r="D352" s="12">
        <v>1972</v>
      </c>
    </row>
    <row r="353" spans="1:4" ht="19.899999999999999" customHeight="1">
      <c r="A353" s="11" t="s">
        <v>14</v>
      </c>
      <c r="B353" s="12" t="s">
        <v>35</v>
      </c>
      <c r="C353" s="12"/>
      <c r="D353" s="12">
        <v>1972</v>
      </c>
    </row>
    <row r="354" spans="1:4" ht="19.899999999999999" customHeight="1">
      <c r="A354" s="11" t="s">
        <v>15</v>
      </c>
      <c r="B354" s="12" t="s">
        <v>35</v>
      </c>
      <c r="C354" s="12">
        <v>82.302169799804702</v>
      </c>
      <c r="D354" s="12">
        <v>1972</v>
      </c>
    </row>
    <row r="355" spans="1:4" ht="19.899999999999999" customHeight="1">
      <c r="A355" s="11" t="s">
        <v>16</v>
      </c>
      <c r="B355" s="12" t="s">
        <v>35</v>
      </c>
      <c r="C355" s="12"/>
      <c r="D355" s="12">
        <v>1972</v>
      </c>
    </row>
    <row r="356" spans="1:4" ht="19.899999999999999" customHeight="1">
      <c r="A356" s="11" t="s">
        <v>17</v>
      </c>
      <c r="B356" s="12" t="s">
        <v>35</v>
      </c>
      <c r="C356" s="12"/>
      <c r="D356" s="12">
        <v>1972</v>
      </c>
    </row>
    <row r="357" spans="1:4" ht="19.899999999999999" customHeight="1">
      <c r="A357" s="11" t="s">
        <v>18</v>
      </c>
      <c r="B357" s="12" t="s">
        <v>35</v>
      </c>
      <c r="C357" s="12"/>
      <c r="D357" s="12">
        <v>1972</v>
      </c>
    </row>
    <row r="358" spans="1:4" ht="19.899999999999999" customHeight="1">
      <c r="A358" s="11" t="s">
        <v>19</v>
      </c>
      <c r="B358" s="12" t="s">
        <v>35</v>
      </c>
      <c r="C358" s="12"/>
      <c r="D358" s="12">
        <v>1972</v>
      </c>
    </row>
    <row r="359" spans="1:4" ht="19.899999999999999" customHeight="1">
      <c r="A359" s="11" t="s">
        <v>20</v>
      </c>
      <c r="B359" s="12" t="s">
        <v>35</v>
      </c>
      <c r="C359" s="12">
        <v>44.979679107666001</v>
      </c>
      <c r="D359" s="12">
        <v>1972</v>
      </c>
    </row>
    <row r="360" spans="1:4" ht="19.899999999999999" customHeight="1">
      <c r="A360" s="11" t="s">
        <v>21</v>
      </c>
      <c r="B360" s="12" t="s">
        <v>35</v>
      </c>
      <c r="C360" s="12"/>
      <c r="D360" s="12">
        <v>1972</v>
      </c>
    </row>
    <row r="361" spans="1:4" ht="19.899999999999999" customHeight="1">
      <c r="A361" s="11" t="s">
        <v>22</v>
      </c>
      <c r="B361" s="12" t="s">
        <v>35</v>
      </c>
      <c r="C361" s="12"/>
      <c r="D361" s="12">
        <v>1972</v>
      </c>
    </row>
    <row r="362" spans="1:4" ht="19.899999999999999" customHeight="1">
      <c r="A362" s="11" t="s">
        <v>23</v>
      </c>
      <c r="B362" s="12" t="s">
        <v>35</v>
      </c>
      <c r="C362" s="12"/>
      <c r="D362" s="12">
        <v>1972</v>
      </c>
    </row>
    <row r="363" spans="1:4" ht="19.899999999999999" customHeight="1">
      <c r="A363" s="11" t="s">
        <v>24</v>
      </c>
      <c r="B363" s="12" t="s">
        <v>35</v>
      </c>
      <c r="C363" s="12"/>
      <c r="D363" s="12">
        <v>1972</v>
      </c>
    </row>
    <row r="364" spans="1:4" ht="19.899999999999999" customHeight="1">
      <c r="A364" s="11" t="s">
        <v>25</v>
      </c>
      <c r="B364" s="12" t="s">
        <v>35</v>
      </c>
      <c r="C364" s="12"/>
      <c r="D364" s="12">
        <v>1972</v>
      </c>
    </row>
    <row r="365" spans="1:4" ht="19.899999999999999" customHeight="1">
      <c r="A365" s="11" t="s">
        <v>26</v>
      </c>
      <c r="B365" s="12" t="s">
        <v>35</v>
      </c>
      <c r="C365" s="12"/>
      <c r="D365" s="12">
        <v>1972</v>
      </c>
    </row>
    <row r="366" spans="1:4" ht="19.899999999999999" customHeight="1">
      <c r="A366" s="11" t="s">
        <v>27</v>
      </c>
      <c r="B366" s="12" t="s">
        <v>35</v>
      </c>
      <c r="C366" s="12"/>
      <c r="D366" s="12">
        <v>1972</v>
      </c>
    </row>
    <row r="367" spans="1:4" ht="19.899999999999999" customHeight="1">
      <c r="A367" s="11" t="s">
        <v>28</v>
      </c>
      <c r="B367" s="12" t="s">
        <v>35</v>
      </c>
      <c r="C367" s="12">
        <v>21.632930755615199</v>
      </c>
      <c r="D367" s="12">
        <v>1972</v>
      </c>
    </row>
    <row r="368" spans="1:4" ht="19.899999999999999" customHeight="1">
      <c r="A368" s="11" t="s">
        <v>29</v>
      </c>
      <c r="B368" s="12" t="s">
        <v>35</v>
      </c>
      <c r="C368" s="12"/>
      <c r="D368" s="12">
        <v>1972</v>
      </c>
    </row>
    <row r="369" spans="1:4" ht="19.899999999999999" customHeight="1">
      <c r="A369" s="11" t="s">
        <v>4</v>
      </c>
      <c r="B369" s="12" t="s">
        <v>35</v>
      </c>
      <c r="C369" s="12">
        <v>81.225128173828097</v>
      </c>
      <c r="D369" s="12">
        <v>1973</v>
      </c>
    </row>
    <row r="370" spans="1:4" ht="19.899999999999999" customHeight="1">
      <c r="A370" s="11" t="s">
        <v>5</v>
      </c>
      <c r="B370" s="12" t="s">
        <v>35</v>
      </c>
      <c r="C370" s="12">
        <v>38.345569610595703</v>
      </c>
      <c r="D370" s="12">
        <v>1973</v>
      </c>
    </row>
    <row r="371" spans="1:4" ht="19.899999999999999" customHeight="1">
      <c r="A371" s="11" t="s">
        <v>6</v>
      </c>
      <c r="B371" s="12" t="s">
        <v>35</v>
      </c>
      <c r="C371" s="12"/>
      <c r="D371" s="12">
        <v>1973</v>
      </c>
    </row>
    <row r="372" spans="1:4" ht="19.899999999999999" customHeight="1">
      <c r="A372" s="11" t="s">
        <v>7</v>
      </c>
      <c r="B372" s="12" t="s">
        <v>35</v>
      </c>
      <c r="C372" s="12"/>
      <c r="D372" s="12">
        <v>1973</v>
      </c>
    </row>
    <row r="373" spans="1:4" ht="19.899999999999999" customHeight="1">
      <c r="A373" s="11" t="s">
        <v>8</v>
      </c>
      <c r="B373" s="12" t="s">
        <v>35</v>
      </c>
      <c r="C373" s="12"/>
      <c r="D373" s="12">
        <v>1973</v>
      </c>
    </row>
    <row r="374" spans="1:4" ht="19.899999999999999" customHeight="1">
      <c r="A374" s="11" t="s">
        <v>1</v>
      </c>
      <c r="B374" s="12" t="s">
        <v>35</v>
      </c>
      <c r="C374" s="12"/>
      <c r="D374" s="12">
        <v>1973</v>
      </c>
    </row>
    <row r="375" spans="1:4" ht="19.899999999999999" customHeight="1">
      <c r="A375" s="11" t="s">
        <v>9</v>
      </c>
      <c r="B375" s="12" t="s">
        <v>35</v>
      </c>
      <c r="C375" s="12"/>
      <c r="D375" s="12">
        <v>1973</v>
      </c>
    </row>
    <row r="376" spans="1:4" ht="19.899999999999999" customHeight="1">
      <c r="A376" s="11" t="s">
        <v>10</v>
      </c>
      <c r="B376" s="12" t="s">
        <v>35</v>
      </c>
      <c r="C376" s="12"/>
      <c r="D376" s="12">
        <v>1973</v>
      </c>
    </row>
    <row r="377" spans="1:4" ht="19.899999999999999" customHeight="1">
      <c r="A377" s="11" t="s">
        <v>11</v>
      </c>
      <c r="B377" s="12" t="s">
        <v>35</v>
      </c>
      <c r="C377" s="12"/>
      <c r="D377" s="12">
        <v>1973</v>
      </c>
    </row>
    <row r="378" spans="1:4" ht="19.899999999999999" customHeight="1">
      <c r="A378" s="11" t="s">
        <v>38</v>
      </c>
      <c r="B378" s="12" t="s">
        <v>35</v>
      </c>
      <c r="C378" s="12"/>
      <c r="D378" s="12">
        <v>1973</v>
      </c>
    </row>
    <row r="379" spans="1:4" ht="19.899999999999999" customHeight="1">
      <c r="A379" s="11" t="s">
        <v>12</v>
      </c>
      <c r="B379" s="12" t="s">
        <v>35</v>
      </c>
      <c r="C379" s="12"/>
      <c r="D379" s="12">
        <v>1973</v>
      </c>
    </row>
    <row r="380" spans="1:4" ht="19.899999999999999" customHeight="1">
      <c r="A380" s="11" t="s">
        <v>13</v>
      </c>
      <c r="B380" s="12" t="s">
        <v>35</v>
      </c>
      <c r="C380" s="12"/>
      <c r="D380" s="12">
        <v>1973</v>
      </c>
    </row>
    <row r="381" spans="1:4" ht="19.899999999999999" customHeight="1">
      <c r="A381" s="11" t="s">
        <v>14</v>
      </c>
      <c r="B381" s="12" t="s">
        <v>35</v>
      </c>
      <c r="C381" s="12"/>
      <c r="D381" s="12">
        <v>1973</v>
      </c>
    </row>
    <row r="382" spans="1:4" ht="19.899999999999999" customHeight="1">
      <c r="A382" s="11" t="s">
        <v>15</v>
      </c>
      <c r="B382" s="12" t="s">
        <v>35</v>
      </c>
      <c r="C382" s="12">
        <v>81.931060791015597</v>
      </c>
      <c r="D382" s="12">
        <v>1973</v>
      </c>
    </row>
    <row r="383" spans="1:4" ht="19.899999999999999" customHeight="1">
      <c r="A383" s="11" t="s">
        <v>16</v>
      </c>
      <c r="B383" s="12" t="s">
        <v>35</v>
      </c>
      <c r="C383" s="12"/>
      <c r="D383" s="12">
        <v>1973</v>
      </c>
    </row>
    <row r="384" spans="1:4" ht="19.899999999999999" customHeight="1">
      <c r="A384" s="11" t="s">
        <v>17</v>
      </c>
      <c r="B384" s="12" t="s">
        <v>35</v>
      </c>
      <c r="C384" s="12">
        <v>66.359481811523395</v>
      </c>
      <c r="D384" s="12">
        <v>1973</v>
      </c>
    </row>
    <row r="385" spans="1:4" ht="19.899999999999999" customHeight="1">
      <c r="A385" s="11" t="s">
        <v>18</v>
      </c>
      <c r="B385" s="12" t="s">
        <v>35</v>
      </c>
      <c r="C385" s="12">
        <v>28.597900390625</v>
      </c>
      <c r="D385" s="12">
        <v>1973</v>
      </c>
    </row>
    <row r="386" spans="1:4" ht="19.899999999999999" customHeight="1">
      <c r="A386" s="11" t="s">
        <v>19</v>
      </c>
      <c r="B386" s="12" t="s">
        <v>35</v>
      </c>
      <c r="C386" s="12"/>
      <c r="D386" s="12">
        <v>1973</v>
      </c>
    </row>
    <row r="387" spans="1:4" ht="19.899999999999999" customHeight="1">
      <c r="A387" s="11" t="s">
        <v>20</v>
      </c>
      <c r="B387" s="12" t="s">
        <v>35</v>
      </c>
      <c r="C387" s="12">
        <v>44.282749176025398</v>
      </c>
      <c r="D387" s="12">
        <v>1973</v>
      </c>
    </row>
    <row r="388" spans="1:4" ht="19.899999999999999" customHeight="1">
      <c r="A388" s="11" t="s">
        <v>21</v>
      </c>
      <c r="B388" s="12" t="s">
        <v>35</v>
      </c>
      <c r="C388" s="12">
        <v>89.391456604003906</v>
      </c>
      <c r="D388" s="12">
        <v>1973</v>
      </c>
    </row>
    <row r="389" spans="1:4" ht="19.899999999999999" customHeight="1">
      <c r="A389" s="11" t="s">
        <v>22</v>
      </c>
      <c r="B389" s="12" t="s">
        <v>35</v>
      </c>
      <c r="C389" s="12">
        <v>44.638458251953097</v>
      </c>
      <c r="D389" s="12">
        <v>1973</v>
      </c>
    </row>
    <row r="390" spans="1:4" ht="19.899999999999999" customHeight="1">
      <c r="A390" s="11" t="s">
        <v>23</v>
      </c>
      <c r="B390" s="12" t="s">
        <v>35</v>
      </c>
      <c r="C390" s="12"/>
      <c r="D390" s="12">
        <v>1973</v>
      </c>
    </row>
    <row r="391" spans="1:4" ht="19.899999999999999" customHeight="1">
      <c r="A391" s="11" t="s">
        <v>24</v>
      </c>
      <c r="B391" s="12" t="s">
        <v>35</v>
      </c>
      <c r="C391" s="12"/>
      <c r="D391" s="12">
        <v>1973</v>
      </c>
    </row>
    <row r="392" spans="1:4" ht="19.899999999999999" customHeight="1">
      <c r="A392" s="11" t="s">
        <v>25</v>
      </c>
      <c r="B392" s="12" t="s">
        <v>35</v>
      </c>
      <c r="C392" s="12"/>
      <c r="D392" s="12">
        <v>1973</v>
      </c>
    </row>
    <row r="393" spans="1:4" ht="19.899999999999999" customHeight="1">
      <c r="A393" s="11" t="s">
        <v>26</v>
      </c>
      <c r="B393" s="12" t="s">
        <v>35</v>
      </c>
      <c r="C393" s="12"/>
      <c r="D393" s="12">
        <v>1973</v>
      </c>
    </row>
    <row r="394" spans="1:4" ht="19.899999999999999" customHeight="1">
      <c r="A394" s="11" t="s">
        <v>27</v>
      </c>
      <c r="B394" s="12" t="s">
        <v>35</v>
      </c>
      <c r="C394" s="12"/>
      <c r="D394" s="12">
        <v>1973</v>
      </c>
    </row>
    <row r="395" spans="1:4" ht="19.899999999999999" customHeight="1">
      <c r="A395" s="11" t="s">
        <v>28</v>
      </c>
      <c r="B395" s="12" t="s">
        <v>35</v>
      </c>
      <c r="C395" s="12"/>
      <c r="D395" s="12">
        <v>1973</v>
      </c>
    </row>
    <row r="396" spans="1:4" ht="19.899999999999999" customHeight="1">
      <c r="A396" s="11" t="s">
        <v>29</v>
      </c>
      <c r="B396" s="12" t="s">
        <v>35</v>
      </c>
      <c r="C396" s="12"/>
      <c r="D396" s="12">
        <v>1973</v>
      </c>
    </row>
    <row r="397" spans="1:4" ht="19.899999999999999" customHeight="1">
      <c r="A397" s="11" t="s">
        <v>4</v>
      </c>
      <c r="B397" s="12" t="s">
        <v>35</v>
      </c>
      <c r="C397" s="12"/>
      <c r="D397" s="12">
        <v>1974</v>
      </c>
    </row>
    <row r="398" spans="1:4" ht="19.899999999999999" customHeight="1">
      <c r="A398" s="11" t="s">
        <v>5</v>
      </c>
      <c r="B398" s="12" t="s">
        <v>35</v>
      </c>
      <c r="C398" s="12">
        <v>40.461521148681598</v>
      </c>
      <c r="D398" s="12">
        <v>1974</v>
      </c>
    </row>
    <row r="399" spans="1:4" ht="19.899999999999999" customHeight="1">
      <c r="A399" s="11" t="s">
        <v>6</v>
      </c>
      <c r="B399" s="12" t="s">
        <v>35</v>
      </c>
      <c r="C399" s="12"/>
      <c r="D399" s="12">
        <v>1974</v>
      </c>
    </row>
    <row r="400" spans="1:4" ht="19.899999999999999" customHeight="1">
      <c r="A400" s="11" t="s">
        <v>7</v>
      </c>
      <c r="B400" s="12" t="s">
        <v>35</v>
      </c>
      <c r="C400" s="12"/>
      <c r="D400" s="12">
        <v>1974</v>
      </c>
    </row>
    <row r="401" spans="1:4" ht="19.899999999999999" customHeight="1">
      <c r="A401" s="11" t="s">
        <v>8</v>
      </c>
      <c r="B401" s="12" t="s">
        <v>35</v>
      </c>
      <c r="C401" s="12"/>
      <c r="D401" s="12">
        <v>1974</v>
      </c>
    </row>
    <row r="402" spans="1:4" ht="19.899999999999999" customHeight="1">
      <c r="A402" s="11" t="s">
        <v>1</v>
      </c>
      <c r="B402" s="12" t="s">
        <v>35</v>
      </c>
      <c r="C402" s="12"/>
      <c r="D402" s="12">
        <v>1974</v>
      </c>
    </row>
    <row r="403" spans="1:4" ht="19.899999999999999" customHeight="1">
      <c r="A403" s="11" t="s">
        <v>9</v>
      </c>
      <c r="B403" s="12" t="s">
        <v>35</v>
      </c>
      <c r="C403" s="12"/>
      <c r="D403" s="12">
        <v>1974</v>
      </c>
    </row>
    <row r="404" spans="1:4" ht="19.899999999999999" customHeight="1">
      <c r="A404" s="11" t="s">
        <v>10</v>
      </c>
      <c r="B404" s="12" t="s">
        <v>35</v>
      </c>
      <c r="C404" s="12"/>
      <c r="D404" s="12">
        <v>1974</v>
      </c>
    </row>
    <row r="405" spans="1:4" ht="19.899999999999999" customHeight="1">
      <c r="A405" s="11" t="s">
        <v>11</v>
      </c>
      <c r="B405" s="12" t="s">
        <v>35</v>
      </c>
      <c r="C405" s="12"/>
      <c r="D405" s="12">
        <v>1974</v>
      </c>
    </row>
    <row r="406" spans="1:4" ht="19.899999999999999" customHeight="1">
      <c r="A406" s="11" t="s">
        <v>38</v>
      </c>
      <c r="B406" s="12" t="s">
        <v>35</v>
      </c>
      <c r="C406" s="12"/>
      <c r="D406" s="12">
        <v>1974</v>
      </c>
    </row>
    <row r="407" spans="1:4" ht="19.899999999999999" customHeight="1">
      <c r="A407" s="11" t="s">
        <v>12</v>
      </c>
      <c r="B407" s="12" t="s">
        <v>35</v>
      </c>
      <c r="C407" s="12"/>
      <c r="D407" s="12">
        <v>1974</v>
      </c>
    </row>
    <row r="408" spans="1:4" ht="19.899999999999999" customHeight="1">
      <c r="A408" s="11" t="s">
        <v>13</v>
      </c>
      <c r="B408" s="12" t="s">
        <v>35</v>
      </c>
      <c r="C408" s="12"/>
      <c r="D408" s="12">
        <v>1974</v>
      </c>
    </row>
    <row r="409" spans="1:4" ht="19.899999999999999" customHeight="1">
      <c r="A409" s="11" t="s">
        <v>14</v>
      </c>
      <c r="B409" s="12" t="s">
        <v>35</v>
      </c>
      <c r="C409" s="12"/>
      <c r="D409" s="12">
        <v>1974</v>
      </c>
    </row>
    <row r="410" spans="1:4" ht="19.899999999999999" customHeight="1">
      <c r="A410" s="11" t="s">
        <v>15</v>
      </c>
      <c r="B410" s="12" t="s">
        <v>35</v>
      </c>
      <c r="C410" s="12">
        <v>79.457588195800795</v>
      </c>
      <c r="D410" s="12">
        <v>1974</v>
      </c>
    </row>
    <row r="411" spans="1:4" ht="19.899999999999999" customHeight="1">
      <c r="A411" s="11" t="s">
        <v>16</v>
      </c>
      <c r="B411" s="12" t="s">
        <v>35</v>
      </c>
      <c r="C411" s="12"/>
      <c r="D411" s="12">
        <v>1974</v>
      </c>
    </row>
    <row r="412" spans="1:4" ht="19.899999999999999" customHeight="1">
      <c r="A412" s="11" t="s">
        <v>17</v>
      </c>
      <c r="B412" s="12" t="s">
        <v>35</v>
      </c>
      <c r="C412" s="12"/>
      <c r="D412" s="12">
        <v>1974</v>
      </c>
    </row>
    <row r="413" spans="1:4" ht="19.899999999999999" customHeight="1">
      <c r="A413" s="11" t="s">
        <v>18</v>
      </c>
      <c r="B413" s="12" t="s">
        <v>35</v>
      </c>
      <c r="C413" s="12">
        <v>38.294231414794901</v>
      </c>
      <c r="D413" s="12">
        <v>1974</v>
      </c>
    </row>
    <row r="414" spans="1:4" ht="19.899999999999999" customHeight="1">
      <c r="A414" s="11" t="s">
        <v>19</v>
      </c>
      <c r="B414" s="12" t="s">
        <v>35</v>
      </c>
      <c r="C414" s="12"/>
      <c r="D414" s="12">
        <v>1974</v>
      </c>
    </row>
    <row r="415" spans="1:4" ht="19.899999999999999" customHeight="1">
      <c r="A415" s="11" t="s">
        <v>20</v>
      </c>
      <c r="B415" s="12" t="s">
        <v>35</v>
      </c>
      <c r="C415" s="12">
        <v>44.381221771240199</v>
      </c>
      <c r="D415" s="12">
        <v>1974</v>
      </c>
    </row>
    <row r="416" spans="1:4" ht="19.899999999999999" customHeight="1">
      <c r="A416" s="11" t="s">
        <v>21</v>
      </c>
      <c r="B416" s="12" t="s">
        <v>35</v>
      </c>
      <c r="C416" s="12">
        <v>88.864418029785199</v>
      </c>
      <c r="D416" s="12">
        <v>1974</v>
      </c>
    </row>
    <row r="417" spans="1:4" ht="19.899999999999999" customHeight="1">
      <c r="A417" s="11" t="s">
        <v>22</v>
      </c>
      <c r="B417" s="12" t="s">
        <v>35</v>
      </c>
      <c r="C417" s="12">
        <v>46.764118194580099</v>
      </c>
      <c r="D417" s="12">
        <v>1974</v>
      </c>
    </row>
    <row r="418" spans="1:4" ht="19.899999999999999" customHeight="1">
      <c r="A418" s="11" t="s">
        <v>23</v>
      </c>
      <c r="B418" s="12" t="s">
        <v>35</v>
      </c>
      <c r="C418" s="12"/>
      <c r="D418" s="12">
        <v>1974</v>
      </c>
    </row>
    <row r="419" spans="1:4" ht="19.899999999999999" customHeight="1">
      <c r="A419" s="11" t="s">
        <v>24</v>
      </c>
      <c r="B419" s="12" t="s">
        <v>35</v>
      </c>
      <c r="C419" s="12"/>
      <c r="D419" s="12">
        <v>1974</v>
      </c>
    </row>
    <row r="420" spans="1:4" ht="19.899999999999999" customHeight="1">
      <c r="A420" s="11" t="s">
        <v>25</v>
      </c>
      <c r="B420" s="12" t="s">
        <v>35</v>
      </c>
      <c r="C420" s="12"/>
      <c r="D420" s="12">
        <v>1974</v>
      </c>
    </row>
    <row r="421" spans="1:4" ht="19.899999999999999" customHeight="1">
      <c r="A421" s="11" t="s">
        <v>26</v>
      </c>
      <c r="B421" s="12" t="s">
        <v>35</v>
      </c>
      <c r="C421" s="12"/>
      <c r="D421" s="12">
        <v>1974</v>
      </c>
    </row>
    <row r="422" spans="1:4" ht="19.899999999999999" customHeight="1">
      <c r="A422" s="11" t="s">
        <v>27</v>
      </c>
      <c r="B422" s="12" t="s">
        <v>35</v>
      </c>
      <c r="C422" s="12"/>
      <c r="D422" s="12">
        <v>1974</v>
      </c>
    </row>
    <row r="423" spans="1:4" ht="19.899999999999999" customHeight="1">
      <c r="A423" s="11" t="s">
        <v>28</v>
      </c>
      <c r="B423" s="12" t="s">
        <v>35</v>
      </c>
      <c r="C423" s="12"/>
      <c r="D423" s="12">
        <v>1974</v>
      </c>
    </row>
    <row r="424" spans="1:4" ht="19.899999999999999" customHeight="1">
      <c r="A424" s="11" t="s">
        <v>29</v>
      </c>
      <c r="B424" s="12" t="s">
        <v>35</v>
      </c>
      <c r="C424" s="12"/>
      <c r="D424" s="12">
        <v>1974</v>
      </c>
    </row>
    <row r="425" spans="1:4" ht="19.899999999999999" customHeight="1">
      <c r="A425" s="11" t="s">
        <v>4</v>
      </c>
      <c r="B425" s="12" t="s">
        <v>35</v>
      </c>
      <c r="C425" s="12"/>
      <c r="D425" s="12">
        <v>1975</v>
      </c>
    </row>
    <row r="426" spans="1:4" ht="19.899999999999999" customHeight="1">
      <c r="A426" s="11" t="s">
        <v>5</v>
      </c>
      <c r="B426" s="12" t="s">
        <v>35</v>
      </c>
      <c r="C426" s="12">
        <v>33.838111877441399</v>
      </c>
      <c r="D426" s="12">
        <v>1975</v>
      </c>
    </row>
    <row r="427" spans="1:4" ht="19.899999999999999" customHeight="1">
      <c r="A427" s="11" t="s">
        <v>6</v>
      </c>
      <c r="B427" s="12" t="s">
        <v>35</v>
      </c>
      <c r="C427" s="12">
        <v>75.819480895995994</v>
      </c>
      <c r="D427" s="12">
        <v>1975</v>
      </c>
    </row>
    <row r="428" spans="1:4" ht="19.899999999999999" customHeight="1">
      <c r="A428" s="11" t="s">
        <v>7</v>
      </c>
      <c r="B428" s="12" t="s">
        <v>35</v>
      </c>
      <c r="C428" s="12"/>
      <c r="D428" s="12">
        <v>1975</v>
      </c>
    </row>
    <row r="429" spans="1:4" ht="19.899999999999999" customHeight="1">
      <c r="A429" s="11" t="s">
        <v>8</v>
      </c>
      <c r="B429" s="12" t="s">
        <v>35</v>
      </c>
      <c r="C429" s="12"/>
      <c r="D429" s="12">
        <v>1975</v>
      </c>
    </row>
    <row r="430" spans="1:4" ht="19.899999999999999" customHeight="1">
      <c r="A430" s="11" t="s">
        <v>1</v>
      </c>
      <c r="B430" s="12" t="s">
        <v>35</v>
      </c>
      <c r="C430" s="12"/>
      <c r="D430" s="12">
        <v>1975</v>
      </c>
    </row>
    <row r="431" spans="1:4" ht="19.899999999999999" customHeight="1">
      <c r="A431" s="11" t="s">
        <v>9</v>
      </c>
      <c r="B431" s="12" t="s">
        <v>35</v>
      </c>
      <c r="C431" s="12"/>
      <c r="D431" s="12">
        <v>1975</v>
      </c>
    </row>
    <row r="432" spans="1:4" ht="19.899999999999999" customHeight="1">
      <c r="A432" s="11" t="s">
        <v>10</v>
      </c>
      <c r="B432" s="12" t="s">
        <v>35</v>
      </c>
      <c r="C432" s="12"/>
      <c r="D432" s="12">
        <v>1975</v>
      </c>
    </row>
    <row r="433" spans="1:4" ht="19.899999999999999" customHeight="1">
      <c r="A433" s="11" t="s">
        <v>11</v>
      </c>
      <c r="B433" s="12" t="s">
        <v>35</v>
      </c>
      <c r="C433" s="12"/>
      <c r="D433" s="12">
        <v>1975</v>
      </c>
    </row>
    <row r="434" spans="1:4" ht="19.899999999999999" customHeight="1">
      <c r="A434" s="11" t="s">
        <v>38</v>
      </c>
      <c r="B434" s="12" t="s">
        <v>35</v>
      </c>
      <c r="C434" s="12"/>
      <c r="D434" s="12">
        <v>1975</v>
      </c>
    </row>
    <row r="435" spans="1:4" ht="19.899999999999999" customHeight="1">
      <c r="A435" s="11" t="s">
        <v>12</v>
      </c>
      <c r="B435" s="12" t="s">
        <v>35</v>
      </c>
      <c r="C435" s="12"/>
      <c r="D435" s="12">
        <v>1975</v>
      </c>
    </row>
    <row r="436" spans="1:4" ht="19.899999999999999" customHeight="1">
      <c r="A436" s="11" t="s">
        <v>13</v>
      </c>
      <c r="B436" s="12" t="s">
        <v>35</v>
      </c>
      <c r="C436" s="12"/>
      <c r="D436" s="12">
        <v>1975</v>
      </c>
    </row>
    <row r="437" spans="1:4" ht="19.899999999999999" customHeight="1">
      <c r="A437" s="11" t="s">
        <v>14</v>
      </c>
      <c r="B437" s="12" t="s">
        <v>35</v>
      </c>
      <c r="C437" s="12"/>
      <c r="D437" s="12">
        <v>1975</v>
      </c>
    </row>
    <row r="438" spans="1:4" ht="19.899999999999999" customHeight="1">
      <c r="A438" s="11" t="s">
        <v>15</v>
      </c>
      <c r="B438" s="12" t="s">
        <v>35</v>
      </c>
      <c r="C438" s="12"/>
      <c r="D438" s="12">
        <v>1975</v>
      </c>
    </row>
    <row r="439" spans="1:4" ht="19.899999999999999" customHeight="1">
      <c r="A439" s="11" t="s">
        <v>16</v>
      </c>
      <c r="B439" s="12" t="s">
        <v>35</v>
      </c>
      <c r="C439" s="12"/>
      <c r="D439" s="12">
        <v>1975</v>
      </c>
    </row>
    <row r="440" spans="1:4" ht="19.899999999999999" customHeight="1">
      <c r="A440" s="11" t="s">
        <v>17</v>
      </c>
      <c r="B440" s="12" t="s">
        <v>35</v>
      </c>
      <c r="C440" s="12"/>
      <c r="D440" s="12">
        <v>1975</v>
      </c>
    </row>
    <row r="441" spans="1:4" ht="19.899999999999999" customHeight="1">
      <c r="A441" s="11" t="s">
        <v>18</v>
      </c>
      <c r="B441" s="12" t="s">
        <v>35</v>
      </c>
      <c r="C441" s="12"/>
      <c r="D441" s="12">
        <v>1975</v>
      </c>
    </row>
    <row r="442" spans="1:4" ht="19.899999999999999" customHeight="1">
      <c r="A442" s="11" t="s">
        <v>19</v>
      </c>
      <c r="B442" s="12" t="s">
        <v>35</v>
      </c>
      <c r="C442" s="12"/>
      <c r="D442" s="12">
        <v>1975</v>
      </c>
    </row>
    <row r="443" spans="1:4" ht="19.899999999999999" customHeight="1">
      <c r="A443" s="11" t="s">
        <v>20</v>
      </c>
      <c r="B443" s="12" t="s">
        <v>35</v>
      </c>
      <c r="C443" s="12">
        <v>42.480300903320298</v>
      </c>
      <c r="D443" s="12">
        <v>1975</v>
      </c>
    </row>
    <row r="444" spans="1:4" ht="19.899999999999999" customHeight="1">
      <c r="A444" s="11" t="s">
        <v>21</v>
      </c>
      <c r="B444" s="12" t="s">
        <v>35</v>
      </c>
      <c r="C444" s="12"/>
      <c r="D444" s="12">
        <v>1975</v>
      </c>
    </row>
    <row r="445" spans="1:4" ht="19.899999999999999" customHeight="1">
      <c r="A445" s="11" t="s">
        <v>22</v>
      </c>
      <c r="B445" s="12" t="s">
        <v>35</v>
      </c>
      <c r="C445" s="12">
        <v>49.187301635742202</v>
      </c>
      <c r="D445" s="12">
        <v>1975</v>
      </c>
    </row>
    <row r="446" spans="1:4" ht="19.899999999999999" customHeight="1">
      <c r="A446" s="11" t="s">
        <v>23</v>
      </c>
      <c r="B446" s="12" t="s">
        <v>35</v>
      </c>
      <c r="C446" s="12"/>
      <c r="D446" s="12">
        <v>1975</v>
      </c>
    </row>
    <row r="447" spans="1:4" ht="19.899999999999999" customHeight="1">
      <c r="A447" s="11" t="s">
        <v>24</v>
      </c>
      <c r="B447" s="12" t="s">
        <v>35</v>
      </c>
      <c r="C447" s="12"/>
      <c r="D447" s="12">
        <v>1975</v>
      </c>
    </row>
    <row r="448" spans="1:4" ht="19.899999999999999" customHeight="1">
      <c r="A448" s="11" t="s">
        <v>25</v>
      </c>
      <c r="B448" s="12" t="s">
        <v>35</v>
      </c>
      <c r="C448" s="12"/>
      <c r="D448" s="12">
        <v>1975</v>
      </c>
    </row>
    <row r="449" spans="1:4" ht="19.899999999999999" customHeight="1">
      <c r="A449" s="11" t="s">
        <v>26</v>
      </c>
      <c r="B449" s="12" t="s">
        <v>35</v>
      </c>
      <c r="C449" s="12"/>
      <c r="D449" s="12">
        <v>1975</v>
      </c>
    </row>
    <row r="450" spans="1:4" ht="19.899999999999999" customHeight="1">
      <c r="A450" s="11" t="s">
        <v>27</v>
      </c>
      <c r="B450" s="12" t="s">
        <v>35</v>
      </c>
      <c r="C450" s="12"/>
      <c r="D450" s="12">
        <v>1975</v>
      </c>
    </row>
    <row r="451" spans="1:4" ht="19.899999999999999" customHeight="1">
      <c r="A451" s="11" t="s">
        <v>28</v>
      </c>
      <c r="B451" s="12" t="s">
        <v>35</v>
      </c>
      <c r="C451" s="12"/>
      <c r="D451" s="12">
        <v>1975</v>
      </c>
    </row>
    <row r="452" spans="1:4" ht="19.899999999999999" customHeight="1">
      <c r="A452" s="11" t="s">
        <v>29</v>
      </c>
      <c r="B452" s="12" t="s">
        <v>35</v>
      </c>
      <c r="C452" s="12"/>
      <c r="D452" s="12">
        <v>1975</v>
      </c>
    </row>
    <row r="453" spans="1:4" ht="19.899999999999999" customHeight="1">
      <c r="A453" s="11" t="s">
        <v>4</v>
      </c>
      <c r="B453" s="12" t="s">
        <v>35</v>
      </c>
      <c r="C453" s="12"/>
      <c r="D453" s="12">
        <v>1976</v>
      </c>
    </row>
    <row r="454" spans="1:4" ht="19.899999999999999" customHeight="1">
      <c r="A454" s="11" t="s">
        <v>5</v>
      </c>
      <c r="B454" s="12" t="s">
        <v>35</v>
      </c>
      <c r="C454" s="12">
        <v>32.3071899414063</v>
      </c>
      <c r="D454" s="12">
        <v>1976</v>
      </c>
    </row>
    <row r="455" spans="1:4" ht="19.899999999999999" customHeight="1">
      <c r="A455" s="11" t="s">
        <v>6</v>
      </c>
      <c r="B455" s="12" t="s">
        <v>35</v>
      </c>
      <c r="C455" s="12"/>
      <c r="D455" s="12">
        <v>1976</v>
      </c>
    </row>
    <row r="456" spans="1:4" ht="19.899999999999999" customHeight="1">
      <c r="A456" s="11" t="s">
        <v>7</v>
      </c>
      <c r="B456" s="12" t="s">
        <v>35</v>
      </c>
      <c r="C456" s="12"/>
      <c r="D456" s="12">
        <v>1976</v>
      </c>
    </row>
    <row r="457" spans="1:4" ht="19.899999999999999" customHeight="1">
      <c r="A457" s="11" t="s">
        <v>8</v>
      </c>
      <c r="B457" s="12" t="s">
        <v>35</v>
      </c>
      <c r="C457" s="12"/>
      <c r="D457" s="12">
        <v>1976</v>
      </c>
    </row>
    <row r="458" spans="1:4" ht="19.899999999999999" customHeight="1">
      <c r="A458" s="11" t="s">
        <v>1</v>
      </c>
      <c r="B458" s="12" t="s">
        <v>35</v>
      </c>
      <c r="C458" s="12"/>
      <c r="D458" s="12">
        <v>1976</v>
      </c>
    </row>
    <row r="459" spans="1:4" ht="19.899999999999999" customHeight="1">
      <c r="A459" s="11" t="s">
        <v>9</v>
      </c>
      <c r="B459" s="12" t="s">
        <v>35</v>
      </c>
      <c r="C459" s="12"/>
      <c r="D459" s="12">
        <v>1976</v>
      </c>
    </row>
    <row r="460" spans="1:4" ht="19.899999999999999" customHeight="1">
      <c r="A460" s="11" t="s">
        <v>10</v>
      </c>
      <c r="B460" s="12" t="s">
        <v>35</v>
      </c>
      <c r="C460" s="12"/>
      <c r="D460" s="12">
        <v>1976</v>
      </c>
    </row>
    <row r="461" spans="1:4" ht="19.899999999999999" customHeight="1">
      <c r="A461" s="11" t="s">
        <v>11</v>
      </c>
      <c r="B461" s="12" t="s">
        <v>35</v>
      </c>
      <c r="C461" s="12"/>
      <c r="D461" s="12">
        <v>1976</v>
      </c>
    </row>
    <row r="462" spans="1:4" ht="19.899999999999999" customHeight="1">
      <c r="A462" s="11" t="s">
        <v>38</v>
      </c>
      <c r="B462" s="12" t="s">
        <v>35</v>
      </c>
      <c r="C462" s="12"/>
      <c r="D462" s="12">
        <v>1976</v>
      </c>
    </row>
    <row r="463" spans="1:4" ht="19.899999999999999" customHeight="1">
      <c r="A463" s="11" t="s">
        <v>12</v>
      </c>
      <c r="B463" s="12" t="s">
        <v>35</v>
      </c>
      <c r="C463" s="12"/>
      <c r="D463" s="12">
        <v>1976</v>
      </c>
    </row>
    <row r="464" spans="1:4" ht="19.899999999999999" customHeight="1">
      <c r="A464" s="11" t="s">
        <v>13</v>
      </c>
      <c r="B464" s="12" t="s">
        <v>35</v>
      </c>
      <c r="C464" s="12"/>
      <c r="D464" s="12">
        <v>1976</v>
      </c>
    </row>
    <row r="465" spans="1:4" ht="19.899999999999999" customHeight="1">
      <c r="A465" s="11" t="s">
        <v>14</v>
      </c>
      <c r="B465" s="12" t="s">
        <v>35</v>
      </c>
      <c r="C465" s="12"/>
      <c r="D465" s="12">
        <v>1976</v>
      </c>
    </row>
    <row r="466" spans="1:4" ht="19.899999999999999" customHeight="1">
      <c r="A466" s="11" t="s">
        <v>15</v>
      </c>
      <c r="B466" s="12" t="s">
        <v>35</v>
      </c>
      <c r="C466" s="12"/>
      <c r="D466" s="12">
        <v>1976</v>
      </c>
    </row>
    <row r="467" spans="1:4" ht="19.899999999999999" customHeight="1">
      <c r="A467" s="11" t="s">
        <v>16</v>
      </c>
      <c r="B467" s="12" t="s">
        <v>35</v>
      </c>
      <c r="C467" s="12"/>
      <c r="D467" s="12">
        <v>1976</v>
      </c>
    </row>
    <row r="468" spans="1:4" ht="19.899999999999999" customHeight="1">
      <c r="A468" s="11" t="s">
        <v>17</v>
      </c>
      <c r="B468" s="12" t="s">
        <v>35</v>
      </c>
      <c r="C468" s="12"/>
      <c r="D468" s="12">
        <v>1976</v>
      </c>
    </row>
    <row r="469" spans="1:4" ht="19.899999999999999" customHeight="1">
      <c r="A469" s="11" t="s">
        <v>18</v>
      </c>
      <c r="B469" s="12" t="s">
        <v>35</v>
      </c>
      <c r="C469" s="12"/>
      <c r="D469" s="12">
        <v>1976</v>
      </c>
    </row>
    <row r="470" spans="1:4" ht="19.899999999999999" customHeight="1">
      <c r="A470" s="11" t="s">
        <v>19</v>
      </c>
      <c r="B470" s="12" t="s">
        <v>35</v>
      </c>
      <c r="C470" s="12"/>
      <c r="D470" s="12">
        <v>1976</v>
      </c>
    </row>
    <row r="471" spans="1:4" ht="19.899999999999999" customHeight="1">
      <c r="A471" s="11" t="s">
        <v>20</v>
      </c>
      <c r="B471" s="12" t="s">
        <v>35</v>
      </c>
      <c r="C471" s="12">
        <v>41.252529144287102</v>
      </c>
      <c r="D471" s="12">
        <v>1976</v>
      </c>
    </row>
    <row r="472" spans="1:4" ht="19.899999999999999" customHeight="1">
      <c r="A472" s="11" t="s">
        <v>21</v>
      </c>
      <c r="B472" s="12" t="s">
        <v>35</v>
      </c>
      <c r="C472" s="12"/>
      <c r="D472" s="12">
        <v>1976</v>
      </c>
    </row>
    <row r="473" spans="1:4" ht="19.899999999999999" customHeight="1">
      <c r="A473" s="11" t="s">
        <v>22</v>
      </c>
      <c r="B473" s="12" t="s">
        <v>35</v>
      </c>
      <c r="C473" s="12"/>
      <c r="D473" s="12">
        <v>1976</v>
      </c>
    </row>
    <row r="474" spans="1:4" ht="19.899999999999999" customHeight="1">
      <c r="A474" s="11" t="s">
        <v>23</v>
      </c>
      <c r="B474" s="12" t="s">
        <v>35</v>
      </c>
      <c r="C474" s="12"/>
      <c r="D474" s="12">
        <v>1976</v>
      </c>
    </row>
    <row r="475" spans="1:4" ht="19.899999999999999" customHeight="1">
      <c r="A475" s="11" t="s">
        <v>24</v>
      </c>
      <c r="B475" s="12" t="s">
        <v>35</v>
      </c>
      <c r="C475" s="12"/>
      <c r="D475" s="12">
        <v>1976</v>
      </c>
    </row>
    <row r="476" spans="1:4" ht="19.899999999999999" customHeight="1">
      <c r="A476" s="11" t="s">
        <v>25</v>
      </c>
      <c r="B476" s="12" t="s">
        <v>35</v>
      </c>
      <c r="C476" s="12"/>
      <c r="D476" s="12">
        <v>1976</v>
      </c>
    </row>
    <row r="477" spans="1:4" ht="19.899999999999999" customHeight="1">
      <c r="A477" s="11" t="s">
        <v>26</v>
      </c>
      <c r="B477" s="12" t="s">
        <v>35</v>
      </c>
      <c r="C477" s="12">
        <v>51.7918510437012</v>
      </c>
      <c r="D477" s="12">
        <v>1976</v>
      </c>
    </row>
    <row r="478" spans="1:4" ht="19.899999999999999" customHeight="1">
      <c r="A478" s="11" t="s">
        <v>27</v>
      </c>
      <c r="B478" s="12" t="s">
        <v>35</v>
      </c>
      <c r="C478" s="12"/>
      <c r="D478" s="12">
        <v>1976</v>
      </c>
    </row>
    <row r="479" spans="1:4" ht="19.899999999999999" customHeight="1">
      <c r="A479" s="11" t="s">
        <v>28</v>
      </c>
      <c r="B479" s="12" t="s">
        <v>35</v>
      </c>
      <c r="C479" s="12">
        <v>19.5629692077637</v>
      </c>
      <c r="D479" s="12">
        <v>1976</v>
      </c>
    </row>
    <row r="480" spans="1:4" ht="19.899999999999999" customHeight="1">
      <c r="A480" s="11" t="s">
        <v>29</v>
      </c>
      <c r="B480" s="12" t="s">
        <v>35</v>
      </c>
      <c r="C480" s="12"/>
      <c r="D480" s="12">
        <v>1976</v>
      </c>
    </row>
    <row r="481" spans="1:4" ht="19.899999999999999" customHeight="1">
      <c r="A481" s="11" t="s">
        <v>4</v>
      </c>
      <c r="B481" s="12" t="s">
        <v>35</v>
      </c>
      <c r="C481" s="12"/>
      <c r="D481" s="12">
        <v>1977</v>
      </c>
    </row>
    <row r="482" spans="1:4" ht="19.899999999999999" customHeight="1">
      <c r="A482" s="11" t="s">
        <v>5</v>
      </c>
      <c r="B482" s="12" t="s">
        <v>35</v>
      </c>
      <c r="C482" s="12">
        <v>33.590518951416001</v>
      </c>
      <c r="D482" s="12">
        <v>1977</v>
      </c>
    </row>
    <row r="483" spans="1:4" ht="19.899999999999999" customHeight="1">
      <c r="A483" s="11" t="s">
        <v>6</v>
      </c>
      <c r="B483" s="12" t="s">
        <v>35</v>
      </c>
      <c r="C483" s="12">
        <v>75.2796630859375</v>
      </c>
      <c r="D483" s="12">
        <v>1977</v>
      </c>
    </row>
    <row r="484" spans="1:4" ht="19.899999999999999" customHeight="1">
      <c r="A484" s="11" t="s">
        <v>7</v>
      </c>
      <c r="B484" s="12" t="s">
        <v>35</v>
      </c>
      <c r="C484" s="12"/>
      <c r="D484" s="12">
        <v>1977</v>
      </c>
    </row>
    <row r="485" spans="1:4" ht="19.899999999999999" customHeight="1">
      <c r="A485" s="11" t="s">
        <v>8</v>
      </c>
      <c r="B485" s="12" t="s">
        <v>35</v>
      </c>
      <c r="C485" s="12"/>
      <c r="D485" s="12">
        <v>1977</v>
      </c>
    </row>
    <row r="486" spans="1:4" ht="19.899999999999999" customHeight="1">
      <c r="A486" s="11" t="s">
        <v>1</v>
      </c>
      <c r="B486" s="12" t="s">
        <v>35</v>
      </c>
      <c r="C486" s="12"/>
      <c r="D486" s="12">
        <v>1977</v>
      </c>
    </row>
    <row r="487" spans="1:4" ht="19.899999999999999" customHeight="1">
      <c r="A487" s="11" t="s">
        <v>9</v>
      </c>
      <c r="B487" s="12" t="s">
        <v>35</v>
      </c>
      <c r="C487" s="12"/>
      <c r="D487" s="12">
        <v>1977</v>
      </c>
    </row>
    <row r="488" spans="1:4" ht="19.899999999999999" customHeight="1">
      <c r="A488" s="11" t="s">
        <v>10</v>
      </c>
      <c r="B488" s="12" t="s">
        <v>35</v>
      </c>
      <c r="C488" s="12"/>
      <c r="D488" s="12">
        <v>1977</v>
      </c>
    </row>
    <row r="489" spans="1:4" ht="19.899999999999999" customHeight="1">
      <c r="A489" s="11" t="s">
        <v>11</v>
      </c>
      <c r="B489" s="12" t="s">
        <v>35</v>
      </c>
      <c r="C489" s="12"/>
      <c r="D489" s="12">
        <v>1977</v>
      </c>
    </row>
    <row r="490" spans="1:4" ht="19.899999999999999" customHeight="1">
      <c r="A490" s="11" t="s">
        <v>38</v>
      </c>
      <c r="B490" s="12" t="s">
        <v>35</v>
      </c>
      <c r="C490" s="12"/>
      <c r="D490" s="12">
        <v>1977</v>
      </c>
    </row>
    <row r="491" spans="1:4" ht="19.899999999999999" customHeight="1">
      <c r="A491" s="11" t="s">
        <v>12</v>
      </c>
      <c r="B491" s="12" t="s">
        <v>35</v>
      </c>
      <c r="C491" s="12"/>
      <c r="D491" s="12">
        <v>1977</v>
      </c>
    </row>
    <row r="492" spans="1:4" ht="19.899999999999999" customHeight="1">
      <c r="A492" s="11" t="s">
        <v>13</v>
      </c>
      <c r="B492" s="12" t="s">
        <v>35</v>
      </c>
      <c r="C492" s="12"/>
      <c r="D492" s="12">
        <v>1977</v>
      </c>
    </row>
    <row r="493" spans="1:4" ht="19.899999999999999" customHeight="1">
      <c r="A493" s="11" t="s">
        <v>14</v>
      </c>
      <c r="B493" s="12" t="s">
        <v>35</v>
      </c>
      <c r="C493" s="12"/>
      <c r="D493" s="12">
        <v>1977</v>
      </c>
    </row>
    <row r="494" spans="1:4" ht="19.899999999999999" customHeight="1">
      <c r="A494" s="11" t="s">
        <v>15</v>
      </c>
      <c r="B494" s="12" t="s">
        <v>35</v>
      </c>
      <c r="C494" s="12">
        <v>79.328147888183494</v>
      </c>
      <c r="D494" s="12">
        <v>1977</v>
      </c>
    </row>
    <row r="495" spans="1:4" ht="19.899999999999999" customHeight="1">
      <c r="A495" s="11" t="s">
        <v>16</v>
      </c>
      <c r="B495" s="12" t="s">
        <v>35</v>
      </c>
      <c r="C495" s="12"/>
      <c r="D495" s="12">
        <v>1977</v>
      </c>
    </row>
    <row r="496" spans="1:4" ht="19.899999999999999" customHeight="1">
      <c r="A496" s="11" t="s">
        <v>17</v>
      </c>
      <c r="B496" s="12" t="s">
        <v>35</v>
      </c>
      <c r="C496" s="12"/>
      <c r="D496" s="12">
        <v>1977</v>
      </c>
    </row>
    <row r="497" spans="1:4" ht="19.899999999999999" customHeight="1">
      <c r="A497" s="11" t="s">
        <v>18</v>
      </c>
      <c r="B497" s="12" t="s">
        <v>35</v>
      </c>
      <c r="C497" s="12"/>
      <c r="D497" s="12">
        <v>1977</v>
      </c>
    </row>
    <row r="498" spans="1:4" ht="19.899999999999999" customHeight="1">
      <c r="A498" s="11" t="s">
        <v>19</v>
      </c>
      <c r="B498" s="12" t="s">
        <v>35</v>
      </c>
      <c r="C498" s="12"/>
      <c r="D498" s="12">
        <v>1977</v>
      </c>
    </row>
    <row r="499" spans="1:4" ht="19.899999999999999" customHeight="1">
      <c r="A499" s="11" t="s">
        <v>20</v>
      </c>
      <c r="B499" s="12" t="s">
        <v>35</v>
      </c>
      <c r="C499" s="12">
        <v>42.178638458252003</v>
      </c>
      <c r="D499" s="12">
        <v>1977</v>
      </c>
    </row>
    <row r="500" spans="1:4" ht="19.899999999999999" customHeight="1">
      <c r="A500" s="11" t="s">
        <v>21</v>
      </c>
      <c r="B500" s="12" t="s">
        <v>35</v>
      </c>
      <c r="C500" s="12">
        <v>84.874923706054702</v>
      </c>
      <c r="D500" s="12">
        <v>1977</v>
      </c>
    </row>
    <row r="501" spans="1:4" ht="19.899999999999999" customHeight="1">
      <c r="A501" s="11" t="s">
        <v>22</v>
      </c>
      <c r="B501" s="12" t="s">
        <v>35</v>
      </c>
      <c r="C501" s="12">
        <v>45.729068756103501</v>
      </c>
      <c r="D501" s="12">
        <v>1977</v>
      </c>
    </row>
    <row r="502" spans="1:4" ht="19.899999999999999" customHeight="1">
      <c r="A502" s="11" t="s">
        <v>23</v>
      </c>
      <c r="B502" s="12" t="s">
        <v>35</v>
      </c>
      <c r="C502" s="12"/>
      <c r="D502" s="12">
        <v>1977</v>
      </c>
    </row>
    <row r="503" spans="1:4" ht="19.899999999999999" customHeight="1">
      <c r="A503" s="11" t="s">
        <v>24</v>
      </c>
      <c r="B503" s="12" t="s">
        <v>35</v>
      </c>
      <c r="C503" s="12">
        <v>21.5188999176025</v>
      </c>
      <c r="D503" s="12">
        <v>1977</v>
      </c>
    </row>
    <row r="504" spans="1:4" ht="19.899999999999999" customHeight="1">
      <c r="A504" s="11" t="s">
        <v>25</v>
      </c>
      <c r="B504" s="12" t="s">
        <v>35</v>
      </c>
      <c r="C504" s="12"/>
      <c r="D504" s="12">
        <v>1977</v>
      </c>
    </row>
    <row r="505" spans="1:4" ht="19.899999999999999" customHeight="1">
      <c r="A505" s="11" t="s">
        <v>26</v>
      </c>
      <c r="B505" s="12" t="s">
        <v>35</v>
      </c>
      <c r="C505" s="12"/>
      <c r="D505" s="12">
        <v>1977</v>
      </c>
    </row>
    <row r="506" spans="1:4" ht="19.899999999999999" customHeight="1">
      <c r="A506" s="11" t="s">
        <v>27</v>
      </c>
      <c r="B506" s="12" t="s">
        <v>35</v>
      </c>
      <c r="C506" s="12"/>
      <c r="D506" s="12">
        <v>1977</v>
      </c>
    </row>
    <row r="507" spans="1:4" ht="19.899999999999999" customHeight="1">
      <c r="A507" s="11" t="s">
        <v>28</v>
      </c>
      <c r="B507" s="12" t="s">
        <v>35</v>
      </c>
      <c r="C507" s="12">
        <v>19.696849822998001</v>
      </c>
      <c r="D507" s="12">
        <v>1977</v>
      </c>
    </row>
    <row r="508" spans="1:4" ht="19.899999999999999" customHeight="1">
      <c r="A508" s="11" t="s">
        <v>29</v>
      </c>
      <c r="B508" s="12" t="s">
        <v>35</v>
      </c>
      <c r="C508" s="12"/>
      <c r="D508" s="12">
        <v>1977</v>
      </c>
    </row>
    <row r="509" spans="1:4" ht="19.899999999999999" customHeight="1">
      <c r="A509" s="11" t="s">
        <v>4</v>
      </c>
      <c r="B509" s="12" t="s">
        <v>35</v>
      </c>
      <c r="C509" s="12">
        <v>82.583038330078097</v>
      </c>
      <c r="D509" s="12">
        <v>1978</v>
      </c>
    </row>
    <row r="510" spans="1:4" ht="19.899999999999999" customHeight="1">
      <c r="A510" s="11" t="s">
        <v>5</v>
      </c>
      <c r="B510" s="12" t="s">
        <v>35</v>
      </c>
      <c r="C510" s="12">
        <v>32.2340698242188</v>
      </c>
      <c r="D510" s="12">
        <v>1978</v>
      </c>
    </row>
    <row r="511" spans="1:4" ht="19.899999999999999" customHeight="1">
      <c r="A511" s="11" t="s">
        <v>6</v>
      </c>
      <c r="B511" s="12" t="s">
        <v>35</v>
      </c>
      <c r="C511" s="12"/>
      <c r="D511" s="12">
        <v>1978</v>
      </c>
    </row>
    <row r="512" spans="1:4" ht="19.899999999999999" customHeight="1">
      <c r="A512" s="11" t="s">
        <v>7</v>
      </c>
      <c r="B512" s="12" t="s">
        <v>35</v>
      </c>
      <c r="C512" s="12"/>
      <c r="D512" s="12">
        <v>1978</v>
      </c>
    </row>
    <row r="513" spans="1:4" ht="19.899999999999999" customHeight="1">
      <c r="A513" s="11" t="s">
        <v>8</v>
      </c>
      <c r="B513" s="12" t="s">
        <v>35</v>
      </c>
      <c r="C513" s="12"/>
      <c r="D513" s="12">
        <v>1978</v>
      </c>
    </row>
    <row r="514" spans="1:4" ht="19.899999999999999" customHeight="1">
      <c r="A514" s="11" t="s">
        <v>1</v>
      </c>
      <c r="B514" s="12" t="s">
        <v>35</v>
      </c>
      <c r="C514" s="12"/>
      <c r="D514" s="12">
        <v>1978</v>
      </c>
    </row>
    <row r="515" spans="1:4" ht="19.899999999999999" customHeight="1">
      <c r="A515" s="11" t="s">
        <v>9</v>
      </c>
      <c r="B515" s="12" t="s">
        <v>35</v>
      </c>
      <c r="C515" s="12"/>
      <c r="D515" s="12">
        <v>1978</v>
      </c>
    </row>
    <row r="516" spans="1:4" ht="19.899999999999999" customHeight="1">
      <c r="A516" s="11" t="s">
        <v>10</v>
      </c>
      <c r="B516" s="12" t="s">
        <v>35</v>
      </c>
      <c r="C516" s="12"/>
      <c r="D516" s="12">
        <v>1978</v>
      </c>
    </row>
    <row r="517" spans="1:4" ht="19.899999999999999" customHeight="1">
      <c r="A517" s="11" t="s">
        <v>11</v>
      </c>
      <c r="B517" s="12" t="s">
        <v>35</v>
      </c>
      <c r="C517" s="12"/>
      <c r="D517" s="12">
        <v>1978</v>
      </c>
    </row>
    <row r="518" spans="1:4" ht="19.899999999999999" customHeight="1">
      <c r="A518" s="11" t="s">
        <v>38</v>
      </c>
      <c r="B518" s="12" t="s">
        <v>35</v>
      </c>
      <c r="C518" s="12"/>
      <c r="D518" s="12">
        <v>1978</v>
      </c>
    </row>
    <row r="519" spans="1:4" ht="19.899999999999999" customHeight="1">
      <c r="A519" s="11" t="s">
        <v>12</v>
      </c>
      <c r="B519" s="12" t="s">
        <v>35</v>
      </c>
      <c r="C519" s="12"/>
      <c r="D519" s="12">
        <v>1978</v>
      </c>
    </row>
    <row r="520" spans="1:4" ht="19.899999999999999" customHeight="1">
      <c r="A520" s="11" t="s">
        <v>13</v>
      </c>
      <c r="B520" s="12" t="s">
        <v>35</v>
      </c>
      <c r="C520" s="12"/>
      <c r="D520" s="12">
        <v>1978</v>
      </c>
    </row>
    <row r="521" spans="1:4" ht="19.899999999999999" customHeight="1">
      <c r="A521" s="11" t="s">
        <v>14</v>
      </c>
      <c r="B521" s="12" t="s">
        <v>35</v>
      </c>
      <c r="C521" s="12"/>
      <c r="D521" s="12">
        <v>1978</v>
      </c>
    </row>
    <row r="522" spans="1:4" ht="19.899999999999999" customHeight="1">
      <c r="A522" s="11" t="s">
        <v>15</v>
      </c>
      <c r="B522" s="12" t="s">
        <v>35</v>
      </c>
      <c r="C522" s="12"/>
      <c r="D522" s="12">
        <v>1978</v>
      </c>
    </row>
    <row r="523" spans="1:4" ht="19.899999999999999" customHeight="1">
      <c r="A523" s="11" t="s">
        <v>16</v>
      </c>
      <c r="B523" s="12" t="s">
        <v>35</v>
      </c>
      <c r="C523" s="12"/>
      <c r="D523" s="12">
        <v>1978</v>
      </c>
    </row>
    <row r="524" spans="1:4" ht="19.899999999999999" customHeight="1">
      <c r="A524" s="11" t="s">
        <v>17</v>
      </c>
      <c r="B524" s="12" t="s">
        <v>35</v>
      </c>
      <c r="C524" s="12"/>
      <c r="D524" s="12">
        <v>1978</v>
      </c>
    </row>
    <row r="525" spans="1:4" ht="19.899999999999999" customHeight="1">
      <c r="A525" s="11" t="s">
        <v>18</v>
      </c>
      <c r="B525" s="12" t="s">
        <v>35</v>
      </c>
      <c r="C525" s="12">
        <v>32.810710906982401</v>
      </c>
      <c r="D525" s="12">
        <v>1978</v>
      </c>
    </row>
    <row r="526" spans="1:4" ht="19.899999999999999" customHeight="1">
      <c r="A526" s="11" t="s">
        <v>19</v>
      </c>
      <c r="B526" s="12" t="s">
        <v>35</v>
      </c>
      <c r="C526" s="12"/>
      <c r="D526" s="12">
        <v>1978</v>
      </c>
    </row>
    <row r="527" spans="1:4" ht="19.899999999999999" customHeight="1">
      <c r="A527" s="11" t="s">
        <v>20</v>
      </c>
      <c r="B527" s="12" t="s">
        <v>35</v>
      </c>
      <c r="C527" s="12">
        <v>44.210109710693402</v>
      </c>
      <c r="D527" s="12">
        <v>1978</v>
      </c>
    </row>
    <row r="528" spans="1:4" ht="19.899999999999999" customHeight="1">
      <c r="A528" s="11" t="s">
        <v>21</v>
      </c>
      <c r="B528" s="12" t="s">
        <v>35</v>
      </c>
      <c r="C528" s="12">
        <v>83.855781555175795</v>
      </c>
      <c r="D528" s="12">
        <v>1978</v>
      </c>
    </row>
    <row r="529" spans="1:4" ht="19.899999999999999" customHeight="1">
      <c r="A529" s="11" t="s">
        <v>22</v>
      </c>
      <c r="B529" s="12" t="s">
        <v>35</v>
      </c>
      <c r="C529" s="12">
        <v>43.492321014404197</v>
      </c>
      <c r="D529" s="12">
        <v>1978</v>
      </c>
    </row>
    <row r="530" spans="1:4" ht="19.899999999999999" customHeight="1">
      <c r="A530" s="11" t="s">
        <v>23</v>
      </c>
      <c r="B530" s="12" t="s">
        <v>35</v>
      </c>
      <c r="C530" s="12"/>
      <c r="D530" s="12">
        <v>1978</v>
      </c>
    </row>
    <row r="531" spans="1:4" ht="19.899999999999999" customHeight="1">
      <c r="A531" s="11" t="s">
        <v>24</v>
      </c>
      <c r="B531" s="12" t="s">
        <v>35</v>
      </c>
      <c r="C531" s="12"/>
      <c r="D531" s="12">
        <v>1978</v>
      </c>
    </row>
    <row r="532" spans="1:4" ht="19.899999999999999" customHeight="1">
      <c r="A532" s="11" t="s">
        <v>25</v>
      </c>
      <c r="B532" s="12" t="s">
        <v>35</v>
      </c>
      <c r="C532" s="12"/>
      <c r="D532" s="12">
        <v>1978</v>
      </c>
    </row>
    <row r="533" spans="1:4" ht="19.899999999999999" customHeight="1">
      <c r="A533" s="11" t="s">
        <v>26</v>
      </c>
      <c r="B533" s="12" t="s">
        <v>35</v>
      </c>
      <c r="C533" s="12"/>
      <c r="D533" s="12">
        <v>1978</v>
      </c>
    </row>
    <row r="534" spans="1:4" ht="19.899999999999999" customHeight="1">
      <c r="A534" s="11" t="s">
        <v>27</v>
      </c>
      <c r="B534" s="12" t="s">
        <v>35</v>
      </c>
      <c r="C534" s="12"/>
      <c r="D534" s="12">
        <v>1978</v>
      </c>
    </row>
    <row r="535" spans="1:4" ht="19.899999999999999" customHeight="1">
      <c r="A535" s="11" t="s">
        <v>28</v>
      </c>
      <c r="B535" s="12" t="s">
        <v>35</v>
      </c>
      <c r="C535" s="12">
        <v>20.880020141601602</v>
      </c>
      <c r="D535" s="12">
        <v>1978</v>
      </c>
    </row>
    <row r="536" spans="1:4" ht="19.899999999999999" customHeight="1">
      <c r="A536" s="11" t="s">
        <v>29</v>
      </c>
      <c r="B536" s="12" t="s">
        <v>35</v>
      </c>
      <c r="C536" s="12"/>
      <c r="D536" s="12">
        <v>1978</v>
      </c>
    </row>
    <row r="537" spans="1:4" ht="19.899999999999999" customHeight="1">
      <c r="A537" s="11" t="s">
        <v>4</v>
      </c>
      <c r="B537" s="12" t="s">
        <v>35</v>
      </c>
      <c r="C537" s="12"/>
      <c r="D537" s="12">
        <v>1979</v>
      </c>
    </row>
    <row r="538" spans="1:4" ht="19.899999999999999" customHeight="1">
      <c r="A538" s="11" t="s">
        <v>5</v>
      </c>
      <c r="B538" s="12" t="s">
        <v>35</v>
      </c>
      <c r="C538" s="12">
        <v>31.284490585327099</v>
      </c>
      <c r="D538" s="12">
        <v>1979</v>
      </c>
    </row>
    <row r="539" spans="1:4" ht="19.899999999999999" customHeight="1">
      <c r="A539" s="11" t="s">
        <v>6</v>
      </c>
      <c r="B539" s="12" t="s">
        <v>35</v>
      </c>
      <c r="C539" s="12"/>
      <c r="D539" s="12">
        <v>1979</v>
      </c>
    </row>
    <row r="540" spans="1:4" ht="19.899999999999999" customHeight="1">
      <c r="A540" s="11" t="s">
        <v>7</v>
      </c>
      <c r="B540" s="12" t="s">
        <v>35</v>
      </c>
      <c r="C540" s="12"/>
      <c r="D540" s="12">
        <v>1979</v>
      </c>
    </row>
    <row r="541" spans="1:4" ht="19.899999999999999" customHeight="1">
      <c r="A541" s="11" t="s">
        <v>8</v>
      </c>
      <c r="B541" s="12" t="s">
        <v>35</v>
      </c>
      <c r="C541" s="12"/>
      <c r="D541" s="12">
        <v>1979</v>
      </c>
    </row>
    <row r="542" spans="1:4" ht="19.899999999999999" customHeight="1">
      <c r="A542" s="11" t="s">
        <v>1</v>
      </c>
      <c r="B542" s="12" t="s">
        <v>35</v>
      </c>
      <c r="C542" s="12"/>
      <c r="D542" s="12">
        <v>1979</v>
      </c>
    </row>
    <row r="543" spans="1:4" ht="19.899999999999999" customHeight="1">
      <c r="A543" s="11" t="s">
        <v>9</v>
      </c>
      <c r="B543" s="12" t="s">
        <v>35</v>
      </c>
      <c r="C543" s="12"/>
      <c r="D543" s="12">
        <v>1979</v>
      </c>
    </row>
    <row r="544" spans="1:4" ht="19.899999999999999" customHeight="1">
      <c r="A544" s="11" t="s">
        <v>10</v>
      </c>
      <c r="B544" s="12" t="s">
        <v>35</v>
      </c>
      <c r="C544" s="12"/>
      <c r="D544" s="12">
        <v>1979</v>
      </c>
    </row>
    <row r="545" spans="1:4" ht="19.899999999999999" customHeight="1">
      <c r="A545" s="11" t="s">
        <v>11</v>
      </c>
      <c r="B545" s="12" t="s">
        <v>35</v>
      </c>
      <c r="C545" s="12"/>
      <c r="D545" s="12">
        <v>1979</v>
      </c>
    </row>
    <row r="546" spans="1:4" ht="19.899999999999999" customHeight="1">
      <c r="A546" s="11" t="s">
        <v>38</v>
      </c>
      <c r="B546" s="12" t="s">
        <v>35</v>
      </c>
      <c r="C546" s="12"/>
      <c r="D546" s="12">
        <v>1979</v>
      </c>
    </row>
    <row r="547" spans="1:4" ht="19.899999999999999" customHeight="1">
      <c r="A547" s="11" t="s">
        <v>12</v>
      </c>
      <c r="B547" s="12" t="s">
        <v>35</v>
      </c>
      <c r="C547" s="12"/>
      <c r="D547" s="12">
        <v>1979</v>
      </c>
    </row>
    <row r="548" spans="1:4" ht="19.899999999999999" customHeight="1">
      <c r="A548" s="11" t="s">
        <v>13</v>
      </c>
      <c r="B548" s="12" t="s">
        <v>35</v>
      </c>
      <c r="C548" s="12"/>
      <c r="D548" s="12">
        <v>1979</v>
      </c>
    </row>
    <row r="549" spans="1:4" ht="19.899999999999999" customHeight="1">
      <c r="A549" s="11" t="s">
        <v>14</v>
      </c>
      <c r="B549" s="12" t="s">
        <v>35</v>
      </c>
      <c r="C549" s="12"/>
      <c r="D549" s="12">
        <v>1979</v>
      </c>
    </row>
    <row r="550" spans="1:4" ht="19.899999999999999" customHeight="1">
      <c r="A550" s="11" t="s">
        <v>15</v>
      </c>
      <c r="B550" s="12" t="s">
        <v>35</v>
      </c>
      <c r="C550" s="12"/>
      <c r="D550" s="12">
        <v>1979</v>
      </c>
    </row>
    <row r="551" spans="1:4" ht="19.899999999999999" customHeight="1">
      <c r="A551" s="11" t="s">
        <v>16</v>
      </c>
      <c r="B551" s="12" t="s">
        <v>35</v>
      </c>
      <c r="C551" s="12"/>
      <c r="D551" s="12">
        <v>1979</v>
      </c>
    </row>
    <row r="552" spans="1:4" ht="19.899999999999999" customHeight="1">
      <c r="A552" s="11" t="s">
        <v>17</v>
      </c>
      <c r="B552" s="12" t="s">
        <v>35</v>
      </c>
      <c r="C552" s="12">
        <v>62.916191101074197</v>
      </c>
      <c r="D552" s="12">
        <v>1979</v>
      </c>
    </row>
    <row r="553" spans="1:4" ht="19.899999999999999" customHeight="1">
      <c r="A553" s="11" t="s">
        <v>18</v>
      </c>
      <c r="B553" s="12" t="s">
        <v>35</v>
      </c>
      <c r="C553" s="12"/>
      <c r="D553" s="12">
        <v>1979</v>
      </c>
    </row>
    <row r="554" spans="1:4" ht="19.899999999999999" customHeight="1">
      <c r="A554" s="11" t="s">
        <v>19</v>
      </c>
      <c r="B554" s="12" t="s">
        <v>35</v>
      </c>
      <c r="C554" s="12"/>
      <c r="D554" s="12">
        <v>1979</v>
      </c>
    </row>
    <row r="555" spans="1:4" ht="19.899999999999999" customHeight="1">
      <c r="A555" s="11" t="s">
        <v>20</v>
      </c>
      <c r="B555" s="12" t="s">
        <v>35</v>
      </c>
      <c r="C555" s="12"/>
      <c r="D555" s="12">
        <v>1979</v>
      </c>
    </row>
    <row r="556" spans="1:4" ht="19.899999999999999" customHeight="1">
      <c r="A556" s="11" t="s">
        <v>21</v>
      </c>
      <c r="B556" s="12" t="s">
        <v>35</v>
      </c>
      <c r="C556" s="12"/>
      <c r="D556" s="12">
        <v>1979</v>
      </c>
    </row>
    <row r="557" spans="1:4" ht="19.899999999999999" customHeight="1">
      <c r="A557" s="11" t="s">
        <v>22</v>
      </c>
      <c r="B557" s="12" t="s">
        <v>35</v>
      </c>
      <c r="C557" s="12"/>
      <c r="D557" s="12">
        <v>1979</v>
      </c>
    </row>
    <row r="558" spans="1:4" ht="19.899999999999999" customHeight="1">
      <c r="A558" s="11" t="s">
        <v>23</v>
      </c>
      <c r="B558" s="12" t="s">
        <v>35</v>
      </c>
      <c r="C558" s="12"/>
      <c r="D558" s="12">
        <v>1979</v>
      </c>
    </row>
    <row r="559" spans="1:4" ht="19.899999999999999" customHeight="1">
      <c r="A559" s="11" t="s">
        <v>24</v>
      </c>
      <c r="B559" s="12" t="s">
        <v>35</v>
      </c>
      <c r="C559" s="12"/>
      <c r="D559" s="12">
        <v>1979</v>
      </c>
    </row>
    <row r="560" spans="1:4" ht="19.899999999999999" customHeight="1">
      <c r="A560" s="11" t="s">
        <v>25</v>
      </c>
      <c r="B560" s="12" t="s">
        <v>35</v>
      </c>
      <c r="C560" s="12"/>
      <c r="D560" s="12">
        <v>1979</v>
      </c>
    </row>
    <row r="561" spans="1:4" ht="19.899999999999999" customHeight="1">
      <c r="A561" s="11" t="s">
        <v>26</v>
      </c>
      <c r="B561" s="12" t="s">
        <v>35</v>
      </c>
      <c r="C561" s="12"/>
      <c r="D561" s="12">
        <v>1979</v>
      </c>
    </row>
    <row r="562" spans="1:4" ht="19.899999999999999" customHeight="1">
      <c r="A562" s="11" t="s">
        <v>27</v>
      </c>
      <c r="B562" s="12" t="s">
        <v>35</v>
      </c>
      <c r="C562" s="12">
        <v>62.786598205566399</v>
      </c>
      <c r="D562" s="12">
        <v>1979</v>
      </c>
    </row>
    <row r="563" spans="1:4" ht="19.899999999999999" customHeight="1">
      <c r="A563" s="11" t="s">
        <v>28</v>
      </c>
      <c r="B563" s="12" t="s">
        <v>35</v>
      </c>
      <c r="C563" s="12">
        <v>21.405370712280298</v>
      </c>
      <c r="D563" s="12">
        <v>1979</v>
      </c>
    </row>
    <row r="564" spans="1:4" ht="19.899999999999999" customHeight="1">
      <c r="A564" s="11" t="s">
        <v>29</v>
      </c>
      <c r="B564" s="12" t="s">
        <v>35</v>
      </c>
      <c r="C564" s="12"/>
      <c r="D564" s="12">
        <v>1979</v>
      </c>
    </row>
    <row r="565" spans="1:4" ht="19.899999999999999" customHeight="1">
      <c r="A565" s="11" t="s">
        <v>4</v>
      </c>
      <c r="B565" s="12" t="s">
        <v>35</v>
      </c>
      <c r="C565" s="12">
        <v>80.837600708007798</v>
      </c>
      <c r="D565" s="12">
        <v>1980</v>
      </c>
    </row>
    <row r="566" spans="1:4" ht="19.899999999999999" customHeight="1">
      <c r="A566" s="11" t="s">
        <v>5</v>
      </c>
      <c r="B566" s="12" t="s">
        <v>35</v>
      </c>
      <c r="C566" s="12">
        <v>31.043220520019499</v>
      </c>
      <c r="D566" s="12">
        <v>1980</v>
      </c>
    </row>
    <row r="567" spans="1:4" ht="19.899999999999999" customHeight="1">
      <c r="A567" s="11" t="s">
        <v>6</v>
      </c>
      <c r="B567" s="12" t="s">
        <v>35</v>
      </c>
      <c r="C567" s="12"/>
      <c r="D567" s="12">
        <v>1980</v>
      </c>
    </row>
    <row r="568" spans="1:4" ht="19.899999999999999" customHeight="1">
      <c r="A568" s="11" t="s">
        <v>7</v>
      </c>
      <c r="B568" s="12" t="s">
        <v>35</v>
      </c>
      <c r="C568" s="12"/>
      <c r="D568" s="12">
        <v>1980</v>
      </c>
    </row>
    <row r="569" spans="1:4" ht="19.899999999999999" customHeight="1">
      <c r="A569" s="11" t="s">
        <v>8</v>
      </c>
      <c r="B569" s="12" t="s">
        <v>35</v>
      </c>
      <c r="C569" s="12"/>
      <c r="D569" s="12">
        <v>1980</v>
      </c>
    </row>
    <row r="570" spans="1:4" ht="19.899999999999999" customHeight="1">
      <c r="A570" s="11" t="s">
        <v>1</v>
      </c>
      <c r="B570" s="12" t="s">
        <v>35</v>
      </c>
      <c r="C570" s="12"/>
      <c r="D570" s="12">
        <v>1980</v>
      </c>
    </row>
    <row r="571" spans="1:4" ht="19.899999999999999" customHeight="1">
      <c r="A571" s="11" t="s">
        <v>9</v>
      </c>
      <c r="B571" s="12" t="s">
        <v>35</v>
      </c>
      <c r="C571" s="12"/>
      <c r="D571" s="12">
        <v>1980</v>
      </c>
    </row>
    <row r="572" spans="1:4" ht="19.899999999999999" customHeight="1">
      <c r="A572" s="11" t="s">
        <v>10</v>
      </c>
      <c r="B572" s="12" t="s">
        <v>35</v>
      </c>
      <c r="C572" s="12">
        <v>64.101707458495994</v>
      </c>
      <c r="D572" s="12">
        <v>1980</v>
      </c>
    </row>
    <row r="573" spans="1:4" ht="19.899999999999999" customHeight="1">
      <c r="A573" s="11" t="s">
        <v>11</v>
      </c>
      <c r="B573" s="12" t="s">
        <v>35</v>
      </c>
      <c r="C573" s="12"/>
      <c r="D573" s="12">
        <v>1980</v>
      </c>
    </row>
    <row r="574" spans="1:4" ht="19.899999999999999" customHeight="1">
      <c r="A574" s="11" t="s">
        <v>38</v>
      </c>
      <c r="B574" s="12" t="s">
        <v>35</v>
      </c>
      <c r="C574" s="12"/>
      <c r="D574" s="12">
        <v>1980</v>
      </c>
    </row>
    <row r="575" spans="1:4" ht="19.899999999999999" customHeight="1">
      <c r="A575" s="11" t="s">
        <v>12</v>
      </c>
      <c r="B575" s="12" t="s">
        <v>35</v>
      </c>
      <c r="C575" s="12"/>
      <c r="D575" s="12">
        <v>1980</v>
      </c>
    </row>
    <row r="576" spans="1:4" ht="19.899999999999999" customHeight="1">
      <c r="A576" s="11" t="s">
        <v>13</v>
      </c>
      <c r="B576" s="12" t="s">
        <v>35</v>
      </c>
      <c r="C576" s="12"/>
      <c r="D576" s="12">
        <v>1980</v>
      </c>
    </row>
    <row r="577" spans="1:4" ht="19.899999999999999" customHeight="1">
      <c r="A577" s="11" t="s">
        <v>14</v>
      </c>
      <c r="B577" s="12" t="s">
        <v>35</v>
      </c>
      <c r="C577" s="12"/>
      <c r="D577" s="12">
        <v>1980</v>
      </c>
    </row>
    <row r="578" spans="1:4" ht="19.899999999999999" customHeight="1">
      <c r="A578" s="11" t="s">
        <v>15</v>
      </c>
      <c r="B578" s="12" t="s">
        <v>35</v>
      </c>
      <c r="C578" s="12"/>
      <c r="D578" s="12">
        <v>1980</v>
      </c>
    </row>
    <row r="579" spans="1:4" ht="19.899999999999999" customHeight="1">
      <c r="A579" s="11" t="s">
        <v>16</v>
      </c>
      <c r="B579" s="12" t="s">
        <v>35</v>
      </c>
      <c r="C579" s="12"/>
      <c r="D579" s="12">
        <v>1980</v>
      </c>
    </row>
    <row r="580" spans="1:4" ht="19.899999999999999" customHeight="1">
      <c r="A580" s="11" t="s">
        <v>17</v>
      </c>
      <c r="B580" s="12" t="s">
        <v>35</v>
      </c>
      <c r="C580" s="12"/>
      <c r="D580" s="12">
        <v>1980</v>
      </c>
    </row>
    <row r="581" spans="1:4" ht="19.899999999999999" customHeight="1">
      <c r="A581" s="11" t="s">
        <v>18</v>
      </c>
      <c r="B581" s="12" t="s">
        <v>35</v>
      </c>
      <c r="C581" s="12"/>
      <c r="D581" s="12">
        <v>1980</v>
      </c>
    </row>
    <row r="582" spans="1:4" ht="19.899999999999999" customHeight="1">
      <c r="A582" s="11" t="s">
        <v>19</v>
      </c>
      <c r="B582" s="12" t="s">
        <v>35</v>
      </c>
      <c r="C582" s="12"/>
      <c r="D582" s="12">
        <v>1980</v>
      </c>
    </row>
    <row r="583" spans="1:4" ht="19.899999999999999" customHeight="1">
      <c r="A583" s="11" t="s">
        <v>20</v>
      </c>
      <c r="B583" s="12" t="s">
        <v>35</v>
      </c>
      <c r="C583" s="12">
        <v>35.602939605712898</v>
      </c>
      <c r="D583" s="12">
        <v>1980</v>
      </c>
    </row>
    <row r="584" spans="1:4" ht="19.899999999999999" customHeight="1">
      <c r="A584" s="11" t="s">
        <v>21</v>
      </c>
      <c r="B584" s="12" t="s">
        <v>35</v>
      </c>
      <c r="C584" s="12"/>
      <c r="D584" s="12">
        <v>1980</v>
      </c>
    </row>
    <row r="585" spans="1:4" ht="19.899999999999999" customHeight="1">
      <c r="A585" s="11" t="s">
        <v>22</v>
      </c>
      <c r="B585" s="12" t="s">
        <v>35</v>
      </c>
      <c r="C585" s="12"/>
      <c r="D585" s="12">
        <v>1980</v>
      </c>
    </row>
    <row r="586" spans="1:4" ht="19.899999999999999" customHeight="1">
      <c r="A586" s="11" t="s">
        <v>23</v>
      </c>
      <c r="B586" s="12" t="s">
        <v>35</v>
      </c>
      <c r="C586" s="12"/>
      <c r="D586" s="12">
        <v>1980</v>
      </c>
    </row>
    <row r="587" spans="1:4" ht="19.899999999999999" customHeight="1">
      <c r="A587" s="11" t="s">
        <v>24</v>
      </c>
      <c r="B587" s="12" t="s">
        <v>35</v>
      </c>
      <c r="C587" s="12"/>
      <c r="D587" s="12">
        <v>1980</v>
      </c>
    </row>
    <row r="588" spans="1:4" ht="19.899999999999999" customHeight="1">
      <c r="A588" s="11" t="s">
        <v>25</v>
      </c>
      <c r="B588" s="12" t="s">
        <v>35</v>
      </c>
      <c r="C588" s="12"/>
      <c r="D588" s="12">
        <v>1980</v>
      </c>
    </row>
    <row r="589" spans="1:4" ht="19.899999999999999" customHeight="1">
      <c r="A589" s="11" t="s">
        <v>26</v>
      </c>
      <c r="B589" s="12" t="s">
        <v>35</v>
      </c>
      <c r="C589" s="12">
        <v>30.131679534912099</v>
      </c>
      <c r="D589" s="12">
        <v>1980</v>
      </c>
    </row>
    <row r="590" spans="1:4" ht="19.899999999999999" customHeight="1">
      <c r="A590" s="11" t="s">
        <v>27</v>
      </c>
      <c r="B590" s="12" t="s">
        <v>35</v>
      </c>
      <c r="C590" s="12"/>
      <c r="D590" s="12">
        <v>1980</v>
      </c>
    </row>
    <row r="591" spans="1:4" ht="19.899999999999999" customHeight="1">
      <c r="A591" s="11" t="s">
        <v>28</v>
      </c>
      <c r="B591" s="12" t="s">
        <v>35</v>
      </c>
      <c r="C591" s="12">
        <v>21.401889801025401</v>
      </c>
      <c r="D591" s="12">
        <v>1980</v>
      </c>
    </row>
    <row r="592" spans="1:4" ht="19.899999999999999" customHeight="1">
      <c r="A592" s="11" t="s">
        <v>29</v>
      </c>
      <c r="B592" s="12" t="s">
        <v>35</v>
      </c>
      <c r="C592" s="12"/>
      <c r="D592" s="12">
        <v>1980</v>
      </c>
    </row>
    <row r="593" spans="1:4" ht="19.899999999999999" customHeight="1">
      <c r="A593" s="11" t="s">
        <v>4</v>
      </c>
      <c r="B593" s="12" t="s">
        <v>35</v>
      </c>
      <c r="C593" s="12">
        <v>78.840316772460895</v>
      </c>
      <c r="D593" s="12">
        <v>1981</v>
      </c>
    </row>
    <row r="594" spans="1:4" ht="19.899999999999999" customHeight="1">
      <c r="A594" s="11" t="s">
        <v>5</v>
      </c>
      <c r="B594" s="12" t="s">
        <v>35</v>
      </c>
      <c r="C594" s="12"/>
      <c r="D594" s="12">
        <v>1981</v>
      </c>
    </row>
    <row r="595" spans="1:4" ht="19.899999999999999" customHeight="1">
      <c r="A595" s="11" t="s">
        <v>6</v>
      </c>
      <c r="B595" s="12" t="s">
        <v>35</v>
      </c>
      <c r="C595" s="12"/>
      <c r="D595" s="12">
        <v>1981</v>
      </c>
    </row>
    <row r="596" spans="1:4" ht="19.899999999999999" customHeight="1">
      <c r="A596" s="11" t="s">
        <v>7</v>
      </c>
      <c r="B596" s="12" t="s">
        <v>35</v>
      </c>
      <c r="C596" s="12"/>
      <c r="D596" s="12">
        <v>1981</v>
      </c>
    </row>
    <row r="597" spans="1:4" ht="19.899999999999999" customHeight="1">
      <c r="A597" s="11" t="s">
        <v>8</v>
      </c>
      <c r="B597" s="12" t="s">
        <v>35</v>
      </c>
      <c r="C597" s="12"/>
      <c r="D597" s="12">
        <v>1981</v>
      </c>
    </row>
    <row r="598" spans="1:4" ht="19.899999999999999" customHeight="1">
      <c r="A598" s="11" t="s">
        <v>1</v>
      </c>
      <c r="B598" s="12" t="s">
        <v>35</v>
      </c>
      <c r="C598" s="12"/>
      <c r="D598" s="12">
        <v>1981</v>
      </c>
    </row>
    <row r="599" spans="1:4" ht="19.899999999999999" customHeight="1">
      <c r="A599" s="11" t="s">
        <v>9</v>
      </c>
      <c r="B599" s="12" t="s">
        <v>35</v>
      </c>
      <c r="C599" s="12"/>
      <c r="D599" s="12">
        <v>1981</v>
      </c>
    </row>
    <row r="600" spans="1:4" ht="19.899999999999999" customHeight="1">
      <c r="A600" s="11" t="s">
        <v>10</v>
      </c>
      <c r="B600" s="12" t="s">
        <v>35</v>
      </c>
      <c r="C600" s="12">
        <v>63.043209075927699</v>
      </c>
      <c r="D600" s="12">
        <v>1981</v>
      </c>
    </row>
    <row r="601" spans="1:4" ht="19.899999999999999" customHeight="1">
      <c r="A601" s="11" t="s">
        <v>11</v>
      </c>
      <c r="B601" s="12" t="s">
        <v>35</v>
      </c>
      <c r="C601" s="12"/>
      <c r="D601" s="12">
        <v>1981</v>
      </c>
    </row>
    <row r="602" spans="1:4" ht="19.899999999999999" customHeight="1">
      <c r="A602" s="11" t="s">
        <v>38</v>
      </c>
      <c r="B602" s="12" t="s">
        <v>35</v>
      </c>
      <c r="C602" s="12"/>
      <c r="D602" s="12">
        <v>1981</v>
      </c>
    </row>
    <row r="603" spans="1:4" ht="19.899999999999999" customHeight="1">
      <c r="A603" s="11" t="s">
        <v>12</v>
      </c>
      <c r="B603" s="12" t="s">
        <v>35</v>
      </c>
      <c r="C603" s="12"/>
      <c r="D603" s="12">
        <v>1981</v>
      </c>
    </row>
    <row r="604" spans="1:4" ht="19.899999999999999" customHeight="1">
      <c r="A604" s="11" t="s">
        <v>13</v>
      </c>
      <c r="B604" s="12" t="s">
        <v>35</v>
      </c>
      <c r="C604" s="12"/>
      <c r="D604" s="12">
        <v>1981</v>
      </c>
    </row>
    <row r="605" spans="1:4" ht="19.899999999999999" customHeight="1">
      <c r="A605" s="11" t="s">
        <v>14</v>
      </c>
      <c r="B605" s="12" t="s">
        <v>35</v>
      </c>
      <c r="C605" s="12"/>
      <c r="D605" s="12">
        <v>1981</v>
      </c>
    </row>
    <row r="606" spans="1:4" ht="19.899999999999999" customHeight="1">
      <c r="A606" s="11" t="s">
        <v>15</v>
      </c>
      <c r="B606" s="12" t="s">
        <v>35</v>
      </c>
      <c r="C606" s="12"/>
      <c r="D606" s="12">
        <v>1981</v>
      </c>
    </row>
    <row r="607" spans="1:4" ht="19.899999999999999" customHeight="1">
      <c r="A607" s="11" t="s">
        <v>16</v>
      </c>
      <c r="B607" s="12" t="s">
        <v>35</v>
      </c>
      <c r="C607" s="12"/>
      <c r="D607" s="12">
        <v>1981</v>
      </c>
    </row>
    <row r="608" spans="1:4" ht="19.899999999999999" customHeight="1">
      <c r="A608" s="11" t="s">
        <v>17</v>
      </c>
      <c r="B608" s="12" t="s">
        <v>35</v>
      </c>
      <c r="C608" s="12">
        <v>65.215606689453097</v>
      </c>
      <c r="D608" s="12">
        <v>1981</v>
      </c>
    </row>
    <row r="609" spans="1:4" ht="19.899999999999999" customHeight="1">
      <c r="A609" s="11" t="s">
        <v>18</v>
      </c>
      <c r="B609" s="12" t="s">
        <v>35</v>
      </c>
      <c r="C609" s="12"/>
      <c r="D609" s="12">
        <v>1981</v>
      </c>
    </row>
    <row r="610" spans="1:4" ht="19.899999999999999" customHeight="1">
      <c r="A610" s="11" t="s">
        <v>19</v>
      </c>
      <c r="B610" s="12" t="s">
        <v>35</v>
      </c>
      <c r="C610" s="12"/>
      <c r="D610" s="12">
        <v>1981</v>
      </c>
    </row>
    <row r="611" spans="1:4" ht="19.899999999999999" customHeight="1">
      <c r="A611" s="11" t="s">
        <v>20</v>
      </c>
      <c r="B611" s="12" t="s">
        <v>35</v>
      </c>
      <c r="C611" s="12"/>
      <c r="D611" s="12">
        <v>1981</v>
      </c>
    </row>
    <row r="612" spans="1:4" ht="19.899999999999999" customHeight="1">
      <c r="A612" s="11" t="s">
        <v>21</v>
      </c>
      <c r="B612" s="12" t="s">
        <v>35</v>
      </c>
      <c r="C612" s="12">
        <v>80.795867919921903</v>
      </c>
      <c r="D612" s="12">
        <v>1981</v>
      </c>
    </row>
    <row r="613" spans="1:4" ht="19.899999999999999" customHeight="1">
      <c r="A613" s="11" t="s">
        <v>22</v>
      </c>
      <c r="B613" s="12" t="s">
        <v>35</v>
      </c>
      <c r="C613" s="12"/>
      <c r="D613" s="12">
        <v>1981</v>
      </c>
    </row>
    <row r="614" spans="1:4" ht="19.899999999999999" customHeight="1">
      <c r="A614" s="11" t="s">
        <v>23</v>
      </c>
      <c r="B614" s="12" t="s">
        <v>35</v>
      </c>
      <c r="C614" s="12"/>
      <c r="D614" s="12">
        <v>1981</v>
      </c>
    </row>
    <row r="615" spans="1:4" ht="19.899999999999999" customHeight="1">
      <c r="A615" s="11" t="s">
        <v>24</v>
      </c>
      <c r="B615" s="12" t="s">
        <v>35</v>
      </c>
      <c r="C615" s="12"/>
      <c r="D615" s="12">
        <v>1981</v>
      </c>
    </row>
    <row r="616" spans="1:4" ht="19.899999999999999" customHeight="1">
      <c r="A616" s="11" t="s">
        <v>25</v>
      </c>
      <c r="B616" s="12" t="s">
        <v>35</v>
      </c>
      <c r="C616" s="12"/>
      <c r="D616" s="12">
        <v>1981</v>
      </c>
    </row>
    <row r="617" spans="1:4" ht="19.899999999999999" customHeight="1">
      <c r="A617" s="11" t="s">
        <v>26</v>
      </c>
      <c r="B617" s="12" t="s">
        <v>35</v>
      </c>
      <c r="C617" s="12">
        <v>31.4073295593262</v>
      </c>
      <c r="D617" s="12">
        <v>1981</v>
      </c>
    </row>
    <row r="618" spans="1:4" ht="19.899999999999999" customHeight="1">
      <c r="A618" s="11" t="s">
        <v>27</v>
      </c>
      <c r="B618" s="12" t="s">
        <v>35</v>
      </c>
      <c r="C618" s="12">
        <v>59.207511901855497</v>
      </c>
      <c r="D618" s="12">
        <v>1981</v>
      </c>
    </row>
    <row r="619" spans="1:4" ht="19.899999999999999" customHeight="1">
      <c r="A619" s="11" t="s">
        <v>28</v>
      </c>
      <c r="B619" s="12" t="s">
        <v>35</v>
      </c>
      <c r="C619" s="12">
        <v>21.379459381103501</v>
      </c>
      <c r="D619" s="12">
        <v>1981</v>
      </c>
    </row>
    <row r="620" spans="1:4" ht="19.899999999999999" customHeight="1">
      <c r="A620" s="11" t="s">
        <v>29</v>
      </c>
      <c r="B620" s="12" t="s">
        <v>35</v>
      </c>
      <c r="C620" s="12"/>
      <c r="D620" s="12">
        <v>1981</v>
      </c>
    </row>
    <row r="621" spans="1:4" ht="19.899999999999999" customHeight="1">
      <c r="A621" s="11" t="s">
        <v>4</v>
      </c>
      <c r="B621" s="12" t="s">
        <v>35</v>
      </c>
      <c r="C621" s="12">
        <v>75.389266967773395</v>
      </c>
      <c r="D621" s="12">
        <v>1982</v>
      </c>
    </row>
    <row r="622" spans="1:4" ht="19.899999999999999" customHeight="1">
      <c r="A622" s="11" t="s">
        <v>5</v>
      </c>
      <c r="B622" s="12" t="s">
        <v>35</v>
      </c>
      <c r="C622" s="12"/>
      <c r="D622" s="12">
        <v>1982</v>
      </c>
    </row>
    <row r="623" spans="1:4" ht="19.899999999999999" customHeight="1">
      <c r="A623" s="11" t="s">
        <v>6</v>
      </c>
      <c r="B623" s="12" t="s">
        <v>35</v>
      </c>
      <c r="C623" s="12"/>
      <c r="D623" s="12">
        <v>1982</v>
      </c>
    </row>
    <row r="624" spans="1:4" ht="19.899999999999999" customHeight="1">
      <c r="A624" s="11" t="s">
        <v>7</v>
      </c>
      <c r="B624" s="12" t="s">
        <v>35</v>
      </c>
      <c r="C624" s="12"/>
      <c r="D624" s="12">
        <v>1982</v>
      </c>
    </row>
    <row r="625" spans="1:4" ht="19.899999999999999" customHeight="1">
      <c r="A625" s="11" t="s">
        <v>8</v>
      </c>
      <c r="B625" s="12" t="s">
        <v>35</v>
      </c>
      <c r="C625" s="12"/>
      <c r="D625" s="12">
        <v>1982</v>
      </c>
    </row>
    <row r="626" spans="1:4" ht="19.899999999999999" customHeight="1">
      <c r="A626" s="11" t="s">
        <v>1</v>
      </c>
      <c r="B626" s="12" t="s">
        <v>35</v>
      </c>
      <c r="C626" s="12"/>
      <c r="D626" s="12">
        <v>1982</v>
      </c>
    </row>
    <row r="627" spans="1:4" ht="19.899999999999999" customHeight="1">
      <c r="A627" s="11" t="s">
        <v>9</v>
      </c>
      <c r="B627" s="12" t="s">
        <v>35</v>
      </c>
      <c r="C627" s="12"/>
      <c r="D627" s="12">
        <v>1982</v>
      </c>
    </row>
    <row r="628" spans="1:4" ht="19.899999999999999" customHeight="1">
      <c r="A628" s="11" t="s">
        <v>10</v>
      </c>
      <c r="B628" s="12" t="s">
        <v>35</v>
      </c>
      <c r="C628" s="12">
        <v>57.552120208740199</v>
      </c>
      <c r="D628" s="12">
        <v>1982</v>
      </c>
    </row>
    <row r="629" spans="1:4" ht="19.899999999999999" customHeight="1">
      <c r="A629" s="11" t="s">
        <v>11</v>
      </c>
      <c r="B629" s="12" t="s">
        <v>35</v>
      </c>
      <c r="C629" s="12"/>
      <c r="D629" s="12">
        <v>1982</v>
      </c>
    </row>
    <row r="630" spans="1:4" ht="19.899999999999999" customHeight="1">
      <c r="A630" s="11" t="s">
        <v>38</v>
      </c>
      <c r="B630" s="12" t="s">
        <v>35</v>
      </c>
      <c r="C630" s="12"/>
      <c r="D630" s="12">
        <v>1982</v>
      </c>
    </row>
    <row r="631" spans="1:4" ht="19.899999999999999" customHeight="1">
      <c r="A631" s="11" t="s">
        <v>12</v>
      </c>
      <c r="B631" s="12" t="s">
        <v>35</v>
      </c>
      <c r="C631" s="12"/>
      <c r="D631" s="12">
        <v>1982</v>
      </c>
    </row>
    <row r="632" spans="1:4" ht="19.899999999999999" customHeight="1">
      <c r="A632" s="11" t="s">
        <v>13</v>
      </c>
      <c r="B632" s="12" t="s">
        <v>35</v>
      </c>
      <c r="C632" s="12"/>
      <c r="D632" s="12">
        <v>1982</v>
      </c>
    </row>
    <row r="633" spans="1:4" ht="19.899999999999999" customHeight="1">
      <c r="A633" s="11" t="s">
        <v>14</v>
      </c>
      <c r="B633" s="12" t="s">
        <v>35</v>
      </c>
      <c r="C633" s="12"/>
      <c r="D633" s="12">
        <v>1982</v>
      </c>
    </row>
    <row r="634" spans="1:4" ht="19.899999999999999" customHeight="1">
      <c r="A634" s="11" t="s">
        <v>15</v>
      </c>
      <c r="B634" s="12" t="s">
        <v>35</v>
      </c>
      <c r="C634" s="12"/>
      <c r="D634" s="12">
        <v>1982</v>
      </c>
    </row>
    <row r="635" spans="1:4" ht="19.899999999999999" customHeight="1">
      <c r="A635" s="11" t="s">
        <v>16</v>
      </c>
      <c r="B635" s="12" t="s">
        <v>35</v>
      </c>
      <c r="C635" s="12"/>
      <c r="D635" s="12">
        <v>1982</v>
      </c>
    </row>
    <row r="636" spans="1:4" ht="19.899999999999999" customHeight="1">
      <c r="A636" s="11" t="s">
        <v>17</v>
      </c>
      <c r="B636" s="12" t="s">
        <v>35</v>
      </c>
      <c r="C636" s="12">
        <v>65.536087036132798</v>
      </c>
      <c r="D636" s="12">
        <v>1982</v>
      </c>
    </row>
    <row r="637" spans="1:4" ht="19.899999999999999" customHeight="1">
      <c r="A637" s="11" t="s">
        <v>18</v>
      </c>
      <c r="B637" s="12" t="s">
        <v>35</v>
      </c>
      <c r="C637" s="12"/>
      <c r="D637" s="12">
        <v>1982</v>
      </c>
    </row>
    <row r="638" spans="1:4" ht="19.899999999999999" customHeight="1">
      <c r="A638" s="11" t="s">
        <v>19</v>
      </c>
      <c r="B638" s="12" t="s">
        <v>35</v>
      </c>
      <c r="C638" s="12"/>
      <c r="D638" s="12">
        <v>1982</v>
      </c>
    </row>
    <row r="639" spans="1:4" ht="19.899999999999999" customHeight="1">
      <c r="A639" s="11" t="s">
        <v>20</v>
      </c>
      <c r="B639" s="12" t="s">
        <v>35</v>
      </c>
      <c r="C639" s="12">
        <v>37.004581451416001</v>
      </c>
      <c r="D639" s="12">
        <v>1982</v>
      </c>
    </row>
    <row r="640" spans="1:4" ht="19.899999999999999" customHeight="1">
      <c r="A640" s="11" t="s">
        <v>21</v>
      </c>
      <c r="B640" s="12" t="s">
        <v>35</v>
      </c>
      <c r="C640" s="12"/>
      <c r="D640" s="12">
        <v>1982</v>
      </c>
    </row>
    <row r="641" spans="1:4" ht="19.899999999999999" customHeight="1">
      <c r="A641" s="11" t="s">
        <v>22</v>
      </c>
      <c r="B641" s="12" t="s">
        <v>35</v>
      </c>
      <c r="C641" s="12"/>
      <c r="D641" s="12">
        <v>1982</v>
      </c>
    </row>
    <row r="642" spans="1:4" ht="19.899999999999999" customHeight="1">
      <c r="A642" s="11" t="s">
        <v>23</v>
      </c>
      <c r="B642" s="12" t="s">
        <v>35</v>
      </c>
      <c r="C642" s="12"/>
      <c r="D642" s="12">
        <v>1982</v>
      </c>
    </row>
    <row r="643" spans="1:4" ht="19.899999999999999" customHeight="1">
      <c r="A643" s="11" t="s">
        <v>24</v>
      </c>
      <c r="B643" s="12" t="s">
        <v>35</v>
      </c>
      <c r="C643" s="12"/>
      <c r="D643" s="12">
        <v>1982</v>
      </c>
    </row>
    <row r="644" spans="1:4" ht="19.899999999999999" customHeight="1">
      <c r="A644" s="11" t="s">
        <v>25</v>
      </c>
      <c r="B644" s="12" t="s">
        <v>35</v>
      </c>
      <c r="C644" s="12"/>
      <c r="D644" s="12">
        <v>1982</v>
      </c>
    </row>
    <row r="645" spans="1:4" ht="19.899999999999999" customHeight="1">
      <c r="A645" s="11" t="s">
        <v>26</v>
      </c>
      <c r="B645" s="12" t="s">
        <v>35</v>
      </c>
      <c r="C645" s="12">
        <v>36.282138824462898</v>
      </c>
      <c r="D645" s="12">
        <v>1982</v>
      </c>
    </row>
    <row r="646" spans="1:4" ht="19.899999999999999" customHeight="1">
      <c r="A646" s="11" t="s">
        <v>27</v>
      </c>
      <c r="B646" s="12" t="s">
        <v>35</v>
      </c>
      <c r="C646" s="12">
        <v>57.413581848144503</v>
      </c>
      <c r="D646" s="12">
        <v>1982</v>
      </c>
    </row>
    <row r="647" spans="1:4" ht="19.899999999999999" customHeight="1">
      <c r="A647" s="11" t="s">
        <v>28</v>
      </c>
      <c r="B647" s="12" t="s">
        <v>35</v>
      </c>
      <c r="C647" s="12">
        <v>21.510700225830099</v>
      </c>
      <c r="D647" s="12">
        <v>1982</v>
      </c>
    </row>
    <row r="648" spans="1:4" ht="19.899999999999999" customHeight="1">
      <c r="A648" s="11" t="s">
        <v>29</v>
      </c>
      <c r="B648" s="12" t="s">
        <v>35</v>
      </c>
      <c r="C648" s="12">
        <v>2.3729898929595898</v>
      </c>
      <c r="D648" s="12">
        <v>1982</v>
      </c>
    </row>
    <row r="649" spans="1:4" ht="19.899999999999999" customHeight="1">
      <c r="A649" s="11" t="s">
        <v>4</v>
      </c>
      <c r="B649" s="12" t="s">
        <v>35</v>
      </c>
      <c r="C649" s="12">
        <v>69.008720397949205</v>
      </c>
      <c r="D649" s="12">
        <v>1983</v>
      </c>
    </row>
    <row r="650" spans="1:4" ht="19.899999999999999" customHeight="1">
      <c r="A650" s="11" t="s">
        <v>5</v>
      </c>
      <c r="B650" s="12" t="s">
        <v>35</v>
      </c>
      <c r="C650" s="12"/>
      <c r="D650" s="12">
        <v>1983</v>
      </c>
    </row>
    <row r="651" spans="1:4" ht="19.899999999999999" customHeight="1">
      <c r="A651" s="11" t="s">
        <v>6</v>
      </c>
      <c r="B651" s="12" t="s">
        <v>35</v>
      </c>
      <c r="C651" s="12"/>
      <c r="D651" s="12">
        <v>1983</v>
      </c>
    </row>
    <row r="652" spans="1:4" ht="19.899999999999999" customHeight="1">
      <c r="A652" s="11" t="s">
        <v>7</v>
      </c>
      <c r="B652" s="12" t="s">
        <v>35</v>
      </c>
      <c r="C652" s="12">
        <v>12.6695098876953</v>
      </c>
      <c r="D652" s="12">
        <v>1983</v>
      </c>
    </row>
    <row r="653" spans="1:4" ht="19.899999999999999" customHeight="1">
      <c r="A653" s="11" t="s">
        <v>8</v>
      </c>
      <c r="B653" s="12" t="s">
        <v>35</v>
      </c>
      <c r="C653" s="12"/>
      <c r="D653" s="12">
        <v>1983</v>
      </c>
    </row>
    <row r="654" spans="1:4" ht="19.899999999999999" customHeight="1">
      <c r="A654" s="11" t="s">
        <v>1</v>
      </c>
      <c r="B654" s="12" t="s">
        <v>35</v>
      </c>
      <c r="C654" s="12"/>
      <c r="D654" s="12">
        <v>1983</v>
      </c>
    </row>
    <row r="655" spans="1:4" ht="19.899999999999999" customHeight="1">
      <c r="A655" s="11" t="s">
        <v>9</v>
      </c>
      <c r="B655" s="12" t="s">
        <v>35</v>
      </c>
      <c r="C655" s="12"/>
      <c r="D655" s="12">
        <v>1983</v>
      </c>
    </row>
    <row r="656" spans="1:4" ht="19.899999999999999" customHeight="1">
      <c r="A656" s="11" t="s">
        <v>10</v>
      </c>
      <c r="B656" s="12" t="s">
        <v>35</v>
      </c>
      <c r="C656" s="12">
        <v>53.200218200683601</v>
      </c>
      <c r="D656" s="12">
        <v>1983</v>
      </c>
    </row>
    <row r="657" spans="1:4" ht="19.899999999999999" customHeight="1">
      <c r="A657" s="11" t="s">
        <v>11</v>
      </c>
      <c r="B657" s="12" t="s">
        <v>35</v>
      </c>
      <c r="C657" s="12"/>
      <c r="D657" s="12">
        <v>1983</v>
      </c>
    </row>
    <row r="658" spans="1:4" ht="19.899999999999999" customHeight="1">
      <c r="A658" s="11" t="s">
        <v>38</v>
      </c>
      <c r="B658" s="12" t="s">
        <v>35</v>
      </c>
      <c r="C658" s="12"/>
      <c r="D658" s="12">
        <v>1983</v>
      </c>
    </row>
    <row r="659" spans="1:4" ht="19.899999999999999" customHeight="1">
      <c r="A659" s="11" t="s">
        <v>12</v>
      </c>
      <c r="B659" s="12" t="s">
        <v>35</v>
      </c>
      <c r="C659" s="12"/>
      <c r="D659" s="12">
        <v>1983</v>
      </c>
    </row>
    <row r="660" spans="1:4" ht="19.899999999999999" customHeight="1">
      <c r="A660" s="11" t="s">
        <v>13</v>
      </c>
      <c r="B660" s="12" t="s">
        <v>35</v>
      </c>
      <c r="C660" s="12"/>
      <c r="D660" s="12">
        <v>1983</v>
      </c>
    </row>
    <row r="661" spans="1:4" ht="19.899999999999999" customHeight="1">
      <c r="A661" s="11" t="s">
        <v>14</v>
      </c>
      <c r="B661" s="12" t="s">
        <v>35</v>
      </c>
      <c r="C661" s="12"/>
      <c r="D661" s="12">
        <v>1983</v>
      </c>
    </row>
    <row r="662" spans="1:4" ht="19.899999999999999" customHeight="1">
      <c r="A662" s="11" t="s">
        <v>15</v>
      </c>
      <c r="B662" s="12" t="s">
        <v>35</v>
      </c>
      <c r="C662" s="12"/>
      <c r="D662" s="12">
        <v>1983</v>
      </c>
    </row>
    <row r="663" spans="1:4" ht="19.899999999999999" customHeight="1">
      <c r="A663" s="11" t="s">
        <v>16</v>
      </c>
      <c r="B663" s="12" t="s">
        <v>35</v>
      </c>
      <c r="C663" s="12"/>
      <c r="D663" s="12">
        <v>1983</v>
      </c>
    </row>
    <row r="664" spans="1:4" ht="19.899999999999999" customHeight="1">
      <c r="A664" s="11" t="s">
        <v>17</v>
      </c>
      <c r="B664" s="12" t="s">
        <v>35</v>
      </c>
      <c r="C664" s="12">
        <v>52.081871032714801</v>
      </c>
      <c r="D664" s="12">
        <v>1983</v>
      </c>
    </row>
    <row r="665" spans="1:4" ht="19.899999999999999" customHeight="1">
      <c r="A665" s="11" t="s">
        <v>18</v>
      </c>
      <c r="B665" s="12" t="s">
        <v>35</v>
      </c>
      <c r="C665" s="12"/>
      <c r="D665" s="12">
        <v>1983</v>
      </c>
    </row>
    <row r="666" spans="1:4" ht="19.899999999999999" customHeight="1">
      <c r="A666" s="11" t="s">
        <v>19</v>
      </c>
      <c r="B666" s="12" t="s">
        <v>35</v>
      </c>
      <c r="C666" s="12">
        <v>40.593311309814503</v>
      </c>
      <c r="D666" s="12">
        <v>1983</v>
      </c>
    </row>
    <row r="667" spans="1:4" ht="19.899999999999999" customHeight="1">
      <c r="A667" s="11" t="s">
        <v>20</v>
      </c>
      <c r="B667" s="12" t="s">
        <v>35</v>
      </c>
      <c r="C667" s="12">
        <v>36.545539855957003</v>
      </c>
      <c r="D667" s="12">
        <v>1983</v>
      </c>
    </row>
    <row r="668" spans="1:4" ht="19.899999999999999" customHeight="1">
      <c r="A668" s="11" t="s">
        <v>21</v>
      </c>
      <c r="B668" s="12" t="s">
        <v>35</v>
      </c>
      <c r="C668" s="12"/>
      <c r="D668" s="12">
        <v>1983</v>
      </c>
    </row>
    <row r="669" spans="1:4" ht="19.899999999999999" customHeight="1">
      <c r="A669" s="11" t="s">
        <v>22</v>
      </c>
      <c r="B669" s="12" t="s">
        <v>35</v>
      </c>
      <c r="C669" s="12"/>
      <c r="D669" s="12">
        <v>1983</v>
      </c>
    </row>
    <row r="670" spans="1:4" ht="19.899999999999999" customHeight="1">
      <c r="A670" s="11" t="s">
        <v>23</v>
      </c>
      <c r="B670" s="12" t="s">
        <v>35</v>
      </c>
      <c r="C670" s="12">
        <v>3.86089992523193</v>
      </c>
      <c r="D670" s="12">
        <v>1983</v>
      </c>
    </row>
    <row r="671" spans="1:4" ht="19.899999999999999" customHeight="1">
      <c r="A671" s="11" t="s">
        <v>24</v>
      </c>
      <c r="B671" s="12" t="s">
        <v>35</v>
      </c>
      <c r="C671" s="12"/>
      <c r="D671" s="12">
        <v>1983</v>
      </c>
    </row>
    <row r="672" spans="1:4" ht="19.899999999999999" customHeight="1">
      <c r="A672" s="11" t="s">
        <v>25</v>
      </c>
      <c r="B672" s="12" t="s">
        <v>35</v>
      </c>
      <c r="C672" s="12"/>
      <c r="D672" s="12">
        <v>1983</v>
      </c>
    </row>
    <row r="673" spans="1:4" ht="19.899999999999999" customHeight="1">
      <c r="A673" s="11" t="s">
        <v>26</v>
      </c>
      <c r="B673" s="12" t="s">
        <v>35</v>
      </c>
      <c r="C673" s="12">
        <v>37.522140502929702</v>
      </c>
      <c r="D673" s="12">
        <v>1983</v>
      </c>
    </row>
    <row r="674" spans="1:4" ht="19.899999999999999" customHeight="1">
      <c r="A674" s="11" t="s">
        <v>27</v>
      </c>
      <c r="B674" s="12" t="s">
        <v>35</v>
      </c>
      <c r="C674" s="12"/>
      <c r="D674" s="12">
        <v>1983</v>
      </c>
    </row>
    <row r="675" spans="1:4" ht="19.899999999999999" customHeight="1">
      <c r="A675" s="11" t="s">
        <v>28</v>
      </c>
      <c r="B675" s="12" t="s">
        <v>35</v>
      </c>
      <c r="C675" s="12">
        <v>19.928409576416001</v>
      </c>
      <c r="D675" s="12">
        <v>1983</v>
      </c>
    </row>
    <row r="676" spans="1:4" ht="19.899999999999999" customHeight="1">
      <c r="A676" s="11" t="s">
        <v>29</v>
      </c>
      <c r="B676" s="12" t="s">
        <v>35</v>
      </c>
      <c r="C676" s="12"/>
      <c r="D676" s="12">
        <v>1983</v>
      </c>
    </row>
    <row r="677" spans="1:4" ht="19.899999999999999" customHeight="1">
      <c r="A677" s="11" t="s">
        <v>4</v>
      </c>
      <c r="B677" s="12" t="s">
        <v>35</v>
      </c>
      <c r="C677" s="12">
        <v>64.124259948730497</v>
      </c>
      <c r="D677" s="12">
        <v>1984</v>
      </c>
    </row>
    <row r="678" spans="1:4" ht="19.899999999999999" customHeight="1">
      <c r="A678" s="11" t="s">
        <v>5</v>
      </c>
      <c r="B678" s="12" t="s">
        <v>35</v>
      </c>
      <c r="C678" s="12"/>
      <c r="D678" s="12">
        <v>1984</v>
      </c>
    </row>
    <row r="679" spans="1:4" ht="19.899999999999999" customHeight="1">
      <c r="A679" s="11" t="s">
        <v>6</v>
      </c>
      <c r="B679" s="12" t="s">
        <v>35</v>
      </c>
      <c r="C679" s="12"/>
      <c r="D679" s="12">
        <v>1984</v>
      </c>
    </row>
    <row r="680" spans="1:4" ht="19.899999999999999" customHeight="1">
      <c r="A680" s="11" t="s">
        <v>7</v>
      </c>
      <c r="B680" s="12" t="s">
        <v>35</v>
      </c>
      <c r="C680" s="12"/>
      <c r="D680" s="12">
        <v>1984</v>
      </c>
    </row>
    <row r="681" spans="1:4" ht="19.899999999999999" customHeight="1">
      <c r="A681" s="11" t="s">
        <v>8</v>
      </c>
      <c r="B681" s="12" t="s">
        <v>35</v>
      </c>
      <c r="C681" s="12"/>
      <c r="D681" s="12">
        <v>1984</v>
      </c>
    </row>
    <row r="682" spans="1:4" ht="19.899999999999999" customHeight="1">
      <c r="A682" s="11" t="s">
        <v>1</v>
      </c>
      <c r="B682" s="12" t="s">
        <v>35</v>
      </c>
      <c r="C682" s="12"/>
      <c r="D682" s="12">
        <v>1984</v>
      </c>
    </row>
    <row r="683" spans="1:4" ht="19.899999999999999" customHeight="1">
      <c r="A683" s="11" t="s">
        <v>9</v>
      </c>
      <c r="B683" s="12" t="s">
        <v>35</v>
      </c>
      <c r="C683" s="12">
        <v>72.063758850097699</v>
      </c>
      <c r="D683" s="12">
        <v>1984</v>
      </c>
    </row>
    <row r="684" spans="1:4" ht="19.899999999999999" customHeight="1">
      <c r="A684" s="11" t="s">
        <v>10</v>
      </c>
      <c r="B684" s="12" t="s">
        <v>35</v>
      </c>
      <c r="C684" s="12">
        <v>56.420368194580099</v>
      </c>
      <c r="D684" s="12">
        <v>1984</v>
      </c>
    </row>
    <row r="685" spans="1:4" ht="19.899999999999999" customHeight="1">
      <c r="A685" s="11" t="s">
        <v>11</v>
      </c>
      <c r="B685" s="12" t="s">
        <v>35</v>
      </c>
      <c r="C685" s="12"/>
      <c r="D685" s="12">
        <v>1984</v>
      </c>
    </row>
    <row r="686" spans="1:4" ht="19.899999999999999" customHeight="1">
      <c r="A686" s="11" t="s">
        <v>38</v>
      </c>
      <c r="B686" s="12" t="s">
        <v>35</v>
      </c>
      <c r="C686" s="12"/>
      <c r="D686" s="12">
        <v>1984</v>
      </c>
    </row>
    <row r="687" spans="1:4" ht="19.899999999999999" customHeight="1">
      <c r="A687" s="11" t="s">
        <v>12</v>
      </c>
      <c r="B687" s="12" t="s">
        <v>35</v>
      </c>
      <c r="C687" s="12"/>
      <c r="D687" s="12">
        <v>1984</v>
      </c>
    </row>
    <row r="688" spans="1:4" ht="19.899999999999999" customHeight="1">
      <c r="A688" s="11" t="s">
        <v>13</v>
      </c>
      <c r="B688" s="12" t="s">
        <v>35</v>
      </c>
      <c r="C688" s="12"/>
      <c r="D688" s="12">
        <v>1984</v>
      </c>
    </row>
    <row r="689" spans="1:4" ht="19.899999999999999" customHeight="1">
      <c r="A689" s="11" t="s">
        <v>14</v>
      </c>
      <c r="B689" s="12" t="s">
        <v>35</v>
      </c>
      <c r="C689" s="12"/>
      <c r="D689" s="12">
        <v>1984</v>
      </c>
    </row>
    <row r="690" spans="1:4" ht="19.899999999999999" customHeight="1">
      <c r="A690" s="11" t="s">
        <v>15</v>
      </c>
      <c r="B690" s="12" t="s">
        <v>35</v>
      </c>
      <c r="C690" s="12"/>
      <c r="D690" s="12">
        <v>1984</v>
      </c>
    </row>
    <row r="691" spans="1:4" ht="19.899999999999999" customHeight="1">
      <c r="A691" s="11" t="s">
        <v>16</v>
      </c>
      <c r="B691" s="12" t="s">
        <v>35</v>
      </c>
      <c r="C691" s="12"/>
      <c r="D691" s="12">
        <v>1984</v>
      </c>
    </row>
    <row r="692" spans="1:4" ht="19.899999999999999" customHeight="1">
      <c r="A692" s="11" t="s">
        <v>17</v>
      </c>
      <c r="B692" s="12" t="s">
        <v>35</v>
      </c>
      <c r="C692" s="12"/>
      <c r="D692" s="12">
        <v>1984</v>
      </c>
    </row>
    <row r="693" spans="1:4" ht="19.899999999999999" customHeight="1">
      <c r="A693" s="11" t="s">
        <v>18</v>
      </c>
      <c r="B693" s="12" t="s">
        <v>35</v>
      </c>
      <c r="C693" s="12"/>
      <c r="D693" s="12">
        <v>1984</v>
      </c>
    </row>
    <row r="694" spans="1:4" ht="19.899999999999999" customHeight="1">
      <c r="A694" s="11" t="s">
        <v>19</v>
      </c>
      <c r="B694" s="12" t="s">
        <v>35</v>
      </c>
      <c r="C694" s="12">
        <v>39.385410308837898</v>
      </c>
      <c r="D694" s="12">
        <v>1984</v>
      </c>
    </row>
    <row r="695" spans="1:4" ht="19.899999999999999" customHeight="1">
      <c r="A695" s="11" t="s">
        <v>20</v>
      </c>
      <c r="B695" s="12" t="s">
        <v>35</v>
      </c>
      <c r="C695" s="12">
        <v>38.048618316650398</v>
      </c>
      <c r="D695" s="12">
        <v>1984</v>
      </c>
    </row>
    <row r="696" spans="1:4" ht="19.899999999999999" customHeight="1">
      <c r="A696" s="11" t="s">
        <v>21</v>
      </c>
      <c r="B696" s="12" t="s">
        <v>35</v>
      </c>
      <c r="C696" s="12"/>
      <c r="D696" s="12">
        <v>1984</v>
      </c>
    </row>
    <row r="697" spans="1:4" ht="19.899999999999999" customHeight="1">
      <c r="A697" s="11" t="s">
        <v>22</v>
      </c>
      <c r="B697" s="12" t="s">
        <v>35</v>
      </c>
      <c r="C697" s="12"/>
      <c r="D697" s="12">
        <v>1984</v>
      </c>
    </row>
    <row r="698" spans="1:4" ht="19.899999999999999" customHeight="1">
      <c r="A698" s="11" t="s">
        <v>23</v>
      </c>
      <c r="B698" s="12" t="s">
        <v>35</v>
      </c>
      <c r="C698" s="12">
        <v>3.8819100856781001</v>
      </c>
      <c r="D698" s="12">
        <v>1984</v>
      </c>
    </row>
    <row r="699" spans="1:4" ht="19.899999999999999" customHeight="1">
      <c r="A699" s="11" t="s">
        <v>24</v>
      </c>
      <c r="B699" s="12" t="s">
        <v>35</v>
      </c>
      <c r="C699" s="12"/>
      <c r="D699" s="12">
        <v>1984</v>
      </c>
    </row>
    <row r="700" spans="1:4" ht="19.899999999999999" customHeight="1">
      <c r="A700" s="11" t="s">
        <v>25</v>
      </c>
      <c r="B700" s="12" t="s">
        <v>35</v>
      </c>
      <c r="C700" s="12"/>
      <c r="D700" s="12">
        <v>1984</v>
      </c>
    </row>
    <row r="701" spans="1:4" ht="19.899999999999999" customHeight="1">
      <c r="A701" s="11" t="s">
        <v>26</v>
      </c>
      <c r="B701" s="12" t="s">
        <v>35</v>
      </c>
      <c r="C701" s="12">
        <v>40.708988189697301</v>
      </c>
      <c r="D701" s="12">
        <v>1984</v>
      </c>
    </row>
    <row r="702" spans="1:4" ht="19.899999999999999" customHeight="1">
      <c r="A702" s="11" t="s">
        <v>27</v>
      </c>
      <c r="B702" s="12" t="s">
        <v>35</v>
      </c>
      <c r="C702" s="12"/>
      <c r="D702" s="12">
        <v>1984</v>
      </c>
    </row>
    <row r="703" spans="1:4" ht="19.899999999999999" customHeight="1">
      <c r="A703" s="11" t="s">
        <v>28</v>
      </c>
      <c r="B703" s="12" t="s">
        <v>35</v>
      </c>
      <c r="C703" s="12">
        <v>18.813640594482401</v>
      </c>
      <c r="D703" s="12">
        <v>1984</v>
      </c>
    </row>
    <row r="704" spans="1:4" ht="19.899999999999999" customHeight="1">
      <c r="A704" s="11" t="s">
        <v>29</v>
      </c>
      <c r="B704" s="12" t="s">
        <v>35</v>
      </c>
      <c r="C704" s="12">
        <v>1.11114001274109</v>
      </c>
      <c r="D704" s="12">
        <v>1984</v>
      </c>
    </row>
    <row r="705" spans="1:4" ht="19.899999999999999" customHeight="1">
      <c r="A705" s="11" t="s">
        <v>4</v>
      </c>
      <c r="B705" s="12" t="s">
        <v>35</v>
      </c>
      <c r="C705" s="12">
        <v>59.773941040039098</v>
      </c>
      <c r="D705" s="12">
        <v>1985</v>
      </c>
    </row>
    <row r="706" spans="1:4" ht="19.899999999999999" customHeight="1">
      <c r="A706" s="11" t="s">
        <v>5</v>
      </c>
      <c r="B706" s="12" t="s">
        <v>35</v>
      </c>
      <c r="C706" s="12"/>
      <c r="D706" s="12">
        <v>1985</v>
      </c>
    </row>
    <row r="707" spans="1:4" ht="19.899999999999999" customHeight="1">
      <c r="A707" s="11" t="s">
        <v>6</v>
      </c>
      <c r="B707" s="12" t="s">
        <v>35</v>
      </c>
      <c r="C707" s="12"/>
      <c r="D707" s="12">
        <v>1985</v>
      </c>
    </row>
    <row r="708" spans="1:4" ht="19.899999999999999" customHeight="1">
      <c r="A708" s="11" t="s">
        <v>7</v>
      </c>
      <c r="B708" s="12" t="s">
        <v>35</v>
      </c>
      <c r="C708" s="12"/>
      <c r="D708" s="12">
        <v>1985</v>
      </c>
    </row>
    <row r="709" spans="1:4" ht="19.899999999999999" customHeight="1">
      <c r="A709" s="11" t="s">
        <v>8</v>
      </c>
      <c r="B709" s="12" t="s">
        <v>35</v>
      </c>
      <c r="C709" s="12">
        <v>74.861091613769503</v>
      </c>
      <c r="D709" s="12">
        <v>1985</v>
      </c>
    </row>
    <row r="710" spans="1:4" ht="19.899999999999999" customHeight="1">
      <c r="A710" s="11" t="s">
        <v>1</v>
      </c>
      <c r="B710" s="12" t="s">
        <v>35</v>
      </c>
      <c r="C710" s="12"/>
      <c r="D710" s="12">
        <v>1985</v>
      </c>
    </row>
    <row r="711" spans="1:4" ht="19.899999999999999" customHeight="1">
      <c r="A711" s="11" t="s">
        <v>9</v>
      </c>
      <c r="B711" s="12" t="s">
        <v>35</v>
      </c>
      <c r="C711" s="12">
        <v>69.0511474609375</v>
      </c>
      <c r="D711" s="12">
        <v>1985</v>
      </c>
    </row>
    <row r="712" spans="1:4" ht="19.899999999999999" customHeight="1">
      <c r="A712" s="11" t="s">
        <v>10</v>
      </c>
      <c r="B712" s="12" t="s">
        <v>35</v>
      </c>
      <c r="C712" s="12">
        <v>51.208549499511697</v>
      </c>
      <c r="D712" s="12">
        <v>1985</v>
      </c>
    </row>
    <row r="713" spans="1:4" ht="19.899999999999999" customHeight="1">
      <c r="A713" s="11" t="s">
        <v>11</v>
      </c>
      <c r="B713" s="12" t="s">
        <v>35</v>
      </c>
      <c r="C713" s="12"/>
      <c r="D713" s="12">
        <v>1985</v>
      </c>
    </row>
    <row r="714" spans="1:4" ht="19.899999999999999" customHeight="1">
      <c r="A714" s="11" t="s">
        <v>38</v>
      </c>
      <c r="B714" s="12" t="s">
        <v>35</v>
      </c>
      <c r="C714" s="12"/>
      <c r="D714" s="12">
        <v>1985</v>
      </c>
    </row>
    <row r="715" spans="1:4" ht="19.899999999999999" customHeight="1">
      <c r="A715" s="11" t="s">
        <v>12</v>
      </c>
      <c r="B715" s="12" t="s">
        <v>35</v>
      </c>
      <c r="C715" s="12"/>
      <c r="D715" s="12">
        <v>1985</v>
      </c>
    </row>
    <row r="716" spans="1:4" ht="19.899999999999999" customHeight="1">
      <c r="A716" s="11" t="s">
        <v>13</v>
      </c>
      <c r="B716" s="12" t="s">
        <v>35</v>
      </c>
      <c r="C716" s="12"/>
      <c r="D716" s="12">
        <v>1985</v>
      </c>
    </row>
    <row r="717" spans="1:4" ht="19.899999999999999" customHeight="1">
      <c r="A717" s="11" t="s">
        <v>14</v>
      </c>
      <c r="B717" s="12" t="s">
        <v>35</v>
      </c>
      <c r="C717" s="12"/>
      <c r="D717" s="12">
        <v>1985</v>
      </c>
    </row>
    <row r="718" spans="1:4" ht="19.899999999999999" customHeight="1">
      <c r="A718" s="11" t="s">
        <v>15</v>
      </c>
      <c r="B718" s="12" t="s">
        <v>35</v>
      </c>
      <c r="C718" s="12"/>
      <c r="D718" s="12">
        <v>1985</v>
      </c>
    </row>
    <row r="719" spans="1:4" ht="19.899999999999999" customHeight="1">
      <c r="A719" s="11" t="s">
        <v>16</v>
      </c>
      <c r="B719" s="12" t="s">
        <v>35</v>
      </c>
      <c r="C719" s="12"/>
      <c r="D719" s="12">
        <v>1985</v>
      </c>
    </row>
    <row r="720" spans="1:4" ht="19.899999999999999" customHeight="1">
      <c r="A720" s="11" t="s">
        <v>17</v>
      </c>
      <c r="B720" s="12" t="s">
        <v>35</v>
      </c>
      <c r="C720" s="12">
        <v>49.310539245605497</v>
      </c>
      <c r="D720" s="12">
        <v>1985</v>
      </c>
    </row>
    <row r="721" spans="1:4" ht="19.899999999999999" customHeight="1">
      <c r="A721" s="11" t="s">
        <v>18</v>
      </c>
      <c r="B721" s="12" t="s">
        <v>35</v>
      </c>
      <c r="C721" s="12"/>
      <c r="D721" s="12">
        <v>1985</v>
      </c>
    </row>
    <row r="722" spans="1:4" ht="19.899999999999999" customHeight="1">
      <c r="A722" s="11" t="s">
        <v>19</v>
      </c>
      <c r="B722" s="12" t="s">
        <v>35</v>
      </c>
      <c r="C722" s="12"/>
      <c r="D722" s="12">
        <v>1985</v>
      </c>
    </row>
    <row r="723" spans="1:4" ht="19.899999999999999" customHeight="1">
      <c r="A723" s="11" t="s">
        <v>20</v>
      </c>
      <c r="B723" s="12" t="s">
        <v>35</v>
      </c>
      <c r="C723" s="12">
        <v>33.930568695068402</v>
      </c>
      <c r="D723" s="12">
        <v>1985</v>
      </c>
    </row>
    <row r="724" spans="1:4" ht="19.899999999999999" customHeight="1">
      <c r="A724" s="11" t="s">
        <v>21</v>
      </c>
      <c r="B724" s="12" t="s">
        <v>35</v>
      </c>
      <c r="C724" s="12"/>
      <c r="D724" s="12">
        <v>1985</v>
      </c>
    </row>
    <row r="725" spans="1:4" ht="19.899999999999999" customHeight="1">
      <c r="A725" s="11" t="s">
        <v>22</v>
      </c>
      <c r="B725" s="12" t="s">
        <v>35</v>
      </c>
      <c r="C725" s="12"/>
      <c r="D725" s="12">
        <v>1985</v>
      </c>
    </row>
    <row r="726" spans="1:4" ht="19.899999999999999" customHeight="1">
      <c r="A726" s="11" t="s">
        <v>23</v>
      </c>
      <c r="B726" s="12" t="s">
        <v>35</v>
      </c>
      <c r="C726" s="12"/>
      <c r="D726" s="12">
        <v>1985</v>
      </c>
    </row>
    <row r="727" spans="1:4" ht="19.899999999999999" customHeight="1">
      <c r="A727" s="11" t="s">
        <v>24</v>
      </c>
      <c r="B727" s="12" t="s">
        <v>35</v>
      </c>
      <c r="C727" s="12"/>
      <c r="D727" s="12">
        <v>1985</v>
      </c>
    </row>
    <row r="728" spans="1:4" ht="19.899999999999999" customHeight="1">
      <c r="A728" s="11" t="s">
        <v>25</v>
      </c>
      <c r="B728" s="12" t="s">
        <v>35</v>
      </c>
      <c r="C728" s="12"/>
      <c r="D728" s="12">
        <v>1985</v>
      </c>
    </row>
    <row r="729" spans="1:4" ht="19.899999999999999" customHeight="1">
      <c r="A729" s="11" t="s">
        <v>26</v>
      </c>
      <c r="B729" s="12" t="s">
        <v>35</v>
      </c>
      <c r="C729" s="12">
        <v>43.537868499755902</v>
      </c>
      <c r="D729" s="12">
        <v>1985</v>
      </c>
    </row>
    <row r="730" spans="1:4" ht="19.899999999999999" customHeight="1">
      <c r="A730" s="11" t="s">
        <v>27</v>
      </c>
      <c r="B730" s="12" t="s">
        <v>35</v>
      </c>
      <c r="C730" s="12"/>
      <c r="D730" s="12">
        <v>1985</v>
      </c>
    </row>
    <row r="731" spans="1:4" ht="19.899999999999999" customHeight="1">
      <c r="A731" s="11" t="s">
        <v>28</v>
      </c>
      <c r="B731" s="12" t="s">
        <v>35</v>
      </c>
      <c r="C731" s="12"/>
      <c r="D731" s="12">
        <v>1985</v>
      </c>
    </row>
    <row r="732" spans="1:4" ht="19.899999999999999" customHeight="1">
      <c r="A732" s="11" t="s">
        <v>29</v>
      </c>
      <c r="B732" s="12" t="s">
        <v>35</v>
      </c>
      <c r="C732" s="12"/>
      <c r="D732" s="12">
        <v>1985</v>
      </c>
    </row>
    <row r="733" spans="1:4" ht="19.899999999999999" customHeight="1">
      <c r="A733" s="11" t="s">
        <v>4</v>
      </c>
      <c r="B733" s="12" t="s">
        <v>35</v>
      </c>
      <c r="C733" s="12">
        <v>57.314220428466697</v>
      </c>
      <c r="D733" s="12">
        <v>1986</v>
      </c>
    </row>
    <row r="734" spans="1:4" ht="19.899999999999999" customHeight="1">
      <c r="A734" s="11" t="s">
        <v>5</v>
      </c>
      <c r="B734" s="12" t="s">
        <v>35</v>
      </c>
      <c r="C734" s="12"/>
      <c r="D734" s="12">
        <v>1986</v>
      </c>
    </row>
    <row r="735" spans="1:4" ht="19.899999999999999" customHeight="1">
      <c r="A735" s="11" t="s">
        <v>6</v>
      </c>
      <c r="B735" s="12" t="s">
        <v>35</v>
      </c>
      <c r="C735" s="12"/>
      <c r="D735" s="12">
        <v>1986</v>
      </c>
    </row>
    <row r="736" spans="1:4" ht="19.899999999999999" customHeight="1">
      <c r="A736" s="11" t="s">
        <v>7</v>
      </c>
      <c r="B736" s="12" t="s">
        <v>35</v>
      </c>
      <c r="C736" s="12">
        <v>16.5177192687988</v>
      </c>
      <c r="D736" s="12">
        <v>1986</v>
      </c>
    </row>
    <row r="737" spans="1:4" ht="19.899999999999999" customHeight="1">
      <c r="A737" s="11" t="s">
        <v>8</v>
      </c>
      <c r="B737" s="12" t="s">
        <v>35</v>
      </c>
      <c r="C737" s="12">
        <v>73.289642333984403</v>
      </c>
      <c r="D737" s="12">
        <v>1986</v>
      </c>
    </row>
    <row r="738" spans="1:4" ht="19.899999999999999" customHeight="1">
      <c r="A738" s="11" t="s">
        <v>1</v>
      </c>
      <c r="B738" s="12" t="s">
        <v>35</v>
      </c>
      <c r="C738" s="12"/>
      <c r="D738" s="12">
        <v>1986</v>
      </c>
    </row>
    <row r="739" spans="1:4" ht="19.899999999999999" customHeight="1">
      <c r="A739" s="11" t="s">
        <v>9</v>
      </c>
      <c r="B739" s="12" t="s">
        <v>35</v>
      </c>
      <c r="C739" s="12">
        <v>71.427261352539105</v>
      </c>
      <c r="D739" s="12">
        <v>1986</v>
      </c>
    </row>
    <row r="740" spans="1:4" ht="19.899999999999999" customHeight="1">
      <c r="A740" s="11" t="s">
        <v>10</v>
      </c>
      <c r="B740" s="12" t="s">
        <v>35</v>
      </c>
      <c r="C740" s="12">
        <v>48.896419525146499</v>
      </c>
      <c r="D740" s="12">
        <v>1986</v>
      </c>
    </row>
    <row r="741" spans="1:4" ht="19.899999999999999" customHeight="1">
      <c r="A741" s="11" t="s">
        <v>11</v>
      </c>
      <c r="B741" s="12" t="s">
        <v>35</v>
      </c>
      <c r="C741" s="12"/>
      <c r="D741" s="12">
        <v>1986</v>
      </c>
    </row>
    <row r="742" spans="1:4" ht="19.899999999999999" customHeight="1">
      <c r="A742" s="11" t="s">
        <v>38</v>
      </c>
      <c r="B742" s="12" t="s">
        <v>35</v>
      </c>
      <c r="C742" s="12"/>
      <c r="D742" s="12">
        <v>1986</v>
      </c>
    </row>
    <row r="743" spans="1:4" ht="19.899999999999999" customHeight="1">
      <c r="A743" s="11" t="s">
        <v>12</v>
      </c>
      <c r="B743" s="12" t="s">
        <v>35</v>
      </c>
      <c r="C743" s="12"/>
      <c r="D743" s="12">
        <v>1986</v>
      </c>
    </row>
    <row r="744" spans="1:4" ht="19.899999999999999" customHeight="1">
      <c r="A744" s="11" t="s">
        <v>13</v>
      </c>
      <c r="B744" s="12" t="s">
        <v>35</v>
      </c>
      <c r="C744" s="12"/>
      <c r="D744" s="12">
        <v>1986</v>
      </c>
    </row>
    <row r="745" spans="1:4" ht="19.899999999999999" customHeight="1">
      <c r="A745" s="11" t="s">
        <v>14</v>
      </c>
      <c r="B745" s="12" t="s">
        <v>35</v>
      </c>
      <c r="C745" s="12"/>
      <c r="D745" s="12">
        <v>1986</v>
      </c>
    </row>
    <row r="746" spans="1:4" ht="19.899999999999999" customHeight="1">
      <c r="A746" s="11" t="s">
        <v>15</v>
      </c>
      <c r="B746" s="12" t="s">
        <v>35</v>
      </c>
      <c r="C746" s="12"/>
      <c r="D746" s="12">
        <v>1986</v>
      </c>
    </row>
    <row r="747" spans="1:4" ht="19.899999999999999" customHeight="1">
      <c r="A747" s="11" t="s">
        <v>16</v>
      </c>
      <c r="B747" s="12" t="s">
        <v>35</v>
      </c>
      <c r="C747" s="12"/>
      <c r="D747" s="12">
        <v>1986</v>
      </c>
    </row>
    <row r="748" spans="1:4" ht="19.899999999999999" customHeight="1">
      <c r="A748" s="11" t="s">
        <v>17</v>
      </c>
      <c r="B748" s="12" t="s">
        <v>35</v>
      </c>
      <c r="C748" s="12">
        <v>50.107311248779197</v>
      </c>
      <c r="D748" s="12">
        <v>1986</v>
      </c>
    </row>
    <row r="749" spans="1:4" ht="19.899999999999999" customHeight="1">
      <c r="A749" s="11" t="s">
        <v>18</v>
      </c>
      <c r="B749" s="12" t="s">
        <v>35</v>
      </c>
      <c r="C749" s="12"/>
      <c r="D749" s="12">
        <v>1986</v>
      </c>
    </row>
    <row r="750" spans="1:4" ht="19.899999999999999" customHeight="1">
      <c r="A750" s="11" t="s">
        <v>19</v>
      </c>
      <c r="B750" s="12" t="s">
        <v>35</v>
      </c>
      <c r="C750" s="12"/>
      <c r="D750" s="12">
        <v>1986</v>
      </c>
    </row>
    <row r="751" spans="1:4" ht="19.899999999999999" customHeight="1">
      <c r="A751" s="11" t="s">
        <v>20</v>
      </c>
      <c r="B751" s="12" t="s">
        <v>35</v>
      </c>
      <c r="C751" s="12">
        <v>35.0548095703125</v>
      </c>
      <c r="D751" s="12">
        <v>1986</v>
      </c>
    </row>
    <row r="752" spans="1:4" ht="19.899999999999999" customHeight="1">
      <c r="A752" s="11" t="s">
        <v>21</v>
      </c>
      <c r="B752" s="12" t="s">
        <v>35</v>
      </c>
      <c r="C752" s="12">
        <v>76.660079956054702</v>
      </c>
      <c r="D752" s="12">
        <v>1986</v>
      </c>
    </row>
    <row r="753" spans="1:4" ht="19.899999999999999" customHeight="1">
      <c r="A753" s="11" t="s">
        <v>22</v>
      </c>
      <c r="B753" s="12" t="s">
        <v>35</v>
      </c>
      <c r="C753" s="12"/>
      <c r="D753" s="12">
        <v>1986</v>
      </c>
    </row>
    <row r="754" spans="1:4" ht="19.899999999999999" customHeight="1">
      <c r="A754" s="11" t="s">
        <v>23</v>
      </c>
      <c r="B754" s="12" t="s">
        <v>35</v>
      </c>
      <c r="C754" s="12"/>
      <c r="D754" s="12">
        <v>1986</v>
      </c>
    </row>
    <row r="755" spans="1:4" ht="19.899999999999999" customHeight="1">
      <c r="A755" s="11" t="s">
        <v>24</v>
      </c>
      <c r="B755" s="12" t="s">
        <v>35</v>
      </c>
      <c r="C755" s="12">
        <v>1.6838899850845299</v>
      </c>
      <c r="D755" s="12">
        <v>1986</v>
      </c>
    </row>
    <row r="756" spans="1:4" ht="19.899999999999999" customHeight="1">
      <c r="A756" s="11" t="s">
        <v>25</v>
      </c>
      <c r="B756" s="12" t="s">
        <v>35</v>
      </c>
      <c r="C756" s="12"/>
      <c r="D756" s="12">
        <v>1986</v>
      </c>
    </row>
    <row r="757" spans="1:4" ht="19.899999999999999" customHeight="1">
      <c r="A757" s="11" t="s">
        <v>26</v>
      </c>
      <c r="B757" s="12" t="s">
        <v>35</v>
      </c>
      <c r="C757" s="12">
        <v>44.836101531982401</v>
      </c>
      <c r="D757" s="12">
        <v>1986</v>
      </c>
    </row>
    <row r="758" spans="1:4" ht="19.899999999999999" customHeight="1">
      <c r="A758" s="11" t="s">
        <v>27</v>
      </c>
      <c r="B758" s="12" t="s">
        <v>35</v>
      </c>
      <c r="C758" s="12">
        <v>43.179008483886697</v>
      </c>
      <c r="D758" s="12">
        <v>1986</v>
      </c>
    </row>
    <row r="759" spans="1:4" ht="19.899999999999999" customHeight="1">
      <c r="A759" s="11" t="s">
        <v>28</v>
      </c>
      <c r="B759" s="12" t="s">
        <v>35</v>
      </c>
      <c r="C759" s="12">
        <v>17.495130538940401</v>
      </c>
      <c r="D759" s="12">
        <v>1986</v>
      </c>
    </row>
    <row r="760" spans="1:4" ht="19.899999999999999" customHeight="1">
      <c r="A760" s="11" t="s">
        <v>29</v>
      </c>
      <c r="B760" s="12" t="s">
        <v>35</v>
      </c>
      <c r="C760" s="12">
        <v>1.6568399667739899</v>
      </c>
      <c r="D760" s="12">
        <v>1986</v>
      </c>
    </row>
    <row r="761" spans="1:4" ht="19.899999999999999" customHeight="1">
      <c r="A761" s="11" t="s">
        <v>4</v>
      </c>
      <c r="B761" s="12" t="s">
        <v>35</v>
      </c>
      <c r="C761" s="12">
        <v>52.312461853027301</v>
      </c>
      <c r="D761" s="12">
        <v>1987</v>
      </c>
    </row>
    <row r="762" spans="1:4" ht="19.899999999999999" customHeight="1">
      <c r="A762" s="11" t="s">
        <v>5</v>
      </c>
      <c r="B762" s="12" t="s">
        <v>35</v>
      </c>
      <c r="C762" s="12"/>
      <c r="D762" s="12">
        <v>1987</v>
      </c>
    </row>
    <row r="763" spans="1:4" ht="19.899999999999999" customHeight="1">
      <c r="A763" s="11" t="s">
        <v>6</v>
      </c>
      <c r="B763" s="12" t="s">
        <v>35</v>
      </c>
      <c r="C763" s="12"/>
      <c r="D763" s="12">
        <v>1987</v>
      </c>
    </row>
    <row r="764" spans="1:4" ht="19.899999999999999" customHeight="1">
      <c r="A764" s="11" t="s">
        <v>7</v>
      </c>
      <c r="B764" s="12" t="s">
        <v>35</v>
      </c>
      <c r="C764" s="12">
        <v>24.3714809417725</v>
      </c>
      <c r="D764" s="12">
        <v>1987</v>
      </c>
    </row>
    <row r="765" spans="1:4" ht="19.899999999999999" customHeight="1">
      <c r="A765" s="11" t="s">
        <v>8</v>
      </c>
      <c r="B765" s="12" t="s">
        <v>35</v>
      </c>
      <c r="C765" s="12">
        <v>73.106208801269503</v>
      </c>
      <c r="D765" s="12">
        <v>1987</v>
      </c>
    </row>
    <row r="766" spans="1:4" ht="19.899999999999999" customHeight="1">
      <c r="A766" s="11" t="s">
        <v>1</v>
      </c>
      <c r="B766" s="12" t="s">
        <v>35</v>
      </c>
      <c r="C766" s="12">
        <v>70.650466918945298</v>
      </c>
      <c r="D766" s="12">
        <v>1987</v>
      </c>
    </row>
    <row r="767" spans="1:4" ht="19.899999999999999" customHeight="1">
      <c r="A767" s="11" t="s">
        <v>9</v>
      </c>
      <c r="B767" s="12" t="s">
        <v>35</v>
      </c>
      <c r="C767" s="12">
        <v>73.640213012695298</v>
      </c>
      <c r="D767" s="12">
        <v>1987</v>
      </c>
    </row>
    <row r="768" spans="1:4" ht="19.899999999999999" customHeight="1">
      <c r="A768" s="11" t="s">
        <v>10</v>
      </c>
      <c r="B768" s="12" t="s">
        <v>35</v>
      </c>
      <c r="C768" s="12">
        <v>57.564651489257798</v>
      </c>
      <c r="D768" s="12">
        <v>1987</v>
      </c>
    </row>
    <row r="769" spans="1:4" ht="19.899999999999999" customHeight="1">
      <c r="A769" s="11" t="s">
        <v>11</v>
      </c>
      <c r="B769" s="12" t="s">
        <v>35</v>
      </c>
      <c r="C769" s="12"/>
      <c r="D769" s="12">
        <v>1987</v>
      </c>
    </row>
    <row r="770" spans="1:4" ht="19.899999999999999" customHeight="1">
      <c r="A770" s="11" t="s">
        <v>38</v>
      </c>
      <c r="B770" s="12" t="s">
        <v>35</v>
      </c>
      <c r="C770" s="12"/>
      <c r="D770" s="12">
        <v>1987</v>
      </c>
    </row>
    <row r="771" spans="1:4" ht="19.899999999999999" customHeight="1">
      <c r="A771" s="11" t="s">
        <v>12</v>
      </c>
      <c r="B771" s="12" t="s">
        <v>35</v>
      </c>
      <c r="C771" s="12"/>
      <c r="D771" s="12">
        <v>1987</v>
      </c>
    </row>
    <row r="772" spans="1:4" ht="19.899999999999999" customHeight="1">
      <c r="A772" s="11" t="s">
        <v>13</v>
      </c>
      <c r="B772" s="12" t="s">
        <v>35</v>
      </c>
      <c r="C772" s="12"/>
      <c r="D772" s="12">
        <v>1987</v>
      </c>
    </row>
    <row r="773" spans="1:4" ht="19.899999999999999" customHeight="1">
      <c r="A773" s="11" t="s">
        <v>14</v>
      </c>
      <c r="B773" s="12" t="s">
        <v>35</v>
      </c>
      <c r="C773" s="12"/>
      <c r="D773" s="12">
        <v>1987</v>
      </c>
    </row>
    <row r="774" spans="1:4" ht="19.899999999999999" customHeight="1">
      <c r="A774" s="11" t="s">
        <v>15</v>
      </c>
      <c r="B774" s="12" t="s">
        <v>35</v>
      </c>
      <c r="C774" s="12"/>
      <c r="D774" s="12">
        <v>1987</v>
      </c>
    </row>
    <row r="775" spans="1:4" ht="19.899999999999999" customHeight="1">
      <c r="A775" s="11" t="s">
        <v>16</v>
      </c>
      <c r="B775" s="12" t="s">
        <v>35</v>
      </c>
      <c r="C775" s="12"/>
      <c r="D775" s="12">
        <v>1987</v>
      </c>
    </row>
    <row r="776" spans="1:4" ht="19.899999999999999" customHeight="1">
      <c r="A776" s="11" t="s">
        <v>17</v>
      </c>
      <c r="B776" s="12" t="s">
        <v>35</v>
      </c>
      <c r="C776" s="12">
        <v>53.472179412841697</v>
      </c>
      <c r="D776" s="12">
        <v>1987</v>
      </c>
    </row>
    <row r="777" spans="1:4" ht="19.899999999999999" customHeight="1">
      <c r="A777" s="11" t="s">
        <v>18</v>
      </c>
      <c r="B777" s="12" t="s">
        <v>35</v>
      </c>
      <c r="C777" s="12"/>
      <c r="D777" s="12">
        <v>1987</v>
      </c>
    </row>
    <row r="778" spans="1:4" ht="19.899999999999999" customHeight="1">
      <c r="A778" s="11" t="s">
        <v>19</v>
      </c>
      <c r="B778" s="12" t="s">
        <v>35</v>
      </c>
      <c r="C778" s="12"/>
      <c r="D778" s="12">
        <v>1987</v>
      </c>
    </row>
    <row r="779" spans="1:4" ht="19.899999999999999" customHeight="1">
      <c r="A779" s="11" t="s">
        <v>20</v>
      </c>
      <c r="B779" s="12" t="s">
        <v>35</v>
      </c>
      <c r="C779" s="12">
        <v>33.445320129394503</v>
      </c>
      <c r="D779" s="12">
        <v>1987</v>
      </c>
    </row>
    <row r="780" spans="1:4" ht="19.899999999999999" customHeight="1">
      <c r="A780" s="11" t="s">
        <v>21</v>
      </c>
      <c r="B780" s="12" t="s">
        <v>35</v>
      </c>
      <c r="C780" s="12"/>
      <c r="D780" s="12">
        <v>1987</v>
      </c>
    </row>
    <row r="781" spans="1:4" ht="19.899999999999999" customHeight="1">
      <c r="A781" s="11" t="s">
        <v>22</v>
      </c>
      <c r="B781" s="12" t="s">
        <v>35</v>
      </c>
      <c r="C781" s="12"/>
      <c r="D781" s="12">
        <v>1987</v>
      </c>
    </row>
    <row r="782" spans="1:4" ht="19.899999999999999" customHeight="1">
      <c r="A782" s="11" t="s">
        <v>23</v>
      </c>
      <c r="B782" s="12" t="s">
        <v>35</v>
      </c>
      <c r="C782" s="12">
        <v>10.1930704116821</v>
      </c>
      <c r="D782" s="12">
        <v>1987</v>
      </c>
    </row>
    <row r="783" spans="1:4" ht="19.899999999999999" customHeight="1">
      <c r="A783" s="11" t="s">
        <v>24</v>
      </c>
      <c r="B783" s="12" t="s">
        <v>35</v>
      </c>
      <c r="C783" s="12"/>
      <c r="D783" s="12">
        <v>1987</v>
      </c>
    </row>
    <row r="784" spans="1:4" ht="19.899999999999999" customHeight="1">
      <c r="A784" s="11" t="s">
        <v>25</v>
      </c>
      <c r="B784" s="12" t="s">
        <v>35</v>
      </c>
      <c r="C784" s="12"/>
      <c r="D784" s="12">
        <v>1987</v>
      </c>
    </row>
    <row r="785" spans="1:4" ht="19.899999999999999" customHeight="1">
      <c r="A785" s="11" t="s">
        <v>26</v>
      </c>
      <c r="B785" s="12" t="s">
        <v>35</v>
      </c>
      <c r="C785" s="12">
        <v>46.283748626708999</v>
      </c>
      <c r="D785" s="12">
        <v>1987</v>
      </c>
    </row>
    <row r="786" spans="1:4" ht="19.899999999999999" customHeight="1">
      <c r="A786" s="11" t="s">
        <v>27</v>
      </c>
      <c r="B786" s="12" t="s">
        <v>35</v>
      </c>
      <c r="C786" s="12"/>
      <c r="D786" s="12">
        <v>1987</v>
      </c>
    </row>
    <row r="787" spans="1:4" ht="19.899999999999999" customHeight="1">
      <c r="A787" s="11" t="s">
        <v>28</v>
      </c>
      <c r="B787" s="12" t="s">
        <v>35</v>
      </c>
      <c r="C787" s="12"/>
      <c r="D787" s="12">
        <v>1987</v>
      </c>
    </row>
    <row r="788" spans="1:4" ht="19.899999999999999" customHeight="1">
      <c r="A788" s="11" t="s">
        <v>29</v>
      </c>
      <c r="B788" s="12" t="s">
        <v>35</v>
      </c>
      <c r="C788" s="12"/>
      <c r="D788" s="12">
        <v>1987</v>
      </c>
    </row>
    <row r="789" spans="1:4" ht="19.899999999999999" customHeight="1">
      <c r="A789" s="11" t="s">
        <v>4</v>
      </c>
      <c r="B789" s="12" t="s">
        <v>35</v>
      </c>
      <c r="C789" s="12">
        <v>49.840511322021499</v>
      </c>
      <c r="D789" s="12">
        <v>1988</v>
      </c>
    </row>
    <row r="790" spans="1:4" ht="19.899999999999999" customHeight="1">
      <c r="A790" s="11" t="s">
        <v>5</v>
      </c>
      <c r="B790" s="12" t="s">
        <v>35</v>
      </c>
      <c r="C790" s="12">
        <v>25.159620285034201</v>
      </c>
      <c r="D790" s="12">
        <v>1988</v>
      </c>
    </row>
    <row r="791" spans="1:4" ht="19.899999999999999" customHeight="1">
      <c r="A791" s="11" t="s">
        <v>6</v>
      </c>
      <c r="B791" s="12" t="s">
        <v>35</v>
      </c>
      <c r="C791" s="12">
        <v>66.616020202636705</v>
      </c>
      <c r="D791" s="12">
        <v>1988</v>
      </c>
    </row>
    <row r="792" spans="1:4" ht="19.899999999999999" customHeight="1">
      <c r="A792" s="11" t="s">
        <v>7</v>
      </c>
      <c r="B792" s="12" t="s">
        <v>35</v>
      </c>
      <c r="C792" s="12"/>
      <c r="D792" s="12">
        <v>1988</v>
      </c>
    </row>
    <row r="793" spans="1:4" ht="19.899999999999999" customHeight="1">
      <c r="A793" s="11" t="s">
        <v>8</v>
      </c>
      <c r="B793" s="12" t="s">
        <v>35</v>
      </c>
      <c r="C793" s="12">
        <v>73.229537963867202</v>
      </c>
      <c r="D793" s="12">
        <v>1988</v>
      </c>
    </row>
    <row r="794" spans="1:4" ht="19.899999999999999" customHeight="1">
      <c r="A794" s="11" t="s">
        <v>1</v>
      </c>
      <c r="B794" s="12" t="s">
        <v>35</v>
      </c>
      <c r="C794" s="12">
        <v>70.094741821289105</v>
      </c>
      <c r="D794" s="12">
        <v>1988</v>
      </c>
    </row>
    <row r="795" spans="1:4" ht="19.899999999999999" customHeight="1">
      <c r="A795" s="11" t="s">
        <v>9</v>
      </c>
      <c r="B795" s="12" t="s">
        <v>35</v>
      </c>
      <c r="C795" s="12">
        <v>72.715408325195298</v>
      </c>
      <c r="D795" s="12">
        <v>1988</v>
      </c>
    </row>
    <row r="796" spans="1:4" ht="19.899999999999999" customHeight="1">
      <c r="A796" s="11" t="s">
        <v>10</v>
      </c>
      <c r="B796" s="12" t="s">
        <v>35</v>
      </c>
      <c r="C796" s="12"/>
      <c r="D796" s="12">
        <v>1988</v>
      </c>
    </row>
    <row r="797" spans="1:4" ht="19.899999999999999" customHeight="1">
      <c r="A797" s="11" t="s">
        <v>11</v>
      </c>
      <c r="B797" s="12" t="s">
        <v>35</v>
      </c>
      <c r="C797" s="12"/>
      <c r="D797" s="12">
        <v>1988</v>
      </c>
    </row>
    <row r="798" spans="1:4" ht="19.899999999999999" customHeight="1">
      <c r="A798" s="11" t="s">
        <v>38</v>
      </c>
      <c r="B798" s="12" t="s">
        <v>35</v>
      </c>
      <c r="C798" s="12"/>
      <c r="D798" s="12">
        <v>1988</v>
      </c>
    </row>
    <row r="799" spans="1:4" ht="19.899999999999999" customHeight="1">
      <c r="A799" s="11" t="s">
        <v>12</v>
      </c>
      <c r="B799" s="12" t="s">
        <v>35</v>
      </c>
      <c r="C799" s="12"/>
      <c r="D799" s="12">
        <v>1988</v>
      </c>
    </row>
    <row r="800" spans="1:4" ht="19.899999999999999" customHeight="1">
      <c r="A800" s="11" t="s">
        <v>13</v>
      </c>
      <c r="B800" s="12" t="s">
        <v>35</v>
      </c>
      <c r="C800" s="12"/>
      <c r="D800" s="12">
        <v>1988</v>
      </c>
    </row>
    <row r="801" spans="1:4" ht="19.899999999999999" customHeight="1">
      <c r="A801" s="11" t="s">
        <v>14</v>
      </c>
      <c r="B801" s="12" t="s">
        <v>35</v>
      </c>
      <c r="C801" s="12"/>
      <c r="D801" s="12">
        <v>1988</v>
      </c>
    </row>
    <row r="802" spans="1:4" ht="19.899999999999999" customHeight="1">
      <c r="A802" s="11" t="s">
        <v>15</v>
      </c>
      <c r="B802" s="12" t="s">
        <v>35</v>
      </c>
      <c r="C802" s="12"/>
      <c r="D802" s="12">
        <v>1988</v>
      </c>
    </row>
    <row r="803" spans="1:4" ht="19.899999999999999" customHeight="1">
      <c r="A803" s="11" t="s">
        <v>16</v>
      </c>
      <c r="B803" s="12" t="s">
        <v>35</v>
      </c>
      <c r="C803" s="12"/>
      <c r="D803" s="12">
        <v>1988</v>
      </c>
    </row>
    <row r="804" spans="1:4" ht="19.899999999999999" customHeight="1">
      <c r="A804" s="11" t="s">
        <v>17</v>
      </c>
      <c r="B804" s="12" t="s">
        <v>35</v>
      </c>
      <c r="C804" s="12">
        <v>57.178581237792997</v>
      </c>
      <c r="D804" s="12">
        <v>1988</v>
      </c>
    </row>
    <row r="805" spans="1:4" ht="19.899999999999999" customHeight="1">
      <c r="A805" s="11" t="s">
        <v>18</v>
      </c>
      <c r="B805" s="12" t="s">
        <v>35</v>
      </c>
      <c r="C805" s="12"/>
      <c r="D805" s="12">
        <v>1988</v>
      </c>
    </row>
    <row r="806" spans="1:4" ht="19.899999999999999" customHeight="1">
      <c r="A806" s="11" t="s">
        <v>19</v>
      </c>
      <c r="B806" s="12" t="s">
        <v>35</v>
      </c>
      <c r="C806" s="12">
        <v>33.372161865234403</v>
      </c>
      <c r="D806" s="12">
        <v>1988</v>
      </c>
    </row>
    <row r="807" spans="1:4" ht="19.899999999999999" customHeight="1">
      <c r="A807" s="11" t="s">
        <v>20</v>
      </c>
      <c r="B807" s="12" t="s">
        <v>35</v>
      </c>
      <c r="C807" s="12">
        <v>33.228271484375</v>
      </c>
      <c r="D807" s="12">
        <v>1988</v>
      </c>
    </row>
    <row r="808" spans="1:4" ht="19.899999999999999" customHeight="1">
      <c r="A808" s="11" t="s">
        <v>21</v>
      </c>
      <c r="B808" s="12" t="s">
        <v>35</v>
      </c>
      <c r="C808" s="12"/>
      <c r="D808" s="12">
        <v>1988</v>
      </c>
    </row>
    <row r="809" spans="1:4" ht="19.899999999999999" customHeight="1">
      <c r="A809" s="11" t="s">
        <v>22</v>
      </c>
      <c r="B809" s="12" t="s">
        <v>35</v>
      </c>
      <c r="C809" s="12"/>
      <c r="D809" s="12">
        <v>1988</v>
      </c>
    </row>
    <row r="810" spans="1:4" ht="19.899999999999999" customHeight="1">
      <c r="A810" s="11" t="s">
        <v>23</v>
      </c>
      <c r="B810" s="12" t="s">
        <v>35</v>
      </c>
      <c r="C810" s="12">
        <v>7.95626020431519</v>
      </c>
      <c r="D810" s="12">
        <v>1988</v>
      </c>
    </row>
    <row r="811" spans="1:4" ht="19.899999999999999" customHeight="1">
      <c r="A811" s="11" t="s">
        <v>24</v>
      </c>
      <c r="B811" s="12" t="s">
        <v>35</v>
      </c>
      <c r="C811" s="12"/>
      <c r="D811" s="12">
        <v>1988</v>
      </c>
    </row>
    <row r="812" spans="1:4" ht="19.899999999999999" customHeight="1">
      <c r="A812" s="11" t="s">
        <v>25</v>
      </c>
      <c r="B812" s="12" t="s">
        <v>35</v>
      </c>
      <c r="C812" s="12"/>
      <c r="D812" s="12">
        <v>1988</v>
      </c>
    </row>
    <row r="813" spans="1:4" ht="19.899999999999999" customHeight="1">
      <c r="A813" s="11" t="s">
        <v>26</v>
      </c>
      <c r="B813" s="12" t="s">
        <v>35</v>
      </c>
      <c r="C813" s="12">
        <v>47.924098968505902</v>
      </c>
      <c r="D813" s="12">
        <v>1988</v>
      </c>
    </row>
    <row r="814" spans="1:4" ht="19.899999999999999" customHeight="1">
      <c r="A814" s="11" t="s">
        <v>27</v>
      </c>
      <c r="B814" s="12" t="s">
        <v>35</v>
      </c>
      <c r="C814" s="12"/>
      <c r="D814" s="12">
        <v>1988</v>
      </c>
    </row>
    <row r="815" spans="1:4" ht="19.899999999999999" customHeight="1">
      <c r="A815" s="11" t="s">
        <v>28</v>
      </c>
      <c r="B815" s="12" t="s">
        <v>35</v>
      </c>
      <c r="C815" s="12">
        <v>19.5672798156738</v>
      </c>
      <c r="D815" s="12">
        <v>1988</v>
      </c>
    </row>
    <row r="816" spans="1:4" ht="19.899999999999999" customHeight="1">
      <c r="A816" s="11" t="s">
        <v>29</v>
      </c>
      <c r="B816" s="12" t="s">
        <v>35</v>
      </c>
      <c r="C816" s="12"/>
      <c r="D816" s="12">
        <v>1988</v>
      </c>
    </row>
    <row r="817" spans="1:4" ht="19.899999999999999" customHeight="1">
      <c r="A817" s="11" t="s">
        <v>4</v>
      </c>
      <c r="B817" s="12" t="s">
        <v>35</v>
      </c>
      <c r="C817" s="12"/>
      <c r="D817" s="12">
        <v>1989</v>
      </c>
    </row>
    <row r="818" spans="1:4" ht="19.899999999999999" customHeight="1">
      <c r="A818" s="11" t="s">
        <v>5</v>
      </c>
      <c r="B818" s="12" t="s">
        <v>35</v>
      </c>
      <c r="C818" s="12"/>
      <c r="D818" s="12">
        <v>1989</v>
      </c>
    </row>
    <row r="819" spans="1:4" ht="19.899999999999999" customHeight="1">
      <c r="A819" s="11" t="s">
        <v>6</v>
      </c>
      <c r="B819" s="12" t="s">
        <v>35</v>
      </c>
      <c r="C819" s="12"/>
      <c r="D819" s="12">
        <v>1989</v>
      </c>
    </row>
    <row r="820" spans="1:4" ht="19.899999999999999" customHeight="1">
      <c r="A820" s="11" t="s">
        <v>7</v>
      </c>
      <c r="B820" s="12" t="s">
        <v>35</v>
      </c>
      <c r="C820" s="12"/>
      <c r="D820" s="12">
        <v>1989</v>
      </c>
    </row>
    <row r="821" spans="1:4" ht="19.899999999999999" customHeight="1">
      <c r="A821" s="11" t="s">
        <v>8</v>
      </c>
      <c r="B821" s="12" t="s">
        <v>35</v>
      </c>
      <c r="C821" s="12">
        <v>73.266143798828097</v>
      </c>
      <c r="D821" s="12">
        <v>1989</v>
      </c>
    </row>
    <row r="822" spans="1:4" ht="19.899999999999999" customHeight="1">
      <c r="A822" s="11" t="s">
        <v>1</v>
      </c>
      <c r="B822" s="12" t="s">
        <v>35</v>
      </c>
      <c r="C822" s="12">
        <v>71.365493774414105</v>
      </c>
      <c r="D822" s="12">
        <v>1989</v>
      </c>
    </row>
    <row r="823" spans="1:4" ht="19.899999999999999" customHeight="1">
      <c r="A823" s="11" t="s">
        <v>9</v>
      </c>
      <c r="B823" s="12" t="s">
        <v>35</v>
      </c>
      <c r="C823" s="12">
        <v>72.972717285156307</v>
      </c>
      <c r="D823" s="12">
        <v>1989</v>
      </c>
    </row>
    <row r="824" spans="1:4" ht="19.899999999999999" customHeight="1">
      <c r="A824" s="11" t="s">
        <v>10</v>
      </c>
      <c r="B824" s="12" t="s">
        <v>35</v>
      </c>
      <c r="C824" s="12"/>
      <c r="D824" s="12">
        <v>1989</v>
      </c>
    </row>
    <row r="825" spans="1:4" ht="19.899999999999999" customHeight="1">
      <c r="A825" s="11" t="s">
        <v>11</v>
      </c>
      <c r="B825" s="12" t="s">
        <v>35</v>
      </c>
      <c r="C825" s="12"/>
      <c r="D825" s="12">
        <v>1989</v>
      </c>
    </row>
    <row r="826" spans="1:4" ht="19.899999999999999" customHeight="1">
      <c r="A826" s="11" t="s">
        <v>38</v>
      </c>
      <c r="B826" s="12" t="s">
        <v>35</v>
      </c>
      <c r="C826" s="12"/>
      <c r="D826" s="12">
        <v>1989</v>
      </c>
    </row>
    <row r="827" spans="1:4" ht="19.899999999999999" customHeight="1">
      <c r="A827" s="11" t="s">
        <v>12</v>
      </c>
      <c r="B827" s="12" t="s">
        <v>35</v>
      </c>
      <c r="C827" s="12"/>
      <c r="D827" s="12">
        <v>1989</v>
      </c>
    </row>
    <row r="828" spans="1:4" ht="19.899999999999999" customHeight="1">
      <c r="A828" s="11" t="s">
        <v>13</v>
      </c>
      <c r="B828" s="12" t="s">
        <v>35</v>
      </c>
      <c r="C828" s="12">
        <v>34.293659210205099</v>
      </c>
      <c r="D828" s="12">
        <v>1989</v>
      </c>
    </row>
    <row r="829" spans="1:4" ht="19.899999999999999" customHeight="1">
      <c r="A829" s="11" t="s">
        <v>14</v>
      </c>
      <c r="B829" s="12" t="s">
        <v>35</v>
      </c>
      <c r="C829" s="12"/>
      <c r="D829" s="12">
        <v>1989</v>
      </c>
    </row>
    <row r="830" spans="1:4" ht="19.899999999999999" customHeight="1">
      <c r="A830" s="11" t="s">
        <v>15</v>
      </c>
      <c r="B830" s="12" t="s">
        <v>35</v>
      </c>
      <c r="C830" s="12"/>
      <c r="D830" s="12">
        <v>1989</v>
      </c>
    </row>
    <row r="831" spans="1:4" ht="19.899999999999999" customHeight="1">
      <c r="A831" s="11" t="s">
        <v>16</v>
      </c>
      <c r="B831" s="12" t="s">
        <v>35</v>
      </c>
      <c r="C831" s="12"/>
      <c r="D831" s="12">
        <v>1989</v>
      </c>
    </row>
    <row r="832" spans="1:4" ht="19.899999999999999" customHeight="1">
      <c r="A832" s="11" t="s">
        <v>17</v>
      </c>
      <c r="B832" s="12" t="s">
        <v>35</v>
      </c>
      <c r="C832" s="12">
        <v>56.6938285827637</v>
      </c>
      <c r="D832" s="12">
        <v>1989</v>
      </c>
    </row>
    <row r="833" spans="1:4" ht="19.899999999999999" customHeight="1">
      <c r="A833" s="11" t="s">
        <v>18</v>
      </c>
      <c r="B833" s="12" t="s">
        <v>35</v>
      </c>
      <c r="C833" s="12"/>
      <c r="D833" s="12">
        <v>1989</v>
      </c>
    </row>
    <row r="834" spans="1:4" ht="19.899999999999999" customHeight="1">
      <c r="A834" s="11" t="s">
        <v>19</v>
      </c>
      <c r="B834" s="12" t="s">
        <v>35</v>
      </c>
      <c r="C834" s="12"/>
      <c r="D834" s="12">
        <v>1989</v>
      </c>
    </row>
    <row r="835" spans="1:4" ht="19.899999999999999" customHeight="1">
      <c r="A835" s="11" t="s">
        <v>20</v>
      </c>
      <c r="B835" s="12" t="s">
        <v>35</v>
      </c>
      <c r="C835" s="12">
        <v>34.956161499023402</v>
      </c>
      <c r="D835" s="12">
        <v>1989</v>
      </c>
    </row>
    <row r="836" spans="1:4" ht="19.899999999999999" customHeight="1">
      <c r="A836" s="11" t="s">
        <v>21</v>
      </c>
      <c r="B836" s="12" t="s">
        <v>35</v>
      </c>
      <c r="C836" s="12">
        <v>77.431503295898395</v>
      </c>
      <c r="D836" s="12">
        <v>1989</v>
      </c>
    </row>
    <row r="837" spans="1:4" ht="19.899999999999999" customHeight="1">
      <c r="A837" s="11" t="s">
        <v>22</v>
      </c>
      <c r="B837" s="12" t="s">
        <v>35</v>
      </c>
      <c r="C837" s="12"/>
      <c r="D837" s="12">
        <v>1989</v>
      </c>
    </row>
    <row r="838" spans="1:4" ht="19.899999999999999" customHeight="1">
      <c r="A838" s="11" t="s">
        <v>23</v>
      </c>
      <c r="B838" s="12" t="s">
        <v>35</v>
      </c>
      <c r="C838" s="12"/>
      <c r="D838" s="12">
        <v>1989</v>
      </c>
    </row>
    <row r="839" spans="1:4" ht="19.899999999999999" customHeight="1">
      <c r="A839" s="11" t="s">
        <v>24</v>
      </c>
      <c r="B839" s="12" t="s">
        <v>35</v>
      </c>
      <c r="C839" s="12"/>
      <c r="D839" s="12">
        <v>1989</v>
      </c>
    </row>
    <row r="840" spans="1:4" ht="19.899999999999999" customHeight="1">
      <c r="A840" s="11" t="s">
        <v>25</v>
      </c>
      <c r="B840" s="12" t="s">
        <v>35</v>
      </c>
      <c r="C840" s="12"/>
      <c r="D840" s="12">
        <v>1989</v>
      </c>
    </row>
    <row r="841" spans="1:4" ht="19.899999999999999" customHeight="1">
      <c r="A841" s="11" t="s">
        <v>26</v>
      </c>
      <c r="B841" s="12" t="s">
        <v>35</v>
      </c>
      <c r="C841" s="12">
        <v>48.017688751220703</v>
      </c>
      <c r="D841" s="12">
        <v>1989</v>
      </c>
    </row>
    <row r="842" spans="1:4" ht="19.899999999999999" customHeight="1">
      <c r="A842" s="11" t="s">
        <v>27</v>
      </c>
      <c r="B842" s="12" t="s">
        <v>35</v>
      </c>
      <c r="C842" s="12"/>
      <c r="D842" s="12">
        <v>1989</v>
      </c>
    </row>
    <row r="843" spans="1:4" ht="19.899999999999999" customHeight="1">
      <c r="A843" s="11" t="s">
        <v>28</v>
      </c>
      <c r="B843" s="12" t="s">
        <v>35</v>
      </c>
      <c r="C843" s="12"/>
      <c r="D843" s="12">
        <v>1989</v>
      </c>
    </row>
    <row r="844" spans="1:4" ht="19.899999999999999" customHeight="1">
      <c r="A844" s="11" t="s">
        <v>29</v>
      </c>
      <c r="B844" s="12" t="s">
        <v>35</v>
      </c>
      <c r="C844" s="12"/>
      <c r="D844" s="12">
        <v>1989</v>
      </c>
    </row>
    <row r="845" spans="1:4" ht="19.899999999999999" customHeight="1">
      <c r="A845" s="11" t="s">
        <v>4</v>
      </c>
      <c r="B845" s="12" t="s">
        <v>35</v>
      </c>
      <c r="C845" s="12"/>
      <c r="D845" s="12">
        <v>1990</v>
      </c>
    </row>
    <row r="846" spans="1:4" ht="19.899999999999999" customHeight="1">
      <c r="A846" s="11" t="s">
        <v>5</v>
      </c>
      <c r="B846" s="12" t="s">
        <v>35</v>
      </c>
      <c r="C846" s="12">
        <v>26.0283603668213</v>
      </c>
      <c r="D846" s="12">
        <v>1990</v>
      </c>
    </row>
    <row r="847" spans="1:4" ht="19.899999999999999" customHeight="1">
      <c r="A847" s="11" t="s">
        <v>6</v>
      </c>
      <c r="B847" s="12" t="s">
        <v>35</v>
      </c>
      <c r="C847" s="12"/>
      <c r="D847" s="12">
        <v>1990</v>
      </c>
    </row>
    <row r="848" spans="1:4" ht="19.899999999999999" customHeight="1">
      <c r="A848" s="11" t="s">
        <v>7</v>
      </c>
      <c r="B848" s="12" t="s">
        <v>35</v>
      </c>
      <c r="C848" s="12"/>
      <c r="D848" s="12">
        <v>1990</v>
      </c>
    </row>
    <row r="849" spans="1:4" ht="19.899999999999999" customHeight="1">
      <c r="A849" s="11" t="s">
        <v>8</v>
      </c>
      <c r="B849" s="12" t="s">
        <v>35</v>
      </c>
      <c r="C849" s="12">
        <v>72.802810668945298</v>
      </c>
      <c r="D849" s="12">
        <v>1990</v>
      </c>
    </row>
    <row r="850" spans="1:4" ht="19.899999999999999" customHeight="1">
      <c r="A850" s="11" t="s">
        <v>1</v>
      </c>
      <c r="B850" s="12" t="s">
        <v>35</v>
      </c>
      <c r="C850" s="12"/>
      <c r="D850" s="12">
        <v>1990</v>
      </c>
    </row>
    <row r="851" spans="1:4" ht="19.899999999999999" customHeight="1">
      <c r="A851" s="11" t="s">
        <v>9</v>
      </c>
      <c r="B851" s="12" t="s">
        <v>35</v>
      </c>
      <c r="C851" s="12">
        <v>73.973457336425795</v>
      </c>
      <c r="D851" s="12">
        <v>1990</v>
      </c>
    </row>
    <row r="852" spans="1:4" ht="19.899999999999999" customHeight="1">
      <c r="A852" s="11" t="s">
        <v>10</v>
      </c>
      <c r="B852" s="12" t="s">
        <v>35</v>
      </c>
      <c r="C852" s="12"/>
      <c r="D852" s="12">
        <v>1990</v>
      </c>
    </row>
    <row r="853" spans="1:4" ht="19.899999999999999" customHeight="1">
      <c r="A853" s="11" t="s">
        <v>11</v>
      </c>
      <c r="B853" s="12" t="s">
        <v>35</v>
      </c>
      <c r="C853" s="12"/>
      <c r="D853" s="12">
        <v>1990</v>
      </c>
    </row>
    <row r="854" spans="1:4" ht="19.899999999999999" customHeight="1">
      <c r="A854" s="11" t="s">
        <v>38</v>
      </c>
      <c r="B854" s="12" t="s">
        <v>35</v>
      </c>
      <c r="C854" s="12"/>
      <c r="D854" s="12">
        <v>1990</v>
      </c>
    </row>
    <row r="855" spans="1:4" ht="19.899999999999999" customHeight="1">
      <c r="A855" s="11" t="s">
        <v>12</v>
      </c>
      <c r="B855" s="12" t="s">
        <v>35</v>
      </c>
      <c r="C855" s="12"/>
      <c r="D855" s="12">
        <v>1990</v>
      </c>
    </row>
    <row r="856" spans="1:4" ht="19.899999999999999" customHeight="1">
      <c r="A856" s="11" t="s">
        <v>13</v>
      </c>
      <c r="B856" s="12" t="s">
        <v>35</v>
      </c>
      <c r="C856" s="12">
        <v>35.745109558105497</v>
      </c>
      <c r="D856" s="12">
        <v>1990</v>
      </c>
    </row>
    <row r="857" spans="1:4" ht="19.899999999999999" customHeight="1">
      <c r="A857" s="11" t="s">
        <v>14</v>
      </c>
      <c r="B857" s="12" t="s">
        <v>35</v>
      </c>
      <c r="C857" s="12"/>
      <c r="D857" s="12">
        <v>1990</v>
      </c>
    </row>
    <row r="858" spans="1:4" ht="19.899999999999999" customHeight="1">
      <c r="A858" s="11" t="s">
        <v>15</v>
      </c>
      <c r="B858" s="12" t="s">
        <v>35</v>
      </c>
      <c r="C858" s="12"/>
      <c r="D858" s="12">
        <v>1990</v>
      </c>
    </row>
    <row r="859" spans="1:4" ht="19.899999999999999" customHeight="1">
      <c r="A859" s="11" t="s">
        <v>16</v>
      </c>
      <c r="B859" s="12" t="s">
        <v>35</v>
      </c>
      <c r="C859" s="12"/>
      <c r="D859" s="12">
        <v>1990</v>
      </c>
    </row>
    <row r="860" spans="1:4" ht="19.899999999999999" customHeight="1">
      <c r="A860" s="11" t="s">
        <v>17</v>
      </c>
      <c r="B860" s="12" t="s">
        <v>35</v>
      </c>
      <c r="C860" s="12">
        <v>54.905448913574197</v>
      </c>
      <c r="D860" s="12">
        <v>1990</v>
      </c>
    </row>
    <row r="861" spans="1:4" ht="19.899999999999999" customHeight="1">
      <c r="A861" s="11" t="s">
        <v>18</v>
      </c>
      <c r="B861" s="12" t="s">
        <v>35</v>
      </c>
      <c r="C861" s="12"/>
      <c r="D861" s="12">
        <v>1990</v>
      </c>
    </row>
    <row r="862" spans="1:4" ht="19.899999999999999" customHeight="1">
      <c r="A862" s="11" t="s">
        <v>19</v>
      </c>
      <c r="B862" s="12" t="s">
        <v>35</v>
      </c>
      <c r="C862" s="12"/>
      <c r="D862" s="12">
        <v>1990</v>
      </c>
    </row>
    <row r="863" spans="1:4" ht="19.899999999999999" customHeight="1">
      <c r="A863" s="11" t="s">
        <v>20</v>
      </c>
      <c r="B863" s="12" t="s">
        <v>35</v>
      </c>
      <c r="C863" s="12">
        <v>32.483100891113303</v>
      </c>
      <c r="D863" s="12">
        <v>1990</v>
      </c>
    </row>
    <row r="864" spans="1:4" ht="19.899999999999999" customHeight="1">
      <c r="A864" s="11" t="s">
        <v>21</v>
      </c>
      <c r="B864" s="12" t="s">
        <v>35</v>
      </c>
      <c r="C864" s="12">
        <v>77.114929199218807</v>
      </c>
      <c r="D864" s="12">
        <v>1990</v>
      </c>
    </row>
    <row r="865" spans="1:4" ht="19.899999999999999" customHeight="1">
      <c r="A865" s="11" t="s">
        <v>22</v>
      </c>
      <c r="B865" s="12" t="s">
        <v>35</v>
      </c>
      <c r="C865" s="12"/>
      <c r="D865" s="12">
        <v>1990</v>
      </c>
    </row>
    <row r="866" spans="1:4" ht="19.899999999999999" customHeight="1">
      <c r="A866" s="11" t="s">
        <v>23</v>
      </c>
      <c r="B866" s="12" t="s">
        <v>35</v>
      </c>
      <c r="C866" s="12">
        <v>3.31122994422913</v>
      </c>
      <c r="D866" s="12">
        <v>1990</v>
      </c>
    </row>
    <row r="867" spans="1:4" ht="19.899999999999999" customHeight="1">
      <c r="A867" s="11" t="s">
        <v>24</v>
      </c>
      <c r="B867" s="12" t="s">
        <v>35</v>
      </c>
      <c r="C867" s="12"/>
      <c r="D867" s="12">
        <v>1990</v>
      </c>
    </row>
    <row r="868" spans="1:4" ht="19.899999999999999" customHeight="1">
      <c r="A868" s="11" t="s">
        <v>25</v>
      </c>
      <c r="B868" s="12" t="s">
        <v>35</v>
      </c>
      <c r="C868" s="12"/>
      <c r="D868" s="12">
        <v>1990</v>
      </c>
    </row>
    <row r="869" spans="1:4" ht="19.899999999999999" customHeight="1">
      <c r="A869" s="11" t="s">
        <v>26</v>
      </c>
      <c r="B869" s="12" t="s">
        <v>35</v>
      </c>
      <c r="C869" s="12">
        <v>48.674369812011697</v>
      </c>
      <c r="D869" s="12">
        <v>1990</v>
      </c>
    </row>
    <row r="870" spans="1:4" ht="19.899999999999999" customHeight="1">
      <c r="A870" s="11" t="s">
        <v>27</v>
      </c>
      <c r="B870" s="12" t="s">
        <v>35</v>
      </c>
      <c r="C870" s="12"/>
      <c r="D870" s="12">
        <v>1990</v>
      </c>
    </row>
    <row r="871" spans="1:4" ht="19.899999999999999" customHeight="1">
      <c r="A871" s="11" t="s">
        <v>28</v>
      </c>
      <c r="B871" s="12" t="s">
        <v>35</v>
      </c>
      <c r="C871" s="12"/>
      <c r="D871" s="12">
        <v>1990</v>
      </c>
    </row>
    <row r="872" spans="1:4" ht="19.899999999999999" customHeight="1">
      <c r="A872" s="11" t="s">
        <v>29</v>
      </c>
      <c r="B872" s="12" t="s">
        <v>35</v>
      </c>
      <c r="C872" s="12"/>
      <c r="D872" s="12">
        <v>1990</v>
      </c>
    </row>
    <row r="873" spans="1:4" ht="19.899999999999999" customHeight="1">
      <c r="A873" s="11" t="s">
        <v>4</v>
      </c>
      <c r="B873" s="12" t="s">
        <v>35</v>
      </c>
      <c r="C873" s="12"/>
      <c r="D873" s="12">
        <v>1991</v>
      </c>
    </row>
    <row r="874" spans="1:4" ht="19.899999999999999" customHeight="1">
      <c r="A874" s="11" t="s">
        <v>5</v>
      </c>
      <c r="B874" s="12" t="s">
        <v>35</v>
      </c>
      <c r="C874" s="12">
        <v>27.931259155273398</v>
      </c>
      <c r="D874" s="12">
        <v>1991</v>
      </c>
    </row>
    <row r="875" spans="1:4" ht="19.899999999999999" customHeight="1">
      <c r="A875" s="11" t="s">
        <v>6</v>
      </c>
      <c r="B875" s="12" t="s">
        <v>35</v>
      </c>
      <c r="C875" s="12"/>
      <c r="D875" s="12">
        <v>1991</v>
      </c>
    </row>
    <row r="876" spans="1:4" ht="19.899999999999999" customHeight="1">
      <c r="A876" s="11" t="s">
        <v>7</v>
      </c>
      <c r="B876" s="12" t="s">
        <v>35</v>
      </c>
      <c r="C876" s="12"/>
      <c r="D876" s="12">
        <v>1991</v>
      </c>
    </row>
    <row r="877" spans="1:4" ht="19.899999999999999" customHeight="1">
      <c r="A877" s="11" t="s">
        <v>8</v>
      </c>
      <c r="B877" s="12" t="s">
        <v>35</v>
      </c>
      <c r="C877" s="12">
        <v>72.738098144531307</v>
      </c>
      <c r="D877" s="12">
        <v>1991</v>
      </c>
    </row>
    <row r="878" spans="1:4" ht="19.899999999999999" customHeight="1">
      <c r="A878" s="11" t="s">
        <v>1</v>
      </c>
      <c r="B878" s="12" t="s">
        <v>35</v>
      </c>
      <c r="C878" s="12"/>
      <c r="D878" s="12">
        <v>1991</v>
      </c>
    </row>
    <row r="879" spans="1:4" ht="19.899999999999999" customHeight="1">
      <c r="A879" s="11" t="s">
        <v>9</v>
      </c>
      <c r="B879" s="12" t="s">
        <v>35</v>
      </c>
      <c r="C879" s="12">
        <v>72.208793640136705</v>
      </c>
      <c r="D879" s="12">
        <v>1991</v>
      </c>
    </row>
    <row r="880" spans="1:4" ht="19.899999999999999" customHeight="1">
      <c r="A880" s="11" t="s">
        <v>10</v>
      </c>
      <c r="B880" s="12" t="s">
        <v>35</v>
      </c>
      <c r="C880" s="12"/>
      <c r="D880" s="12">
        <v>1991</v>
      </c>
    </row>
    <row r="881" spans="1:4" ht="19.899999999999999" customHeight="1">
      <c r="A881" s="11" t="s">
        <v>11</v>
      </c>
      <c r="B881" s="12" t="s">
        <v>35</v>
      </c>
      <c r="C881" s="12"/>
      <c r="D881" s="12">
        <v>1991</v>
      </c>
    </row>
    <row r="882" spans="1:4" ht="19.899999999999999" customHeight="1">
      <c r="A882" s="11" t="s">
        <v>38</v>
      </c>
      <c r="B882" s="12" t="s">
        <v>35</v>
      </c>
      <c r="C882" s="12"/>
      <c r="D882" s="12">
        <v>1991</v>
      </c>
    </row>
    <row r="883" spans="1:4" ht="19.899999999999999" customHeight="1">
      <c r="A883" s="11" t="s">
        <v>12</v>
      </c>
      <c r="B883" s="12" t="s">
        <v>35</v>
      </c>
      <c r="C883" s="12"/>
      <c r="D883" s="12">
        <v>1991</v>
      </c>
    </row>
    <row r="884" spans="1:4" ht="19.899999999999999" customHeight="1">
      <c r="A884" s="11" t="s">
        <v>13</v>
      </c>
      <c r="B884" s="12" t="s">
        <v>35</v>
      </c>
      <c r="C884" s="12"/>
      <c r="D884" s="12">
        <v>1991</v>
      </c>
    </row>
    <row r="885" spans="1:4" ht="19.899999999999999" customHeight="1">
      <c r="A885" s="11" t="s">
        <v>14</v>
      </c>
      <c r="B885" s="12" t="s">
        <v>35</v>
      </c>
      <c r="C885" s="12"/>
      <c r="D885" s="12">
        <v>1991</v>
      </c>
    </row>
    <row r="886" spans="1:4" ht="19.899999999999999" customHeight="1">
      <c r="A886" s="11" t="s">
        <v>15</v>
      </c>
      <c r="B886" s="12" t="s">
        <v>35</v>
      </c>
      <c r="C886" s="12"/>
      <c r="D886" s="12">
        <v>1991</v>
      </c>
    </row>
    <row r="887" spans="1:4" ht="19.899999999999999" customHeight="1">
      <c r="A887" s="11" t="s">
        <v>16</v>
      </c>
      <c r="B887" s="12" t="s">
        <v>35</v>
      </c>
      <c r="C887" s="12"/>
      <c r="D887" s="12">
        <v>1991</v>
      </c>
    </row>
    <row r="888" spans="1:4" ht="19.899999999999999" customHeight="1">
      <c r="A888" s="11" t="s">
        <v>17</v>
      </c>
      <c r="B888" s="12" t="s">
        <v>35</v>
      </c>
      <c r="C888" s="12">
        <v>56.557201385497997</v>
      </c>
      <c r="D888" s="12">
        <v>1991</v>
      </c>
    </row>
    <row r="889" spans="1:4" ht="19.899999999999999" customHeight="1">
      <c r="A889" s="11" t="s">
        <v>18</v>
      </c>
      <c r="B889" s="12" t="s">
        <v>35</v>
      </c>
      <c r="C889" s="12"/>
      <c r="D889" s="12">
        <v>1991</v>
      </c>
    </row>
    <row r="890" spans="1:4" ht="19.899999999999999" customHeight="1">
      <c r="A890" s="11" t="s">
        <v>19</v>
      </c>
      <c r="B890" s="12" t="s">
        <v>35</v>
      </c>
      <c r="C890" s="12"/>
      <c r="D890" s="12">
        <v>1991</v>
      </c>
    </row>
    <row r="891" spans="1:4" ht="19.899999999999999" customHeight="1">
      <c r="A891" s="11" t="s">
        <v>20</v>
      </c>
      <c r="B891" s="12" t="s">
        <v>35</v>
      </c>
      <c r="C891" s="12">
        <v>29.837619781494102</v>
      </c>
      <c r="D891" s="12">
        <v>1991</v>
      </c>
    </row>
    <row r="892" spans="1:4" ht="19.899999999999999" customHeight="1">
      <c r="A892" s="11" t="s">
        <v>21</v>
      </c>
      <c r="B892" s="12" t="s">
        <v>35</v>
      </c>
      <c r="C892" s="12">
        <v>76.530891418457003</v>
      </c>
      <c r="D892" s="12">
        <v>1991</v>
      </c>
    </row>
    <row r="893" spans="1:4" ht="19.899999999999999" customHeight="1">
      <c r="A893" s="11" t="s">
        <v>22</v>
      </c>
      <c r="B893" s="12" t="s">
        <v>35</v>
      </c>
      <c r="C893" s="12"/>
      <c r="D893" s="12">
        <v>1991</v>
      </c>
    </row>
    <row r="894" spans="1:4" ht="19.899999999999999" customHeight="1">
      <c r="A894" s="11" t="s">
        <v>23</v>
      </c>
      <c r="B894" s="12" t="s">
        <v>35</v>
      </c>
      <c r="C894" s="12"/>
      <c r="D894" s="12">
        <v>1991</v>
      </c>
    </row>
    <row r="895" spans="1:4" ht="19.899999999999999" customHeight="1">
      <c r="A895" s="11" t="s">
        <v>24</v>
      </c>
      <c r="B895" s="12" t="s">
        <v>35</v>
      </c>
      <c r="C895" s="12"/>
      <c r="D895" s="12">
        <v>1991</v>
      </c>
    </row>
    <row r="896" spans="1:4" ht="19.899999999999999" customHeight="1">
      <c r="A896" s="11" t="s">
        <v>25</v>
      </c>
      <c r="B896" s="12" t="s">
        <v>35</v>
      </c>
      <c r="C896" s="12"/>
      <c r="D896" s="12">
        <v>1991</v>
      </c>
    </row>
    <row r="897" spans="1:4" ht="19.899999999999999" customHeight="1">
      <c r="A897" s="11" t="s">
        <v>26</v>
      </c>
      <c r="B897" s="12" t="s">
        <v>35</v>
      </c>
      <c r="C897" s="12">
        <v>49.374458312988303</v>
      </c>
      <c r="D897" s="12">
        <v>1991</v>
      </c>
    </row>
    <row r="898" spans="1:4" ht="19.899999999999999" customHeight="1">
      <c r="A898" s="11" t="s">
        <v>27</v>
      </c>
      <c r="B898" s="12" t="s">
        <v>35</v>
      </c>
      <c r="C898" s="12"/>
      <c r="D898" s="12">
        <v>1991</v>
      </c>
    </row>
    <row r="899" spans="1:4" ht="19.899999999999999" customHeight="1">
      <c r="A899" s="11" t="s">
        <v>28</v>
      </c>
      <c r="B899" s="12" t="s">
        <v>35</v>
      </c>
      <c r="C899" s="12"/>
      <c r="D899" s="12">
        <v>1991</v>
      </c>
    </row>
    <row r="900" spans="1:4" ht="19.899999999999999" customHeight="1">
      <c r="A900" s="11" t="s">
        <v>29</v>
      </c>
      <c r="B900" s="12" t="s">
        <v>35</v>
      </c>
      <c r="C900" s="12"/>
      <c r="D900" s="12">
        <v>1991</v>
      </c>
    </row>
    <row r="901" spans="1:4" ht="19.899999999999999" customHeight="1">
      <c r="A901" s="11" t="s">
        <v>4</v>
      </c>
      <c r="B901" s="12" t="s">
        <v>35</v>
      </c>
      <c r="C901" s="12"/>
      <c r="D901" s="12">
        <v>1992</v>
      </c>
    </row>
    <row r="902" spans="1:4" ht="19.899999999999999" customHeight="1">
      <c r="A902" s="11" t="s">
        <v>5</v>
      </c>
      <c r="B902" s="12" t="s">
        <v>35</v>
      </c>
      <c r="C902" s="12"/>
      <c r="D902" s="12">
        <v>1992</v>
      </c>
    </row>
    <row r="903" spans="1:4" ht="19.899999999999999" customHeight="1">
      <c r="A903" s="11" t="s">
        <v>6</v>
      </c>
      <c r="B903" s="12" t="s">
        <v>35</v>
      </c>
      <c r="C903" s="12"/>
      <c r="D903" s="12">
        <v>1992</v>
      </c>
    </row>
    <row r="904" spans="1:4" ht="19.899999999999999" customHeight="1">
      <c r="A904" s="11" t="s">
        <v>7</v>
      </c>
      <c r="B904" s="12" t="s">
        <v>35</v>
      </c>
      <c r="C904" s="12"/>
      <c r="D904" s="12">
        <v>1992</v>
      </c>
    </row>
    <row r="905" spans="1:4" ht="19.899999999999999" customHeight="1">
      <c r="A905" s="11" t="s">
        <v>8</v>
      </c>
      <c r="B905" s="12" t="s">
        <v>35</v>
      </c>
      <c r="C905" s="12">
        <v>71.538856506347699</v>
      </c>
      <c r="D905" s="12">
        <v>1992</v>
      </c>
    </row>
    <row r="906" spans="1:4" ht="19.899999999999999" customHeight="1">
      <c r="A906" s="11" t="s">
        <v>1</v>
      </c>
      <c r="B906" s="12" t="s">
        <v>35</v>
      </c>
      <c r="C906" s="12"/>
      <c r="D906" s="12">
        <v>1992</v>
      </c>
    </row>
    <row r="907" spans="1:4" ht="19.899999999999999" customHeight="1">
      <c r="A907" s="11" t="s">
        <v>9</v>
      </c>
      <c r="B907" s="12" t="s">
        <v>35</v>
      </c>
      <c r="C907" s="12"/>
      <c r="D907" s="12">
        <v>1992</v>
      </c>
    </row>
    <row r="908" spans="1:4" ht="19.899999999999999" customHeight="1">
      <c r="A908" s="11" t="s">
        <v>10</v>
      </c>
      <c r="B908" s="12" t="s">
        <v>35</v>
      </c>
      <c r="C908" s="12"/>
      <c r="D908" s="12">
        <v>1992</v>
      </c>
    </row>
    <row r="909" spans="1:4" ht="19.899999999999999" customHeight="1">
      <c r="A909" s="11" t="s">
        <v>11</v>
      </c>
      <c r="B909" s="12" t="s">
        <v>35</v>
      </c>
      <c r="C909" s="12"/>
      <c r="D909" s="12">
        <v>1992</v>
      </c>
    </row>
    <row r="910" spans="1:4" ht="19.899999999999999" customHeight="1">
      <c r="A910" s="11" t="s">
        <v>38</v>
      </c>
      <c r="B910" s="12" t="s">
        <v>35</v>
      </c>
      <c r="C910" s="12"/>
      <c r="D910" s="12">
        <v>1992</v>
      </c>
    </row>
    <row r="911" spans="1:4" ht="19.899999999999999" customHeight="1">
      <c r="A911" s="11" t="s">
        <v>12</v>
      </c>
      <c r="B911" s="12" t="s">
        <v>35</v>
      </c>
      <c r="C911" s="12"/>
      <c r="D911" s="12">
        <v>1992</v>
      </c>
    </row>
    <row r="912" spans="1:4" ht="19.899999999999999" customHeight="1">
      <c r="A912" s="11" t="s">
        <v>13</v>
      </c>
      <c r="B912" s="12" t="s">
        <v>35</v>
      </c>
      <c r="C912" s="12"/>
      <c r="D912" s="12">
        <v>1992</v>
      </c>
    </row>
    <row r="913" spans="1:4" ht="19.899999999999999" customHeight="1">
      <c r="A913" s="11" t="s">
        <v>14</v>
      </c>
      <c r="B913" s="12" t="s">
        <v>35</v>
      </c>
      <c r="C913" s="12"/>
      <c r="D913" s="12">
        <v>1992</v>
      </c>
    </row>
    <row r="914" spans="1:4" ht="19.899999999999999" customHeight="1">
      <c r="A914" s="11" t="s">
        <v>15</v>
      </c>
      <c r="B914" s="12" t="s">
        <v>35</v>
      </c>
      <c r="C914" s="12"/>
      <c r="D914" s="12">
        <v>1992</v>
      </c>
    </row>
    <row r="915" spans="1:4" ht="19.899999999999999" customHeight="1">
      <c r="A915" s="11" t="s">
        <v>16</v>
      </c>
      <c r="B915" s="12" t="s">
        <v>35</v>
      </c>
      <c r="C915" s="12"/>
      <c r="D915" s="12">
        <v>1992</v>
      </c>
    </row>
    <row r="916" spans="1:4" ht="19.899999999999999" customHeight="1">
      <c r="A916" s="11" t="s">
        <v>17</v>
      </c>
      <c r="B916" s="12" t="s">
        <v>35</v>
      </c>
      <c r="C916" s="12">
        <v>58.254520416259801</v>
      </c>
      <c r="D916" s="12">
        <v>1992</v>
      </c>
    </row>
    <row r="917" spans="1:4" ht="19.899999999999999" customHeight="1">
      <c r="A917" s="11" t="s">
        <v>18</v>
      </c>
      <c r="B917" s="12" t="s">
        <v>35</v>
      </c>
      <c r="C917" s="12"/>
      <c r="D917" s="12">
        <v>1992</v>
      </c>
    </row>
    <row r="918" spans="1:4" ht="19.899999999999999" customHeight="1">
      <c r="A918" s="11" t="s">
        <v>19</v>
      </c>
      <c r="B918" s="12" t="s">
        <v>35</v>
      </c>
      <c r="C918" s="12"/>
      <c r="D918" s="12">
        <v>1992</v>
      </c>
    </row>
    <row r="919" spans="1:4" ht="19.899999999999999" customHeight="1">
      <c r="A919" s="11" t="s">
        <v>20</v>
      </c>
      <c r="B919" s="12" t="s">
        <v>35</v>
      </c>
      <c r="C919" s="12">
        <v>26.4221096038818</v>
      </c>
      <c r="D919" s="12">
        <v>1992</v>
      </c>
    </row>
    <row r="920" spans="1:4" ht="19.899999999999999" customHeight="1">
      <c r="A920" s="11" t="s">
        <v>21</v>
      </c>
      <c r="B920" s="12" t="s">
        <v>35</v>
      </c>
      <c r="C920" s="12">
        <v>78.590217590332003</v>
      </c>
      <c r="D920" s="12">
        <v>1992</v>
      </c>
    </row>
    <row r="921" spans="1:4" ht="19.899999999999999" customHeight="1">
      <c r="A921" s="11" t="s">
        <v>22</v>
      </c>
      <c r="B921" s="12" t="s">
        <v>35</v>
      </c>
      <c r="C921" s="12"/>
      <c r="D921" s="12">
        <v>1992</v>
      </c>
    </row>
    <row r="922" spans="1:4" ht="19.899999999999999" customHeight="1">
      <c r="A922" s="11" t="s">
        <v>23</v>
      </c>
      <c r="B922" s="12" t="s">
        <v>35</v>
      </c>
      <c r="C922" s="12"/>
      <c r="D922" s="12">
        <v>1992</v>
      </c>
    </row>
    <row r="923" spans="1:4" ht="19.899999999999999" customHeight="1">
      <c r="A923" s="11" t="s">
        <v>24</v>
      </c>
      <c r="B923" s="12" t="s">
        <v>35</v>
      </c>
      <c r="C923" s="12"/>
      <c r="D923" s="12">
        <v>1992</v>
      </c>
    </row>
    <row r="924" spans="1:4" ht="19.899999999999999" customHeight="1">
      <c r="A924" s="11" t="s">
        <v>25</v>
      </c>
      <c r="B924" s="12" t="s">
        <v>35</v>
      </c>
      <c r="C924" s="12"/>
      <c r="D924" s="12">
        <v>1992</v>
      </c>
    </row>
    <row r="925" spans="1:4" ht="19.899999999999999" customHeight="1">
      <c r="A925" s="11" t="s">
        <v>26</v>
      </c>
      <c r="B925" s="12" t="s">
        <v>35</v>
      </c>
      <c r="C925" s="12">
        <v>49.296058654785199</v>
      </c>
      <c r="D925" s="12">
        <v>1992</v>
      </c>
    </row>
    <row r="926" spans="1:4" ht="19.899999999999999" customHeight="1">
      <c r="A926" s="11" t="s">
        <v>27</v>
      </c>
      <c r="B926" s="12" t="s">
        <v>35</v>
      </c>
      <c r="C926" s="12"/>
      <c r="D926" s="12">
        <v>1992</v>
      </c>
    </row>
    <row r="927" spans="1:4" ht="19.899999999999999" customHeight="1">
      <c r="A927" s="11" t="s">
        <v>28</v>
      </c>
      <c r="B927" s="12" t="s">
        <v>35</v>
      </c>
      <c r="C927" s="12"/>
      <c r="D927" s="12">
        <v>1992</v>
      </c>
    </row>
    <row r="928" spans="1:4" ht="19.899999999999999" customHeight="1">
      <c r="A928" s="11" t="s">
        <v>29</v>
      </c>
      <c r="B928" s="12" t="s">
        <v>35</v>
      </c>
      <c r="C928" s="12"/>
      <c r="D928" s="12">
        <v>1992</v>
      </c>
    </row>
    <row r="929" spans="1:4" ht="19.899999999999999" customHeight="1">
      <c r="A929" s="11" t="s">
        <v>4</v>
      </c>
      <c r="B929" s="12" t="s">
        <v>35</v>
      </c>
      <c r="C929" s="12">
        <v>49.805229187011697</v>
      </c>
      <c r="D929" s="12">
        <v>1993</v>
      </c>
    </row>
    <row r="930" spans="1:4" ht="19.899999999999999" customHeight="1">
      <c r="A930" s="11" t="s">
        <v>5</v>
      </c>
      <c r="B930" s="12" t="s">
        <v>35</v>
      </c>
      <c r="C930" s="12"/>
      <c r="D930" s="12">
        <v>1993</v>
      </c>
    </row>
    <row r="931" spans="1:4" ht="19.899999999999999" customHeight="1">
      <c r="A931" s="11" t="s">
        <v>6</v>
      </c>
      <c r="B931" s="12" t="s">
        <v>35</v>
      </c>
      <c r="C931" s="12"/>
      <c r="D931" s="12">
        <v>1993</v>
      </c>
    </row>
    <row r="932" spans="1:4" ht="19.899999999999999" customHeight="1">
      <c r="A932" s="11" t="s">
        <v>7</v>
      </c>
      <c r="B932" s="12" t="s">
        <v>35</v>
      </c>
      <c r="C932" s="12"/>
      <c r="D932" s="12">
        <v>1993</v>
      </c>
    </row>
    <row r="933" spans="1:4" ht="19.899999999999999" customHeight="1">
      <c r="A933" s="11" t="s">
        <v>8</v>
      </c>
      <c r="B933" s="12" t="s">
        <v>35</v>
      </c>
      <c r="C933" s="12">
        <v>73.789291381835895</v>
      </c>
      <c r="D933" s="12">
        <v>1993</v>
      </c>
    </row>
    <row r="934" spans="1:4" ht="19.899999999999999" customHeight="1">
      <c r="A934" s="11" t="s">
        <v>1</v>
      </c>
      <c r="B934" s="12" t="s">
        <v>35</v>
      </c>
      <c r="C934" s="12"/>
      <c r="D934" s="12">
        <v>1993</v>
      </c>
    </row>
    <row r="935" spans="1:4" ht="19.899999999999999" customHeight="1">
      <c r="A935" s="11" t="s">
        <v>9</v>
      </c>
      <c r="B935" s="12" t="s">
        <v>35</v>
      </c>
      <c r="C935" s="12"/>
      <c r="D935" s="12">
        <v>1993</v>
      </c>
    </row>
    <row r="936" spans="1:4" ht="19.899999999999999" customHeight="1">
      <c r="A936" s="11" t="s">
        <v>10</v>
      </c>
      <c r="B936" s="12" t="s">
        <v>35</v>
      </c>
      <c r="C936" s="12"/>
      <c r="D936" s="12">
        <v>1993</v>
      </c>
    </row>
    <row r="937" spans="1:4" ht="19.899999999999999" customHeight="1">
      <c r="A937" s="11" t="s">
        <v>11</v>
      </c>
      <c r="B937" s="12" t="s">
        <v>35</v>
      </c>
      <c r="C937" s="12"/>
      <c r="D937" s="12">
        <v>1993</v>
      </c>
    </row>
    <row r="938" spans="1:4" ht="19.899999999999999" customHeight="1">
      <c r="A938" s="11" t="s">
        <v>38</v>
      </c>
      <c r="B938" s="12" t="s">
        <v>35</v>
      </c>
      <c r="C938" s="12"/>
      <c r="D938" s="12">
        <v>1993</v>
      </c>
    </row>
    <row r="939" spans="1:4" ht="19.899999999999999" customHeight="1">
      <c r="A939" s="11" t="s">
        <v>12</v>
      </c>
      <c r="B939" s="12" t="s">
        <v>35</v>
      </c>
      <c r="C939" s="12"/>
      <c r="D939" s="12">
        <v>1993</v>
      </c>
    </row>
    <row r="940" spans="1:4" ht="19.899999999999999" customHeight="1">
      <c r="A940" s="11" t="s">
        <v>13</v>
      </c>
      <c r="B940" s="12" t="s">
        <v>35</v>
      </c>
      <c r="C940" s="12"/>
      <c r="D940" s="12">
        <v>1993</v>
      </c>
    </row>
    <row r="941" spans="1:4" ht="19.899999999999999" customHeight="1">
      <c r="A941" s="11" t="s">
        <v>14</v>
      </c>
      <c r="B941" s="12" t="s">
        <v>35</v>
      </c>
      <c r="C941" s="12"/>
      <c r="D941" s="12">
        <v>1993</v>
      </c>
    </row>
    <row r="942" spans="1:4" ht="19.899999999999999" customHeight="1">
      <c r="A942" s="11" t="s">
        <v>15</v>
      </c>
      <c r="B942" s="12" t="s">
        <v>35</v>
      </c>
      <c r="C942" s="12"/>
      <c r="D942" s="12">
        <v>1993</v>
      </c>
    </row>
    <row r="943" spans="1:4" ht="19.899999999999999" customHeight="1">
      <c r="A943" s="11" t="s">
        <v>16</v>
      </c>
      <c r="B943" s="12" t="s">
        <v>35</v>
      </c>
      <c r="C943" s="12"/>
      <c r="D943" s="12">
        <v>1993</v>
      </c>
    </row>
    <row r="944" spans="1:4" ht="19.899999999999999" customHeight="1">
      <c r="A944" s="11" t="s">
        <v>17</v>
      </c>
      <c r="B944" s="12" t="s">
        <v>35</v>
      </c>
      <c r="C944" s="12">
        <v>59.304420471191399</v>
      </c>
      <c r="D944" s="12">
        <v>1993</v>
      </c>
    </row>
    <row r="945" spans="1:4" ht="19.899999999999999" customHeight="1">
      <c r="A945" s="11" t="s">
        <v>18</v>
      </c>
      <c r="B945" s="12" t="s">
        <v>35</v>
      </c>
      <c r="C945" s="12"/>
      <c r="D945" s="12">
        <v>1993</v>
      </c>
    </row>
    <row r="946" spans="1:4" ht="19.899999999999999" customHeight="1">
      <c r="A946" s="11" t="s">
        <v>19</v>
      </c>
      <c r="B946" s="12" t="s">
        <v>35</v>
      </c>
      <c r="C946" s="12"/>
      <c r="D946" s="12">
        <v>1993</v>
      </c>
    </row>
    <row r="947" spans="1:4" ht="19.899999999999999" customHeight="1">
      <c r="A947" s="11" t="s">
        <v>20</v>
      </c>
      <c r="B947" s="12" t="s">
        <v>35</v>
      </c>
      <c r="C947" s="12">
        <v>25.676509857177699</v>
      </c>
      <c r="D947" s="12">
        <v>1993</v>
      </c>
    </row>
    <row r="948" spans="1:4" ht="19.899999999999999" customHeight="1">
      <c r="A948" s="11" t="s">
        <v>21</v>
      </c>
      <c r="B948" s="12" t="s">
        <v>35</v>
      </c>
      <c r="C948" s="12"/>
      <c r="D948" s="12">
        <v>1993</v>
      </c>
    </row>
    <row r="949" spans="1:4" ht="19.899999999999999" customHeight="1">
      <c r="A949" s="11" t="s">
        <v>22</v>
      </c>
      <c r="B949" s="12" t="s">
        <v>35</v>
      </c>
      <c r="C949" s="12"/>
      <c r="D949" s="12">
        <v>1993</v>
      </c>
    </row>
    <row r="950" spans="1:4" ht="19.899999999999999" customHeight="1">
      <c r="A950" s="11" t="s">
        <v>23</v>
      </c>
      <c r="B950" s="12" t="s">
        <v>35</v>
      </c>
      <c r="C950" s="12"/>
      <c r="D950" s="12">
        <v>1993</v>
      </c>
    </row>
    <row r="951" spans="1:4" ht="19.899999999999999" customHeight="1">
      <c r="A951" s="11" t="s">
        <v>24</v>
      </c>
      <c r="B951" s="12" t="s">
        <v>35</v>
      </c>
      <c r="C951" s="12"/>
      <c r="D951" s="12">
        <v>1993</v>
      </c>
    </row>
    <row r="952" spans="1:4" ht="19.899999999999999" customHeight="1">
      <c r="A952" s="11" t="s">
        <v>25</v>
      </c>
      <c r="B952" s="12" t="s">
        <v>35</v>
      </c>
      <c r="C952" s="12"/>
      <c r="D952" s="12">
        <v>1993</v>
      </c>
    </row>
    <row r="953" spans="1:4" ht="19.899999999999999" customHeight="1">
      <c r="A953" s="11" t="s">
        <v>26</v>
      </c>
      <c r="B953" s="12" t="s">
        <v>35</v>
      </c>
      <c r="C953" s="12">
        <v>50.079971313476598</v>
      </c>
      <c r="D953" s="12">
        <v>1993</v>
      </c>
    </row>
    <row r="954" spans="1:4" ht="19.899999999999999" customHeight="1">
      <c r="A954" s="11" t="s">
        <v>27</v>
      </c>
      <c r="B954" s="12" t="s">
        <v>35</v>
      </c>
      <c r="C954" s="12"/>
      <c r="D954" s="12">
        <v>1993</v>
      </c>
    </row>
    <row r="955" spans="1:4" ht="19.899999999999999" customHeight="1">
      <c r="A955" s="11" t="s">
        <v>28</v>
      </c>
      <c r="B955" s="12" t="s">
        <v>35</v>
      </c>
      <c r="C955" s="12"/>
      <c r="D955" s="12">
        <v>1993</v>
      </c>
    </row>
    <row r="956" spans="1:4" ht="19.899999999999999" customHeight="1">
      <c r="A956" s="11" t="s">
        <v>29</v>
      </c>
      <c r="B956" s="12" t="s">
        <v>35</v>
      </c>
      <c r="C956" s="12"/>
      <c r="D956" s="12">
        <v>1993</v>
      </c>
    </row>
    <row r="957" spans="1:4" ht="19.899999999999999" customHeight="1">
      <c r="A957" s="11" t="s">
        <v>4</v>
      </c>
      <c r="B957" s="12" t="s">
        <v>35</v>
      </c>
      <c r="C957" s="12"/>
      <c r="D957" s="12">
        <v>1994</v>
      </c>
    </row>
    <row r="958" spans="1:4" ht="19.899999999999999" customHeight="1">
      <c r="A958" s="11" t="s">
        <v>5</v>
      </c>
      <c r="B958" s="12" t="s">
        <v>35</v>
      </c>
      <c r="C958" s="12"/>
      <c r="D958" s="12">
        <v>1994</v>
      </c>
    </row>
    <row r="959" spans="1:4" ht="19.899999999999999" customHeight="1">
      <c r="A959" s="11" t="s">
        <v>6</v>
      </c>
      <c r="B959" s="12" t="s">
        <v>35</v>
      </c>
      <c r="C959" s="12"/>
      <c r="D959" s="12">
        <v>1994</v>
      </c>
    </row>
    <row r="960" spans="1:4" ht="19.899999999999999" customHeight="1">
      <c r="A960" s="11" t="s">
        <v>7</v>
      </c>
      <c r="B960" s="12" t="s">
        <v>35</v>
      </c>
      <c r="C960" s="12">
        <v>30.777809143066399</v>
      </c>
      <c r="D960" s="12">
        <v>1994</v>
      </c>
    </row>
    <row r="961" spans="1:4" ht="19.899999999999999" customHeight="1">
      <c r="A961" s="11" t="s">
        <v>8</v>
      </c>
      <c r="B961" s="12" t="s">
        <v>35</v>
      </c>
      <c r="C961" s="12">
        <v>72.914169311523395</v>
      </c>
      <c r="D961" s="12">
        <v>1994</v>
      </c>
    </row>
    <row r="962" spans="1:4" ht="19.899999999999999" customHeight="1">
      <c r="A962" s="11" t="s">
        <v>1</v>
      </c>
      <c r="B962" s="12" t="s">
        <v>35</v>
      </c>
      <c r="C962" s="12">
        <v>80.894607543945298</v>
      </c>
      <c r="D962" s="12">
        <v>1994</v>
      </c>
    </row>
    <row r="963" spans="1:4" ht="19.899999999999999" customHeight="1">
      <c r="A963" s="11" t="s">
        <v>9</v>
      </c>
      <c r="B963" s="12" t="s">
        <v>35</v>
      </c>
      <c r="C963" s="12"/>
      <c r="D963" s="12">
        <v>1994</v>
      </c>
    </row>
    <row r="964" spans="1:4" ht="19.899999999999999" customHeight="1">
      <c r="A964" s="11" t="s">
        <v>10</v>
      </c>
      <c r="B964" s="12" t="s">
        <v>35</v>
      </c>
      <c r="C964" s="12"/>
      <c r="D964" s="12">
        <v>1994</v>
      </c>
    </row>
    <row r="965" spans="1:4" ht="19.899999999999999" customHeight="1">
      <c r="A965" s="11" t="s">
        <v>11</v>
      </c>
      <c r="B965" s="12" t="s">
        <v>35</v>
      </c>
      <c r="C965" s="12"/>
      <c r="D965" s="12">
        <v>1994</v>
      </c>
    </row>
    <row r="966" spans="1:4" ht="19.899999999999999" customHeight="1">
      <c r="A966" s="11" t="s">
        <v>38</v>
      </c>
      <c r="B966" s="12" t="s">
        <v>35</v>
      </c>
      <c r="C966" s="12"/>
      <c r="D966" s="12">
        <v>1994</v>
      </c>
    </row>
    <row r="967" spans="1:4" ht="19.899999999999999" customHeight="1">
      <c r="A967" s="11" t="s">
        <v>12</v>
      </c>
      <c r="B967" s="12" t="s">
        <v>35</v>
      </c>
      <c r="C967" s="12"/>
      <c r="D967" s="12">
        <v>1994</v>
      </c>
    </row>
    <row r="968" spans="1:4" ht="19.899999999999999" customHeight="1">
      <c r="A968" s="11" t="s">
        <v>13</v>
      </c>
      <c r="B968" s="12" t="s">
        <v>35</v>
      </c>
      <c r="C968" s="12"/>
      <c r="D968" s="12">
        <v>1994</v>
      </c>
    </row>
    <row r="969" spans="1:4" ht="19.899999999999999" customHeight="1">
      <c r="A969" s="11" t="s">
        <v>14</v>
      </c>
      <c r="B969" s="12" t="s">
        <v>35</v>
      </c>
      <c r="C969" s="12"/>
      <c r="D969" s="12">
        <v>1994</v>
      </c>
    </row>
    <row r="970" spans="1:4" ht="19.899999999999999" customHeight="1">
      <c r="A970" s="11" t="s">
        <v>15</v>
      </c>
      <c r="B970" s="12" t="s">
        <v>35</v>
      </c>
      <c r="C970" s="12"/>
      <c r="D970" s="12">
        <v>1994</v>
      </c>
    </row>
    <row r="971" spans="1:4" ht="19.899999999999999" customHeight="1">
      <c r="A971" s="11" t="s">
        <v>16</v>
      </c>
      <c r="B971" s="12" t="s">
        <v>35</v>
      </c>
      <c r="C971" s="12"/>
      <c r="D971" s="12">
        <v>1994</v>
      </c>
    </row>
    <row r="972" spans="1:4" ht="19.899999999999999" customHeight="1">
      <c r="A972" s="11" t="s">
        <v>17</v>
      </c>
      <c r="B972" s="12" t="s">
        <v>35</v>
      </c>
      <c r="C972" s="12">
        <v>58.193599700927699</v>
      </c>
      <c r="D972" s="12">
        <v>1994</v>
      </c>
    </row>
    <row r="973" spans="1:4" ht="19.899999999999999" customHeight="1">
      <c r="A973" s="11" t="s">
        <v>18</v>
      </c>
      <c r="B973" s="12" t="s">
        <v>35</v>
      </c>
      <c r="C973" s="12"/>
      <c r="D973" s="12">
        <v>1994</v>
      </c>
    </row>
    <row r="974" spans="1:4" ht="19.899999999999999" customHeight="1">
      <c r="A974" s="11" t="s">
        <v>19</v>
      </c>
      <c r="B974" s="12" t="s">
        <v>35</v>
      </c>
      <c r="C974" s="12"/>
      <c r="D974" s="12">
        <v>1994</v>
      </c>
    </row>
    <row r="975" spans="1:4" ht="19.899999999999999" customHeight="1">
      <c r="A975" s="11" t="s">
        <v>20</v>
      </c>
      <c r="B975" s="12" t="s">
        <v>35</v>
      </c>
      <c r="C975" s="12">
        <v>24.776649475097699</v>
      </c>
      <c r="D975" s="12">
        <v>1994</v>
      </c>
    </row>
    <row r="976" spans="1:4" ht="19.899999999999999" customHeight="1">
      <c r="A976" s="11" t="s">
        <v>21</v>
      </c>
      <c r="B976" s="12" t="s">
        <v>35</v>
      </c>
      <c r="C976" s="12"/>
      <c r="D976" s="12">
        <v>1994</v>
      </c>
    </row>
    <row r="977" spans="1:4" ht="19.899999999999999" customHeight="1">
      <c r="A977" s="11" t="s">
        <v>22</v>
      </c>
      <c r="B977" s="12" t="s">
        <v>35</v>
      </c>
      <c r="C977" s="12"/>
      <c r="D977" s="12">
        <v>1994</v>
      </c>
    </row>
    <row r="978" spans="1:4" ht="19.899999999999999" customHeight="1">
      <c r="A978" s="11" t="s">
        <v>23</v>
      </c>
      <c r="B978" s="12" t="s">
        <v>35</v>
      </c>
      <c r="C978" s="12"/>
      <c r="D978" s="12">
        <v>1994</v>
      </c>
    </row>
    <row r="979" spans="1:4" ht="19.899999999999999" customHeight="1">
      <c r="A979" s="11" t="s">
        <v>24</v>
      </c>
      <c r="B979" s="12" t="s">
        <v>35</v>
      </c>
      <c r="C979" s="12"/>
      <c r="D979" s="12">
        <v>1994</v>
      </c>
    </row>
    <row r="980" spans="1:4" ht="19.899999999999999" customHeight="1">
      <c r="A980" s="11" t="s">
        <v>25</v>
      </c>
      <c r="B980" s="12" t="s">
        <v>35</v>
      </c>
      <c r="C980" s="12"/>
      <c r="D980" s="12">
        <v>1994</v>
      </c>
    </row>
    <row r="981" spans="1:4" ht="19.899999999999999" customHeight="1">
      <c r="A981" s="11" t="s">
        <v>26</v>
      </c>
      <c r="B981" s="12" t="s">
        <v>35</v>
      </c>
      <c r="C981" s="12">
        <v>51.287368774414098</v>
      </c>
      <c r="D981" s="12">
        <v>1994</v>
      </c>
    </row>
    <row r="982" spans="1:4" ht="19.899999999999999" customHeight="1">
      <c r="A982" s="11" t="s">
        <v>27</v>
      </c>
      <c r="B982" s="12" t="s">
        <v>35</v>
      </c>
      <c r="C982" s="12"/>
      <c r="D982" s="12">
        <v>1994</v>
      </c>
    </row>
    <row r="983" spans="1:4" ht="19.899999999999999" customHeight="1">
      <c r="A983" s="11" t="s">
        <v>28</v>
      </c>
      <c r="B983" s="12" t="s">
        <v>35</v>
      </c>
      <c r="C983" s="12">
        <v>26.592319488525401</v>
      </c>
      <c r="D983" s="12">
        <v>1994</v>
      </c>
    </row>
    <row r="984" spans="1:4" ht="19.899999999999999" customHeight="1">
      <c r="A984" s="11" t="s">
        <v>29</v>
      </c>
      <c r="B984" s="12" t="s">
        <v>35</v>
      </c>
      <c r="C984" s="12"/>
      <c r="D984" s="12">
        <v>1994</v>
      </c>
    </row>
    <row r="985" spans="1:4" ht="19.899999999999999" customHeight="1">
      <c r="A985" s="11" t="s">
        <v>4</v>
      </c>
      <c r="B985" s="12" t="s">
        <v>35</v>
      </c>
      <c r="C985" s="12"/>
      <c r="D985" s="12">
        <v>1995</v>
      </c>
    </row>
    <row r="986" spans="1:4" ht="19.899999999999999" customHeight="1">
      <c r="A986" s="11" t="s">
        <v>5</v>
      </c>
      <c r="B986" s="12" t="s">
        <v>35</v>
      </c>
      <c r="C986" s="12"/>
      <c r="D986" s="12">
        <v>1995</v>
      </c>
    </row>
    <row r="987" spans="1:4" ht="19.899999999999999" customHeight="1">
      <c r="A987" s="11" t="s">
        <v>6</v>
      </c>
      <c r="B987" s="12" t="s">
        <v>35</v>
      </c>
      <c r="C987" s="12"/>
      <c r="D987" s="12">
        <v>1995</v>
      </c>
    </row>
    <row r="988" spans="1:4" ht="19.899999999999999" customHeight="1">
      <c r="A988" s="11" t="s">
        <v>7</v>
      </c>
      <c r="B988" s="12" t="s">
        <v>35</v>
      </c>
      <c r="C988" s="12"/>
      <c r="D988" s="12">
        <v>1995</v>
      </c>
    </row>
    <row r="989" spans="1:4" ht="19.899999999999999" customHeight="1">
      <c r="A989" s="11" t="s">
        <v>8</v>
      </c>
      <c r="B989" s="12" t="s">
        <v>35</v>
      </c>
      <c r="C989" s="12">
        <v>71.857337951660199</v>
      </c>
      <c r="D989" s="12">
        <v>1995</v>
      </c>
    </row>
    <row r="990" spans="1:4" ht="19.899999999999999" customHeight="1">
      <c r="A990" s="11" t="s">
        <v>1</v>
      </c>
      <c r="B990" s="12" t="s">
        <v>35</v>
      </c>
      <c r="C990" s="12">
        <v>78.1546630859375</v>
      </c>
      <c r="D990" s="12">
        <v>1995</v>
      </c>
    </row>
    <row r="991" spans="1:4" ht="19.899999999999999" customHeight="1">
      <c r="A991" s="11" t="s">
        <v>9</v>
      </c>
      <c r="B991" s="12" t="s">
        <v>35</v>
      </c>
      <c r="C991" s="12"/>
      <c r="D991" s="12">
        <v>1995</v>
      </c>
    </row>
    <row r="992" spans="1:4" ht="19.899999999999999" customHeight="1">
      <c r="A992" s="11" t="s">
        <v>10</v>
      </c>
      <c r="B992" s="12" t="s">
        <v>35</v>
      </c>
      <c r="C992" s="12"/>
      <c r="D992" s="12">
        <v>1995</v>
      </c>
    </row>
    <row r="993" spans="1:4" ht="19.899999999999999" customHeight="1">
      <c r="A993" s="11" t="s">
        <v>11</v>
      </c>
      <c r="B993" s="12" t="s">
        <v>35</v>
      </c>
      <c r="C993" s="12"/>
      <c r="D993" s="12">
        <v>1995</v>
      </c>
    </row>
    <row r="994" spans="1:4" ht="19.899999999999999" customHeight="1">
      <c r="A994" s="11" t="s">
        <v>38</v>
      </c>
      <c r="B994" s="12" t="s">
        <v>35</v>
      </c>
      <c r="C994" s="12"/>
      <c r="D994" s="12">
        <v>1995</v>
      </c>
    </row>
    <row r="995" spans="1:4" ht="19.899999999999999" customHeight="1">
      <c r="A995" s="11" t="s">
        <v>12</v>
      </c>
      <c r="B995" s="12" t="s">
        <v>35</v>
      </c>
      <c r="C995" s="12"/>
      <c r="D995" s="12">
        <v>1995</v>
      </c>
    </row>
    <row r="996" spans="1:4" ht="19.899999999999999" customHeight="1">
      <c r="A996" s="11" t="s">
        <v>13</v>
      </c>
      <c r="B996" s="12" t="s">
        <v>35</v>
      </c>
      <c r="C996" s="12">
        <v>45.289051055908203</v>
      </c>
      <c r="D996" s="12">
        <v>1995</v>
      </c>
    </row>
    <row r="997" spans="1:4" ht="19.899999999999999" customHeight="1">
      <c r="A997" s="11" t="s">
        <v>14</v>
      </c>
      <c r="B997" s="12" t="s">
        <v>35</v>
      </c>
      <c r="C997" s="12"/>
      <c r="D997" s="12">
        <v>1995</v>
      </c>
    </row>
    <row r="998" spans="1:4" ht="19.899999999999999" customHeight="1">
      <c r="A998" s="11" t="s">
        <v>15</v>
      </c>
      <c r="B998" s="12" t="s">
        <v>35</v>
      </c>
      <c r="C998" s="12"/>
      <c r="D998" s="12">
        <v>1995</v>
      </c>
    </row>
    <row r="999" spans="1:4" ht="19.899999999999999" customHeight="1">
      <c r="A999" s="11" t="s">
        <v>16</v>
      </c>
      <c r="B999" s="12" t="s">
        <v>35</v>
      </c>
      <c r="C999" s="12"/>
      <c r="D999" s="12">
        <v>1995</v>
      </c>
    </row>
    <row r="1000" spans="1:4" ht="19.899999999999999" customHeight="1">
      <c r="A1000" s="11" t="s">
        <v>17</v>
      </c>
      <c r="B1000" s="12" t="s">
        <v>35</v>
      </c>
      <c r="C1000" s="12">
        <v>55.930450439453097</v>
      </c>
      <c r="D1000" s="12">
        <v>1995</v>
      </c>
    </row>
    <row r="1001" spans="1:4" ht="19.899999999999999" customHeight="1">
      <c r="A1001" s="11" t="s">
        <v>18</v>
      </c>
      <c r="B1001" s="12" t="s">
        <v>35</v>
      </c>
      <c r="C1001" s="12"/>
      <c r="D1001" s="12">
        <v>1995</v>
      </c>
    </row>
    <row r="1002" spans="1:4" ht="19.899999999999999" customHeight="1">
      <c r="A1002" s="11" t="s">
        <v>19</v>
      </c>
      <c r="B1002" s="12" t="s">
        <v>35</v>
      </c>
      <c r="C1002" s="12"/>
      <c r="D1002" s="12">
        <v>1995</v>
      </c>
    </row>
    <row r="1003" spans="1:4" ht="19.899999999999999" customHeight="1">
      <c r="A1003" s="11" t="s">
        <v>20</v>
      </c>
      <c r="B1003" s="12" t="s">
        <v>35</v>
      </c>
      <c r="C1003" s="12">
        <v>26.565580368041999</v>
      </c>
      <c r="D1003" s="12">
        <v>1995</v>
      </c>
    </row>
    <row r="1004" spans="1:4" ht="19.899999999999999" customHeight="1">
      <c r="A1004" s="11" t="s">
        <v>21</v>
      </c>
      <c r="B1004" s="12" t="s">
        <v>35</v>
      </c>
      <c r="C1004" s="12"/>
      <c r="D1004" s="12">
        <v>1995</v>
      </c>
    </row>
    <row r="1005" spans="1:4" ht="19.899999999999999" customHeight="1">
      <c r="A1005" s="11" t="s">
        <v>22</v>
      </c>
      <c r="B1005" s="12" t="s">
        <v>35</v>
      </c>
      <c r="C1005" s="12"/>
      <c r="D1005" s="12">
        <v>1995</v>
      </c>
    </row>
    <row r="1006" spans="1:4" ht="19.899999999999999" customHeight="1">
      <c r="A1006" s="11" t="s">
        <v>23</v>
      </c>
      <c r="B1006" s="12" t="s">
        <v>35</v>
      </c>
      <c r="C1006" s="12"/>
      <c r="D1006" s="12">
        <v>1995</v>
      </c>
    </row>
    <row r="1007" spans="1:4" ht="19.899999999999999" customHeight="1">
      <c r="A1007" s="11" t="s">
        <v>24</v>
      </c>
      <c r="B1007" s="12" t="s">
        <v>35</v>
      </c>
      <c r="C1007" s="12"/>
      <c r="D1007" s="12">
        <v>1995</v>
      </c>
    </row>
    <row r="1008" spans="1:4" ht="19.899999999999999" customHeight="1">
      <c r="A1008" s="11" t="s">
        <v>25</v>
      </c>
      <c r="B1008" s="12" t="s">
        <v>35</v>
      </c>
      <c r="C1008" s="12"/>
      <c r="D1008" s="12">
        <v>1995</v>
      </c>
    </row>
    <row r="1009" spans="1:4" ht="19.899999999999999" customHeight="1">
      <c r="A1009" s="11" t="s">
        <v>26</v>
      </c>
      <c r="B1009" s="12" t="s">
        <v>35</v>
      </c>
      <c r="C1009" s="12">
        <v>51.397579193115199</v>
      </c>
      <c r="D1009" s="12">
        <v>1995</v>
      </c>
    </row>
    <row r="1010" spans="1:4" ht="19.899999999999999" customHeight="1">
      <c r="A1010" s="11" t="s">
        <v>27</v>
      </c>
      <c r="B1010" s="12" t="s">
        <v>35</v>
      </c>
      <c r="C1010" s="12"/>
      <c r="D1010" s="12">
        <v>1995</v>
      </c>
    </row>
    <row r="1011" spans="1:4" ht="19.899999999999999" customHeight="1">
      <c r="A1011" s="11" t="s">
        <v>28</v>
      </c>
      <c r="B1011" s="12" t="s">
        <v>35</v>
      </c>
      <c r="C1011" s="12">
        <v>28.4888801574707</v>
      </c>
      <c r="D1011" s="12">
        <v>1995</v>
      </c>
    </row>
    <row r="1012" spans="1:4" ht="19.899999999999999" customHeight="1">
      <c r="A1012" s="11" t="s">
        <v>29</v>
      </c>
      <c r="B1012" s="12" t="s">
        <v>35</v>
      </c>
      <c r="C1012" s="12"/>
      <c r="D1012" s="12">
        <v>1995</v>
      </c>
    </row>
    <row r="1013" spans="1:4" ht="19.899999999999999" customHeight="1">
      <c r="A1013" s="11" t="s">
        <v>4</v>
      </c>
      <c r="B1013" s="12" t="s">
        <v>35</v>
      </c>
      <c r="C1013" s="12"/>
      <c r="D1013" s="12">
        <v>1996</v>
      </c>
    </row>
    <row r="1014" spans="1:4" ht="19.899999999999999" customHeight="1">
      <c r="A1014" s="11" t="s">
        <v>5</v>
      </c>
      <c r="B1014" s="12" t="s">
        <v>35</v>
      </c>
      <c r="C1014" s="12"/>
      <c r="D1014" s="12">
        <v>1996</v>
      </c>
    </row>
    <row r="1015" spans="1:4" ht="19.899999999999999" customHeight="1">
      <c r="A1015" s="11" t="s">
        <v>6</v>
      </c>
      <c r="B1015" s="12" t="s">
        <v>35</v>
      </c>
      <c r="C1015" s="12">
        <v>62.633609771728501</v>
      </c>
      <c r="D1015" s="12">
        <v>1996</v>
      </c>
    </row>
    <row r="1016" spans="1:4" ht="19.899999999999999" customHeight="1">
      <c r="A1016" s="11" t="s">
        <v>7</v>
      </c>
      <c r="B1016" s="12" t="s">
        <v>35</v>
      </c>
      <c r="C1016" s="12"/>
      <c r="D1016" s="12">
        <v>1996</v>
      </c>
    </row>
    <row r="1017" spans="1:4" ht="19.899999999999999" customHeight="1">
      <c r="A1017" s="11" t="s">
        <v>8</v>
      </c>
      <c r="B1017" s="12" t="s">
        <v>35</v>
      </c>
      <c r="C1017" s="12">
        <v>71.887290954589801</v>
      </c>
      <c r="D1017" s="12">
        <v>1996</v>
      </c>
    </row>
    <row r="1018" spans="1:4" ht="19.899999999999999" customHeight="1">
      <c r="A1018" s="11" t="s">
        <v>1</v>
      </c>
      <c r="B1018" s="12" t="s">
        <v>35</v>
      </c>
      <c r="C1018" s="12">
        <v>73.933761596679702</v>
      </c>
      <c r="D1018" s="12">
        <v>1996</v>
      </c>
    </row>
    <row r="1019" spans="1:4" ht="19.899999999999999" customHeight="1">
      <c r="A1019" s="11" t="s">
        <v>9</v>
      </c>
      <c r="B1019" s="12" t="s">
        <v>35</v>
      </c>
      <c r="C1019" s="12"/>
      <c r="D1019" s="12">
        <v>1996</v>
      </c>
    </row>
    <row r="1020" spans="1:4" ht="19.899999999999999" customHeight="1">
      <c r="A1020" s="11" t="s">
        <v>10</v>
      </c>
      <c r="B1020" s="12" t="s">
        <v>35</v>
      </c>
      <c r="C1020" s="12"/>
      <c r="D1020" s="12">
        <v>1996</v>
      </c>
    </row>
    <row r="1021" spans="1:4" ht="19.899999999999999" customHeight="1">
      <c r="A1021" s="11" t="s">
        <v>11</v>
      </c>
      <c r="B1021" s="12" t="s">
        <v>35</v>
      </c>
      <c r="C1021" s="12"/>
      <c r="D1021" s="12">
        <v>1996</v>
      </c>
    </row>
    <row r="1022" spans="1:4" ht="19.899999999999999" customHeight="1">
      <c r="A1022" s="11" t="s">
        <v>38</v>
      </c>
      <c r="B1022" s="12" t="s">
        <v>35</v>
      </c>
      <c r="C1022" s="12"/>
      <c r="D1022" s="12">
        <v>1996</v>
      </c>
    </row>
    <row r="1023" spans="1:4" ht="19.899999999999999" customHeight="1">
      <c r="A1023" s="11" t="s">
        <v>12</v>
      </c>
      <c r="B1023" s="12" t="s">
        <v>35</v>
      </c>
      <c r="C1023" s="12"/>
      <c r="D1023" s="12">
        <v>1996</v>
      </c>
    </row>
    <row r="1024" spans="1:4" ht="19.899999999999999" customHeight="1">
      <c r="A1024" s="11" t="s">
        <v>13</v>
      </c>
      <c r="B1024" s="12" t="s">
        <v>35</v>
      </c>
      <c r="C1024" s="12">
        <v>43.080238342285199</v>
      </c>
      <c r="D1024" s="12">
        <v>1996</v>
      </c>
    </row>
    <row r="1025" spans="1:4" ht="19.899999999999999" customHeight="1">
      <c r="A1025" s="11" t="s">
        <v>14</v>
      </c>
      <c r="B1025" s="12" t="s">
        <v>35</v>
      </c>
      <c r="C1025" s="12"/>
      <c r="D1025" s="12">
        <v>1996</v>
      </c>
    </row>
    <row r="1026" spans="1:4" ht="19.899999999999999" customHeight="1">
      <c r="A1026" s="11" t="s">
        <v>15</v>
      </c>
      <c r="B1026" s="12" t="s">
        <v>35</v>
      </c>
      <c r="C1026" s="12"/>
      <c r="D1026" s="12">
        <v>1996</v>
      </c>
    </row>
    <row r="1027" spans="1:4" ht="19.899999999999999" customHeight="1">
      <c r="A1027" s="11" t="s">
        <v>16</v>
      </c>
      <c r="B1027" s="12" t="s">
        <v>35</v>
      </c>
      <c r="C1027" s="12"/>
      <c r="D1027" s="12">
        <v>1996</v>
      </c>
    </row>
    <row r="1028" spans="1:4" ht="19.899999999999999" customHeight="1">
      <c r="A1028" s="11" t="s">
        <v>17</v>
      </c>
      <c r="B1028" s="12" t="s">
        <v>35</v>
      </c>
      <c r="C1028" s="12"/>
      <c r="D1028" s="12">
        <v>1996</v>
      </c>
    </row>
    <row r="1029" spans="1:4" ht="19.899999999999999" customHeight="1">
      <c r="A1029" s="11" t="s">
        <v>18</v>
      </c>
      <c r="B1029" s="12" t="s">
        <v>35</v>
      </c>
      <c r="C1029" s="12"/>
      <c r="D1029" s="12">
        <v>1996</v>
      </c>
    </row>
    <row r="1030" spans="1:4" ht="19.899999999999999" customHeight="1">
      <c r="A1030" s="11" t="s">
        <v>19</v>
      </c>
      <c r="B1030" s="12" t="s">
        <v>35</v>
      </c>
      <c r="C1030" s="12"/>
      <c r="D1030" s="12">
        <v>1996</v>
      </c>
    </row>
    <row r="1031" spans="1:4" ht="19.899999999999999" customHeight="1">
      <c r="A1031" s="11" t="s">
        <v>20</v>
      </c>
      <c r="B1031" s="12" t="s">
        <v>35</v>
      </c>
      <c r="C1031" s="12">
        <v>27.286939620971701</v>
      </c>
      <c r="D1031" s="12">
        <v>1996</v>
      </c>
    </row>
    <row r="1032" spans="1:4" ht="19.899999999999999" customHeight="1">
      <c r="A1032" s="11" t="s">
        <v>21</v>
      </c>
      <c r="B1032" s="12" t="s">
        <v>35</v>
      </c>
      <c r="C1032" s="12"/>
      <c r="D1032" s="12">
        <v>1996</v>
      </c>
    </row>
    <row r="1033" spans="1:4" ht="19.899999999999999" customHeight="1">
      <c r="A1033" s="11" t="s">
        <v>22</v>
      </c>
      <c r="B1033" s="12" t="s">
        <v>35</v>
      </c>
      <c r="C1033" s="12"/>
      <c r="D1033" s="12">
        <v>1996</v>
      </c>
    </row>
    <row r="1034" spans="1:4" ht="19.899999999999999" customHeight="1">
      <c r="A1034" s="11" t="s">
        <v>23</v>
      </c>
      <c r="B1034" s="12" t="s">
        <v>35</v>
      </c>
      <c r="C1034" s="12"/>
      <c r="D1034" s="12">
        <v>1996</v>
      </c>
    </row>
    <row r="1035" spans="1:4" ht="19.899999999999999" customHeight="1">
      <c r="A1035" s="11" t="s">
        <v>24</v>
      </c>
      <c r="B1035" s="12" t="s">
        <v>35</v>
      </c>
      <c r="C1035" s="12"/>
      <c r="D1035" s="12">
        <v>1996</v>
      </c>
    </row>
    <row r="1036" spans="1:4" ht="19.899999999999999" customHeight="1">
      <c r="A1036" s="11" t="s">
        <v>25</v>
      </c>
      <c r="B1036" s="12" t="s">
        <v>35</v>
      </c>
      <c r="C1036" s="12"/>
      <c r="D1036" s="12">
        <v>1996</v>
      </c>
    </row>
    <row r="1037" spans="1:4" ht="19.899999999999999" customHeight="1">
      <c r="A1037" s="11" t="s">
        <v>26</v>
      </c>
      <c r="B1037" s="12" t="s">
        <v>35</v>
      </c>
      <c r="C1037" s="12">
        <v>51.290081024169901</v>
      </c>
      <c r="D1037" s="12">
        <v>1996</v>
      </c>
    </row>
    <row r="1038" spans="1:4" ht="19.899999999999999" customHeight="1">
      <c r="A1038" s="11" t="s">
        <v>27</v>
      </c>
      <c r="B1038" s="12" t="s">
        <v>35</v>
      </c>
      <c r="C1038" s="12"/>
      <c r="D1038" s="12">
        <v>1996</v>
      </c>
    </row>
    <row r="1039" spans="1:4" ht="19.899999999999999" customHeight="1">
      <c r="A1039" s="11" t="s">
        <v>28</v>
      </c>
      <c r="B1039" s="12" t="s">
        <v>35</v>
      </c>
      <c r="C1039" s="12"/>
      <c r="D1039" s="12">
        <v>1996</v>
      </c>
    </row>
    <row r="1040" spans="1:4" ht="19.899999999999999" customHeight="1">
      <c r="A1040" s="11" t="s">
        <v>29</v>
      </c>
      <c r="B1040" s="12" t="s">
        <v>35</v>
      </c>
      <c r="C1040" s="12"/>
      <c r="D1040" s="12">
        <v>1996</v>
      </c>
    </row>
    <row r="1041" spans="1:4" ht="19.899999999999999" customHeight="1">
      <c r="A1041" s="11" t="s">
        <v>4</v>
      </c>
      <c r="B1041" s="12" t="s">
        <v>35</v>
      </c>
      <c r="C1041" s="12"/>
      <c r="D1041" s="12">
        <v>1997</v>
      </c>
    </row>
    <row r="1042" spans="1:4" ht="19.899999999999999" customHeight="1">
      <c r="A1042" s="11" t="s">
        <v>5</v>
      </c>
      <c r="B1042" s="12" t="s">
        <v>35</v>
      </c>
      <c r="C1042" s="12"/>
      <c r="D1042" s="12">
        <v>1997</v>
      </c>
    </row>
    <row r="1043" spans="1:4" ht="19.899999999999999" customHeight="1">
      <c r="A1043" s="11" t="s">
        <v>6</v>
      </c>
      <c r="B1043" s="12" t="s">
        <v>35</v>
      </c>
      <c r="C1043" s="12">
        <v>57.276290893554702</v>
      </c>
      <c r="D1043" s="12">
        <v>1997</v>
      </c>
    </row>
    <row r="1044" spans="1:4" ht="19.899999999999999" customHeight="1">
      <c r="A1044" s="11" t="s">
        <v>7</v>
      </c>
      <c r="B1044" s="12" t="s">
        <v>35</v>
      </c>
      <c r="C1044" s="12"/>
      <c r="D1044" s="12">
        <v>1997</v>
      </c>
    </row>
    <row r="1045" spans="1:4" ht="19.899999999999999" customHeight="1">
      <c r="A1045" s="11" t="s">
        <v>8</v>
      </c>
      <c r="B1045" s="12" t="s">
        <v>35</v>
      </c>
      <c r="C1045" s="12">
        <v>72.962631225585895</v>
      </c>
      <c r="D1045" s="12">
        <v>1997</v>
      </c>
    </row>
    <row r="1046" spans="1:4" ht="19.899999999999999" customHeight="1">
      <c r="A1046" s="11" t="s">
        <v>1</v>
      </c>
      <c r="B1046" s="12" t="s">
        <v>35</v>
      </c>
      <c r="C1046" s="12"/>
      <c r="D1046" s="12">
        <v>1997</v>
      </c>
    </row>
    <row r="1047" spans="1:4" ht="19.899999999999999" customHeight="1">
      <c r="A1047" s="11" t="s">
        <v>9</v>
      </c>
      <c r="B1047" s="12" t="s">
        <v>35</v>
      </c>
      <c r="C1047" s="12"/>
      <c r="D1047" s="12">
        <v>1997</v>
      </c>
    </row>
    <row r="1048" spans="1:4" ht="19.899999999999999" customHeight="1">
      <c r="A1048" s="11" t="s">
        <v>10</v>
      </c>
      <c r="B1048" s="12" t="s">
        <v>35</v>
      </c>
      <c r="C1048" s="12">
        <v>42.662651062011697</v>
      </c>
      <c r="D1048" s="12">
        <v>1997</v>
      </c>
    </row>
    <row r="1049" spans="1:4" ht="19.899999999999999" customHeight="1">
      <c r="A1049" s="11" t="s">
        <v>11</v>
      </c>
      <c r="B1049" s="12" t="s">
        <v>35</v>
      </c>
      <c r="C1049" s="12"/>
      <c r="D1049" s="12">
        <v>1997</v>
      </c>
    </row>
    <row r="1050" spans="1:4" ht="19.899999999999999" customHeight="1">
      <c r="A1050" s="11" t="s">
        <v>38</v>
      </c>
      <c r="B1050" s="12" t="s">
        <v>35</v>
      </c>
      <c r="C1050" s="12"/>
      <c r="D1050" s="12">
        <v>1997</v>
      </c>
    </row>
    <row r="1051" spans="1:4" ht="19.899999999999999" customHeight="1">
      <c r="A1051" s="11" t="s">
        <v>12</v>
      </c>
      <c r="B1051" s="12" t="s">
        <v>35</v>
      </c>
      <c r="C1051" s="12"/>
      <c r="D1051" s="12">
        <v>1997</v>
      </c>
    </row>
    <row r="1052" spans="1:4" ht="19.899999999999999" customHeight="1">
      <c r="A1052" s="11" t="s">
        <v>13</v>
      </c>
      <c r="B1052" s="12" t="s">
        <v>35</v>
      </c>
      <c r="C1052" s="12"/>
      <c r="D1052" s="12">
        <v>1997</v>
      </c>
    </row>
    <row r="1053" spans="1:4" ht="19.899999999999999" customHeight="1">
      <c r="A1053" s="11" t="s">
        <v>14</v>
      </c>
      <c r="B1053" s="12" t="s">
        <v>35</v>
      </c>
      <c r="C1053" s="12"/>
      <c r="D1053" s="12">
        <v>1997</v>
      </c>
    </row>
    <row r="1054" spans="1:4" ht="19.899999999999999" customHeight="1">
      <c r="A1054" s="11" t="s">
        <v>15</v>
      </c>
      <c r="B1054" s="12" t="s">
        <v>35</v>
      </c>
      <c r="C1054" s="12"/>
      <c r="D1054" s="12">
        <v>1997</v>
      </c>
    </row>
    <row r="1055" spans="1:4" ht="19.899999999999999" customHeight="1">
      <c r="A1055" s="11" t="s">
        <v>16</v>
      </c>
      <c r="B1055" s="12" t="s">
        <v>35</v>
      </c>
      <c r="C1055" s="12"/>
      <c r="D1055" s="12">
        <v>1997</v>
      </c>
    </row>
    <row r="1056" spans="1:4" ht="19.899999999999999" customHeight="1">
      <c r="A1056" s="11" t="s">
        <v>17</v>
      </c>
      <c r="B1056" s="12" t="s">
        <v>35</v>
      </c>
      <c r="C1056" s="12"/>
      <c r="D1056" s="12">
        <v>1997</v>
      </c>
    </row>
    <row r="1057" spans="1:4" ht="19.899999999999999" customHeight="1">
      <c r="A1057" s="11" t="s">
        <v>18</v>
      </c>
      <c r="B1057" s="12" t="s">
        <v>35</v>
      </c>
      <c r="C1057" s="12"/>
      <c r="D1057" s="12">
        <v>1997</v>
      </c>
    </row>
    <row r="1058" spans="1:4" ht="19.899999999999999" customHeight="1">
      <c r="A1058" s="11" t="s">
        <v>19</v>
      </c>
      <c r="B1058" s="12" t="s">
        <v>35</v>
      </c>
      <c r="C1058" s="12"/>
      <c r="D1058" s="12">
        <v>1997</v>
      </c>
    </row>
    <row r="1059" spans="1:4" ht="19.899999999999999" customHeight="1">
      <c r="A1059" s="11" t="s">
        <v>20</v>
      </c>
      <c r="B1059" s="12" t="s">
        <v>35</v>
      </c>
      <c r="C1059" s="12"/>
      <c r="D1059" s="12">
        <v>1997</v>
      </c>
    </row>
    <row r="1060" spans="1:4" ht="19.899999999999999" customHeight="1">
      <c r="A1060" s="11" t="s">
        <v>21</v>
      </c>
      <c r="B1060" s="12" t="s">
        <v>35</v>
      </c>
      <c r="C1060" s="12">
        <v>75.948181152343807</v>
      </c>
      <c r="D1060" s="12">
        <v>1997</v>
      </c>
    </row>
    <row r="1061" spans="1:4" ht="19.899999999999999" customHeight="1">
      <c r="A1061" s="11" t="s">
        <v>22</v>
      </c>
      <c r="B1061" s="12" t="s">
        <v>35</v>
      </c>
      <c r="C1061" s="12"/>
      <c r="D1061" s="12">
        <v>1997</v>
      </c>
    </row>
    <row r="1062" spans="1:4" ht="19.899999999999999" customHeight="1">
      <c r="A1062" s="11" t="s">
        <v>23</v>
      </c>
      <c r="B1062" s="12" t="s">
        <v>35</v>
      </c>
      <c r="C1062" s="12"/>
      <c r="D1062" s="12">
        <v>1997</v>
      </c>
    </row>
    <row r="1063" spans="1:4" ht="19.899999999999999" customHeight="1">
      <c r="A1063" s="11" t="s">
        <v>24</v>
      </c>
      <c r="B1063" s="12" t="s">
        <v>35</v>
      </c>
      <c r="C1063" s="12"/>
      <c r="D1063" s="12">
        <v>1997</v>
      </c>
    </row>
    <row r="1064" spans="1:4" ht="19.899999999999999" customHeight="1">
      <c r="A1064" s="11" t="s">
        <v>25</v>
      </c>
      <c r="B1064" s="12" t="s">
        <v>35</v>
      </c>
      <c r="C1064" s="12"/>
      <c r="D1064" s="12">
        <v>1997</v>
      </c>
    </row>
    <row r="1065" spans="1:4" ht="19.899999999999999" customHeight="1">
      <c r="A1065" s="11" t="s">
        <v>26</v>
      </c>
      <c r="B1065" s="12" t="s">
        <v>35</v>
      </c>
      <c r="C1065" s="12">
        <v>50.906990051269503</v>
      </c>
      <c r="D1065" s="12">
        <v>1997</v>
      </c>
    </row>
    <row r="1066" spans="1:4" ht="19.899999999999999" customHeight="1">
      <c r="A1066" s="11" t="s">
        <v>27</v>
      </c>
      <c r="B1066" s="12" t="s">
        <v>35</v>
      </c>
      <c r="C1066" s="12"/>
      <c r="D1066" s="12">
        <v>1997</v>
      </c>
    </row>
    <row r="1067" spans="1:4" ht="19.899999999999999" customHeight="1">
      <c r="A1067" s="11" t="s">
        <v>28</v>
      </c>
      <c r="B1067" s="12" t="s">
        <v>35</v>
      </c>
      <c r="C1067" s="12"/>
      <c r="D1067" s="12">
        <v>1997</v>
      </c>
    </row>
    <row r="1068" spans="1:4" ht="19.899999999999999" customHeight="1">
      <c r="A1068" s="11" t="s">
        <v>29</v>
      </c>
      <c r="B1068" s="12" t="s">
        <v>35</v>
      </c>
      <c r="C1068" s="12"/>
      <c r="D1068" s="12">
        <v>1997</v>
      </c>
    </row>
    <row r="1069" spans="1:4" ht="19.899999999999999" customHeight="1">
      <c r="A1069" s="11" t="s">
        <v>4</v>
      </c>
      <c r="B1069" s="12" t="s">
        <v>35</v>
      </c>
      <c r="C1069" s="12"/>
      <c r="D1069" s="12">
        <v>1998</v>
      </c>
    </row>
    <row r="1070" spans="1:4" ht="19.899999999999999" customHeight="1">
      <c r="A1070" s="11" t="s">
        <v>5</v>
      </c>
      <c r="B1070" s="12" t="s">
        <v>35</v>
      </c>
      <c r="C1070" s="12"/>
      <c r="D1070" s="12">
        <v>1998</v>
      </c>
    </row>
    <row r="1071" spans="1:4" ht="19.899999999999999" customHeight="1">
      <c r="A1071" s="11" t="s">
        <v>6</v>
      </c>
      <c r="B1071" s="12" t="s">
        <v>35</v>
      </c>
      <c r="C1071" s="12">
        <v>52.109439849853501</v>
      </c>
      <c r="D1071" s="12">
        <v>1998</v>
      </c>
    </row>
    <row r="1072" spans="1:4" ht="19.899999999999999" customHeight="1">
      <c r="A1072" s="11" t="s">
        <v>7</v>
      </c>
      <c r="B1072" s="12" t="s">
        <v>35</v>
      </c>
      <c r="C1072" s="12"/>
      <c r="D1072" s="12">
        <v>1998</v>
      </c>
    </row>
    <row r="1073" spans="1:4" ht="19.899999999999999" customHeight="1">
      <c r="A1073" s="11" t="s">
        <v>8</v>
      </c>
      <c r="B1073" s="12" t="s">
        <v>35</v>
      </c>
      <c r="C1073" s="12"/>
      <c r="D1073" s="12">
        <v>1998</v>
      </c>
    </row>
    <row r="1074" spans="1:4" ht="19.899999999999999" customHeight="1">
      <c r="A1074" s="11" t="s">
        <v>1</v>
      </c>
      <c r="B1074" s="12" t="s">
        <v>35</v>
      </c>
      <c r="C1074" s="12">
        <v>66.499549865722699</v>
      </c>
      <c r="D1074" s="12">
        <v>1998</v>
      </c>
    </row>
    <row r="1075" spans="1:4" ht="19.899999999999999" customHeight="1">
      <c r="A1075" s="11" t="s">
        <v>9</v>
      </c>
      <c r="B1075" s="12" t="s">
        <v>35</v>
      </c>
      <c r="C1075" s="12">
        <v>60.631038665771499</v>
      </c>
      <c r="D1075" s="12">
        <v>1998</v>
      </c>
    </row>
    <row r="1076" spans="1:4" ht="19.899999999999999" customHeight="1">
      <c r="A1076" s="11" t="s">
        <v>10</v>
      </c>
      <c r="B1076" s="12" t="s">
        <v>35</v>
      </c>
      <c r="C1076" s="12"/>
      <c r="D1076" s="12">
        <v>1998</v>
      </c>
    </row>
    <row r="1077" spans="1:4" ht="19.899999999999999" customHeight="1">
      <c r="A1077" s="11" t="s">
        <v>11</v>
      </c>
      <c r="B1077" s="12" t="s">
        <v>35</v>
      </c>
      <c r="C1077" s="12"/>
      <c r="D1077" s="12">
        <v>1998</v>
      </c>
    </row>
    <row r="1078" spans="1:4" ht="19.899999999999999" customHeight="1">
      <c r="A1078" s="11" t="s">
        <v>38</v>
      </c>
      <c r="B1078" s="12" t="s">
        <v>35</v>
      </c>
      <c r="C1078" s="12"/>
      <c r="D1078" s="12">
        <v>1998</v>
      </c>
    </row>
    <row r="1079" spans="1:4" ht="19.899999999999999" customHeight="1">
      <c r="A1079" s="11" t="s">
        <v>12</v>
      </c>
      <c r="B1079" s="12" t="s">
        <v>35</v>
      </c>
      <c r="C1079" s="12"/>
      <c r="D1079" s="12">
        <v>1998</v>
      </c>
    </row>
    <row r="1080" spans="1:4" ht="19.899999999999999" customHeight="1">
      <c r="A1080" s="11" t="s">
        <v>13</v>
      </c>
      <c r="B1080" s="12" t="s">
        <v>35</v>
      </c>
      <c r="C1080" s="12"/>
      <c r="D1080" s="12">
        <v>1998</v>
      </c>
    </row>
    <row r="1081" spans="1:4" ht="19.899999999999999" customHeight="1">
      <c r="A1081" s="11" t="s">
        <v>14</v>
      </c>
      <c r="B1081" s="12" t="s">
        <v>35</v>
      </c>
      <c r="C1081" s="12"/>
      <c r="D1081" s="12">
        <v>1998</v>
      </c>
    </row>
    <row r="1082" spans="1:4" ht="19.899999999999999" customHeight="1">
      <c r="A1082" s="11" t="s">
        <v>15</v>
      </c>
      <c r="B1082" s="12" t="s">
        <v>35</v>
      </c>
      <c r="C1082" s="12"/>
      <c r="D1082" s="12">
        <v>1998</v>
      </c>
    </row>
    <row r="1083" spans="1:4" ht="19.899999999999999" customHeight="1">
      <c r="A1083" s="11" t="s">
        <v>16</v>
      </c>
      <c r="B1083" s="12" t="s">
        <v>35</v>
      </c>
      <c r="C1083" s="12"/>
      <c r="D1083" s="12">
        <v>1998</v>
      </c>
    </row>
    <row r="1084" spans="1:4" ht="19.899999999999999" customHeight="1">
      <c r="A1084" s="11" t="s">
        <v>17</v>
      </c>
      <c r="B1084" s="12" t="s">
        <v>35</v>
      </c>
      <c r="C1084" s="12">
        <v>51.415740966796903</v>
      </c>
      <c r="D1084" s="12">
        <v>1998</v>
      </c>
    </row>
    <row r="1085" spans="1:4" ht="19.899999999999999" customHeight="1">
      <c r="A1085" s="11" t="s">
        <v>18</v>
      </c>
      <c r="B1085" s="12" t="s">
        <v>35</v>
      </c>
      <c r="C1085" s="12"/>
      <c r="D1085" s="12">
        <v>1998</v>
      </c>
    </row>
    <row r="1086" spans="1:4" ht="19.899999999999999" customHeight="1">
      <c r="A1086" s="11" t="s">
        <v>19</v>
      </c>
      <c r="B1086" s="12" t="s">
        <v>35</v>
      </c>
      <c r="C1086" s="12"/>
      <c r="D1086" s="12">
        <v>1998</v>
      </c>
    </row>
    <row r="1087" spans="1:4" ht="19.899999999999999" customHeight="1">
      <c r="A1087" s="11" t="s">
        <v>20</v>
      </c>
      <c r="B1087" s="12" t="s">
        <v>35</v>
      </c>
      <c r="C1087" s="12"/>
      <c r="D1087" s="12">
        <v>1998</v>
      </c>
    </row>
    <row r="1088" spans="1:4" ht="19.899999999999999" customHeight="1">
      <c r="A1088" s="11" t="s">
        <v>21</v>
      </c>
      <c r="B1088" s="12" t="s">
        <v>35</v>
      </c>
      <c r="C1088" s="12">
        <v>75.609619140625</v>
      </c>
      <c r="D1088" s="12">
        <v>1998</v>
      </c>
    </row>
    <row r="1089" spans="1:4" ht="19.899999999999999" customHeight="1">
      <c r="A1089" s="11" t="s">
        <v>22</v>
      </c>
      <c r="B1089" s="12" t="s">
        <v>35</v>
      </c>
      <c r="C1089" s="12"/>
      <c r="D1089" s="12">
        <v>1998</v>
      </c>
    </row>
    <row r="1090" spans="1:4" ht="19.899999999999999" customHeight="1">
      <c r="A1090" s="11" t="s">
        <v>23</v>
      </c>
      <c r="B1090" s="12" t="s">
        <v>35</v>
      </c>
      <c r="C1090" s="12"/>
      <c r="D1090" s="12">
        <v>1998</v>
      </c>
    </row>
    <row r="1091" spans="1:4" ht="19.899999999999999" customHeight="1">
      <c r="A1091" s="11" t="s">
        <v>24</v>
      </c>
      <c r="B1091" s="12" t="s">
        <v>35</v>
      </c>
      <c r="C1091" s="12"/>
      <c r="D1091" s="12">
        <v>1998</v>
      </c>
    </row>
    <row r="1092" spans="1:4" ht="19.899999999999999" customHeight="1">
      <c r="A1092" s="11" t="s">
        <v>25</v>
      </c>
      <c r="B1092" s="12" t="s">
        <v>35</v>
      </c>
      <c r="C1092" s="12"/>
      <c r="D1092" s="12">
        <v>1998</v>
      </c>
    </row>
    <row r="1093" spans="1:4" ht="19.899999999999999" customHeight="1">
      <c r="A1093" s="11" t="s">
        <v>26</v>
      </c>
      <c r="B1093" s="12" t="s">
        <v>35</v>
      </c>
      <c r="C1093" s="12">
        <v>51.429401397705099</v>
      </c>
      <c r="D1093" s="12">
        <v>1998</v>
      </c>
    </row>
    <row r="1094" spans="1:4" ht="19.899999999999999" customHeight="1">
      <c r="A1094" s="11" t="s">
        <v>27</v>
      </c>
      <c r="B1094" s="12" t="s">
        <v>35</v>
      </c>
      <c r="C1094" s="12"/>
      <c r="D1094" s="12">
        <v>1998</v>
      </c>
    </row>
    <row r="1095" spans="1:4" ht="19.899999999999999" customHeight="1">
      <c r="A1095" s="11" t="s">
        <v>28</v>
      </c>
      <c r="B1095" s="12" t="s">
        <v>35</v>
      </c>
      <c r="C1095" s="12">
        <v>31.653469085693398</v>
      </c>
      <c r="D1095" s="12">
        <v>1998</v>
      </c>
    </row>
    <row r="1096" spans="1:4" ht="19.899999999999999" customHeight="1">
      <c r="A1096" s="11" t="s">
        <v>29</v>
      </c>
      <c r="B1096" s="12" t="s">
        <v>35</v>
      </c>
      <c r="C1096" s="12">
        <v>15.9026899337769</v>
      </c>
      <c r="D1096" s="12">
        <v>1998</v>
      </c>
    </row>
    <row r="1097" spans="1:4" ht="19.899999999999999" customHeight="1">
      <c r="A1097" s="11" t="s">
        <v>4</v>
      </c>
      <c r="B1097" s="12" t="s">
        <v>35</v>
      </c>
      <c r="C1097" s="12"/>
      <c r="D1097" s="12">
        <v>1999</v>
      </c>
    </row>
    <row r="1098" spans="1:4" ht="19.899999999999999" customHeight="1">
      <c r="A1098" s="11" t="s">
        <v>5</v>
      </c>
      <c r="B1098" s="12" t="s">
        <v>35</v>
      </c>
      <c r="C1098" s="12"/>
      <c r="D1098" s="12">
        <v>1999</v>
      </c>
    </row>
    <row r="1099" spans="1:4" ht="19.899999999999999" customHeight="1">
      <c r="A1099" s="11" t="s">
        <v>6</v>
      </c>
      <c r="B1099" s="12" t="s">
        <v>35</v>
      </c>
      <c r="C1099" s="12">
        <v>50.200038909912102</v>
      </c>
      <c r="D1099" s="12">
        <v>1999</v>
      </c>
    </row>
    <row r="1100" spans="1:4" ht="19.899999999999999" customHeight="1">
      <c r="A1100" s="11" t="s">
        <v>7</v>
      </c>
      <c r="B1100" s="12" t="s">
        <v>35</v>
      </c>
      <c r="C1100" s="12">
        <v>39.206039428710902</v>
      </c>
      <c r="D1100" s="12">
        <v>1999</v>
      </c>
    </row>
    <row r="1101" spans="1:4" ht="19.899999999999999" customHeight="1">
      <c r="A1101" s="11" t="s">
        <v>8</v>
      </c>
      <c r="B1101" s="12" t="s">
        <v>35</v>
      </c>
      <c r="C1101" s="12">
        <v>73.140609741210895</v>
      </c>
      <c r="D1101" s="12">
        <v>1999</v>
      </c>
    </row>
    <row r="1102" spans="1:4" ht="19.899999999999999" customHeight="1">
      <c r="A1102" s="11" t="s">
        <v>1</v>
      </c>
      <c r="B1102" s="12" t="s">
        <v>35</v>
      </c>
      <c r="C1102" s="12">
        <v>64.007720947265597</v>
      </c>
      <c r="D1102" s="12">
        <v>1999</v>
      </c>
    </row>
    <row r="1103" spans="1:4" ht="19.899999999999999" customHeight="1">
      <c r="A1103" s="11" t="s">
        <v>9</v>
      </c>
      <c r="B1103" s="12" t="s">
        <v>35</v>
      </c>
      <c r="C1103" s="12">
        <v>58.165779113769503</v>
      </c>
      <c r="D1103" s="12">
        <v>1999</v>
      </c>
    </row>
    <row r="1104" spans="1:4" ht="19.899999999999999" customHeight="1">
      <c r="A1104" s="11" t="s">
        <v>10</v>
      </c>
      <c r="B1104" s="12" t="s">
        <v>35</v>
      </c>
      <c r="C1104" s="12"/>
      <c r="D1104" s="12">
        <v>1999</v>
      </c>
    </row>
    <row r="1105" spans="1:4" ht="19.899999999999999" customHeight="1">
      <c r="A1105" s="11" t="s">
        <v>11</v>
      </c>
      <c r="B1105" s="12" t="s">
        <v>35</v>
      </c>
      <c r="C1105" s="12">
        <v>37.345001220703097</v>
      </c>
      <c r="D1105" s="12">
        <v>1999</v>
      </c>
    </row>
    <row r="1106" spans="1:4" ht="19.899999999999999" customHeight="1">
      <c r="A1106" s="11" t="s">
        <v>38</v>
      </c>
      <c r="B1106" s="12" t="s">
        <v>35</v>
      </c>
      <c r="C1106" s="12"/>
      <c r="D1106" s="12">
        <v>1999</v>
      </c>
    </row>
    <row r="1107" spans="1:4" ht="19.899999999999999" customHeight="1">
      <c r="A1107" s="11" t="s">
        <v>12</v>
      </c>
      <c r="B1107" s="12" t="s">
        <v>35</v>
      </c>
      <c r="C1107" s="12">
        <v>53.237331390380902</v>
      </c>
      <c r="D1107" s="12">
        <v>1999</v>
      </c>
    </row>
    <row r="1108" spans="1:4" ht="19.899999999999999" customHeight="1">
      <c r="A1108" s="11" t="s">
        <v>13</v>
      </c>
      <c r="B1108" s="12" t="s">
        <v>35</v>
      </c>
      <c r="C1108" s="12">
        <v>35.077560424804702</v>
      </c>
      <c r="D1108" s="12">
        <v>1999</v>
      </c>
    </row>
    <row r="1109" spans="1:4" ht="19.899999999999999" customHeight="1">
      <c r="A1109" s="11" t="s">
        <v>14</v>
      </c>
      <c r="B1109" s="12" t="s">
        <v>35</v>
      </c>
      <c r="C1109" s="12">
        <v>4.5210299491882298</v>
      </c>
      <c r="D1109" s="12">
        <v>1999</v>
      </c>
    </row>
    <row r="1110" spans="1:4" ht="19.899999999999999" customHeight="1">
      <c r="A1110" s="11" t="s">
        <v>15</v>
      </c>
      <c r="B1110" s="12" t="s">
        <v>35</v>
      </c>
      <c r="C1110" s="12">
        <v>56.035129547119098</v>
      </c>
      <c r="D1110" s="12">
        <v>1999</v>
      </c>
    </row>
    <row r="1111" spans="1:4" ht="19.899999999999999" customHeight="1">
      <c r="A1111" s="11" t="s">
        <v>16</v>
      </c>
      <c r="B1111" s="12" t="s">
        <v>35</v>
      </c>
      <c r="C1111" s="12"/>
      <c r="D1111" s="12">
        <v>1999</v>
      </c>
    </row>
    <row r="1112" spans="1:4" ht="19.899999999999999" customHeight="1">
      <c r="A1112" s="11" t="s">
        <v>17</v>
      </c>
      <c r="B1112" s="12" t="s">
        <v>35</v>
      </c>
      <c r="C1112" s="12">
        <v>47.957569122314503</v>
      </c>
      <c r="D1112" s="12">
        <v>1999</v>
      </c>
    </row>
    <row r="1113" spans="1:4" ht="19.899999999999999" customHeight="1">
      <c r="A1113" s="11" t="s">
        <v>18</v>
      </c>
      <c r="B1113" s="12" t="s">
        <v>35</v>
      </c>
      <c r="C1113" s="12"/>
      <c r="D1113" s="12">
        <v>1999</v>
      </c>
    </row>
    <row r="1114" spans="1:4" ht="19.899999999999999" customHeight="1">
      <c r="A1114" s="11" t="s">
        <v>19</v>
      </c>
      <c r="B1114" s="12" t="s">
        <v>35</v>
      </c>
      <c r="C1114" s="12">
        <v>33.607231140136697</v>
      </c>
      <c r="D1114" s="12">
        <v>1999</v>
      </c>
    </row>
    <row r="1115" spans="1:4" ht="19.899999999999999" customHeight="1">
      <c r="A1115" s="11" t="s">
        <v>20</v>
      </c>
      <c r="B1115" s="12" t="s">
        <v>35</v>
      </c>
      <c r="C1115" s="12">
        <v>17.341089248657202</v>
      </c>
      <c r="D1115" s="12">
        <v>1999</v>
      </c>
    </row>
    <row r="1116" spans="1:4" ht="19.899999999999999" customHeight="1">
      <c r="A1116" s="11" t="s">
        <v>21</v>
      </c>
      <c r="B1116" s="12" t="s">
        <v>35</v>
      </c>
      <c r="C1116" s="12">
        <v>73.876441955566406</v>
      </c>
      <c r="D1116" s="12">
        <v>1999</v>
      </c>
    </row>
    <row r="1117" spans="1:4" ht="19.899999999999999" customHeight="1">
      <c r="A1117" s="11" t="s">
        <v>22</v>
      </c>
      <c r="B1117" s="12" t="s">
        <v>35</v>
      </c>
      <c r="C1117" s="12">
        <v>19.062320709228501</v>
      </c>
      <c r="D1117" s="12">
        <v>1999</v>
      </c>
    </row>
    <row r="1118" spans="1:4" ht="19.899999999999999" customHeight="1">
      <c r="A1118" s="11" t="s">
        <v>23</v>
      </c>
      <c r="B1118" s="12" t="s">
        <v>35</v>
      </c>
      <c r="C1118" s="12">
        <v>18.595270156860401</v>
      </c>
      <c r="D1118" s="12">
        <v>1999</v>
      </c>
    </row>
    <row r="1119" spans="1:4" ht="19.899999999999999" customHeight="1">
      <c r="A1119" s="11" t="s">
        <v>24</v>
      </c>
      <c r="B1119" s="12" t="s">
        <v>35</v>
      </c>
      <c r="C1119" s="12"/>
      <c r="D1119" s="12">
        <v>1999</v>
      </c>
    </row>
    <row r="1120" spans="1:4" ht="19.899999999999999" customHeight="1">
      <c r="A1120" s="11" t="s">
        <v>25</v>
      </c>
      <c r="B1120" s="12" t="s">
        <v>35</v>
      </c>
      <c r="C1120" s="12"/>
      <c r="D1120" s="12">
        <v>1999</v>
      </c>
    </row>
    <row r="1121" spans="1:4" ht="19.899999999999999" customHeight="1">
      <c r="A1121" s="11" t="s">
        <v>26</v>
      </c>
      <c r="B1121" s="12" t="s">
        <v>35</v>
      </c>
      <c r="C1121" s="12">
        <v>51.0243110656738</v>
      </c>
      <c r="D1121" s="12">
        <v>1999</v>
      </c>
    </row>
    <row r="1122" spans="1:4" ht="19.899999999999999" customHeight="1">
      <c r="A1122" s="11" t="s">
        <v>27</v>
      </c>
      <c r="B1122" s="12" t="s">
        <v>35</v>
      </c>
      <c r="C1122" s="12"/>
      <c r="D1122" s="12">
        <v>1999</v>
      </c>
    </row>
    <row r="1123" spans="1:4" ht="19.899999999999999" customHeight="1">
      <c r="A1123" s="11" t="s">
        <v>28</v>
      </c>
      <c r="B1123" s="12" t="s">
        <v>35</v>
      </c>
      <c r="C1123" s="12">
        <v>33.147121429443402</v>
      </c>
      <c r="D1123" s="12">
        <v>1999</v>
      </c>
    </row>
    <row r="1124" spans="1:4" ht="19.899999999999999" customHeight="1">
      <c r="A1124" s="11" t="s">
        <v>29</v>
      </c>
      <c r="B1124" s="12" t="s">
        <v>35</v>
      </c>
      <c r="C1124" s="12">
        <v>13.7190599441528</v>
      </c>
      <c r="D1124" s="12">
        <v>1999</v>
      </c>
    </row>
    <row r="1125" spans="1:4" ht="19.899999999999999" customHeight="1">
      <c r="A1125" s="11" t="s">
        <v>4</v>
      </c>
      <c r="B1125" s="12" t="s">
        <v>35</v>
      </c>
      <c r="C1125" s="12">
        <v>57.698318481445298</v>
      </c>
      <c r="D1125" s="12">
        <v>2000</v>
      </c>
    </row>
    <row r="1126" spans="1:4" ht="19.899999999999999" customHeight="1">
      <c r="A1126" s="11" t="s">
        <v>5</v>
      </c>
      <c r="B1126" s="12" t="s">
        <v>35</v>
      </c>
      <c r="C1126" s="12"/>
      <c r="D1126" s="12">
        <v>2000</v>
      </c>
    </row>
    <row r="1127" spans="1:4" ht="19.899999999999999" customHeight="1">
      <c r="A1127" s="11" t="s">
        <v>6</v>
      </c>
      <c r="B1127" s="12" t="s">
        <v>35</v>
      </c>
      <c r="C1127" s="12">
        <v>48.530559539794901</v>
      </c>
      <c r="D1127" s="12">
        <v>2000</v>
      </c>
    </row>
    <row r="1128" spans="1:4" ht="19.899999999999999" customHeight="1">
      <c r="A1128" s="11" t="s">
        <v>7</v>
      </c>
      <c r="B1128" s="12" t="s">
        <v>35</v>
      </c>
      <c r="C1128" s="12">
        <v>32.5052680969238</v>
      </c>
      <c r="D1128" s="12">
        <v>2000</v>
      </c>
    </row>
    <row r="1129" spans="1:4" ht="19.899999999999999" customHeight="1">
      <c r="A1129" s="11" t="s">
        <v>8</v>
      </c>
      <c r="B1129" s="12" t="s">
        <v>35</v>
      </c>
      <c r="C1129" s="12">
        <v>72.966667175292997</v>
      </c>
      <c r="D1129" s="12">
        <v>2000</v>
      </c>
    </row>
    <row r="1130" spans="1:4" ht="19.899999999999999" customHeight="1">
      <c r="A1130" s="11" t="s">
        <v>1</v>
      </c>
      <c r="B1130" s="12" t="s">
        <v>35</v>
      </c>
      <c r="C1130" s="12">
        <v>59.9315795898438</v>
      </c>
      <c r="D1130" s="12">
        <v>2000</v>
      </c>
    </row>
    <row r="1131" spans="1:4" ht="19.899999999999999" customHeight="1">
      <c r="A1131" s="11" t="s">
        <v>9</v>
      </c>
      <c r="B1131" s="12" t="s">
        <v>35</v>
      </c>
      <c r="C1131" s="12">
        <v>55.057781219482401</v>
      </c>
      <c r="D1131" s="12">
        <v>2000</v>
      </c>
    </row>
    <row r="1132" spans="1:4" ht="19.899999999999999" customHeight="1">
      <c r="A1132" s="11" t="s">
        <v>10</v>
      </c>
      <c r="B1132" s="12" t="s">
        <v>35</v>
      </c>
      <c r="C1132" s="12"/>
      <c r="D1132" s="12">
        <v>2000</v>
      </c>
    </row>
    <row r="1133" spans="1:4" ht="19.899999999999999" customHeight="1">
      <c r="A1133" s="11" t="s">
        <v>11</v>
      </c>
      <c r="B1133" s="12" t="s">
        <v>35</v>
      </c>
      <c r="C1133" s="12">
        <v>34.523269653320298</v>
      </c>
      <c r="D1133" s="12">
        <v>2000</v>
      </c>
    </row>
    <row r="1134" spans="1:4" ht="19.899999999999999" customHeight="1">
      <c r="A1134" s="11" t="s">
        <v>38</v>
      </c>
      <c r="B1134" s="12" t="s">
        <v>35</v>
      </c>
      <c r="C1134" s="12"/>
      <c r="D1134" s="12">
        <v>2000</v>
      </c>
    </row>
    <row r="1135" spans="1:4" ht="19.899999999999999" customHeight="1">
      <c r="A1135" s="11" t="s">
        <v>12</v>
      </c>
      <c r="B1135" s="12" t="s">
        <v>35</v>
      </c>
      <c r="C1135" s="12"/>
      <c r="D1135" s="12">
        <v>2000</v>
      </c>
    </row>
    <row r="1136" spans="1:4" ht="19.899999999999999" customHeight="1">
      <c r="A1136" s="11" t="s">
        <v>13</v>
      </c>
      <c r="B1136" s="12" t="s">
        <v>35</v>
      </c>
      <c r="C1136" s="12">
        <v>33.608871459960902</v>
      </c>
      <c r="D1136" s="12">
        <v>2000</v>
      </c>
    </row>
    <row r="1137" spans="1:4" ht="19.899999999999999" customHeight="1">
      <c r="A1137" s="11" t="s">
        <v>14</v>
      </c>
      <c r="B1137" s="12" t="s">
        <v>35</v>
      </c>
      <c r="C1137" s="12"/>
      <c r="D1137" s="12">
        <v>2000</v>
      </c>
    </row>
    <row r="1138" spans="1:4" ht="19.899999999999999" customHeight="1">
      <c r="A1138" s="11" t="s">
        <v>15</v>
      </c>
      <c r="B1138" s="12" t="s">
        <v>35</v>
      </c>
      <c r="C1138" s="12"/>
      <c r="D1138" s="12">
        <v>2000</v>
      </c>
    </row>
    <row r="1139" spans="1:4" ht="19.899999999999999" customHeight="1">
      <c r="A1139" s="11" t="s">
        <v>16</v>
      </c>
      <c r="B1139" s="12" t="s">
        <v>35</v>
      </c>
      <c r="C1139" s="12">
        <v>7.4392600059509304</v>
      </c>
      <c r="D1139" s="12">
        <v>2000</v>
      </c>
    </row>
    <row r="1140" spans="1:4" ht="19.899999999999999" customHeight="1">
      <c r="A1140" s="11" t="s">
        <v>17</v>
      </c>
      <c r="B1140" s="12" t="s">
        <v>35</v>
      </c>
      <c r="C1140" s="12">
        <v>44.403099060058601</v>
      </c>
      <c r="D1140" s="12">
        <v>2000</v>
      </c>
    </row>
    <row r="1141" spans="1:4" ht="19.899999999999999" customHeight="1">
      <c r="A1141" s="11" t="s">
        <v>18</v>
      </c>
      <c r="B1141" s="12" t="s">
        <v>35</v>
      </c>
      <c r="C1141" s="12">
        <v>7.80748987197875</v>
      </c>
      <c r="D1141" s="12">
        <v>2000</v>
      </c>
    </row>
    <row r="1142" spans="1:4" ht="19.899999999999999" customHeight="1">
      <c r="A1142" s="11" t="s">
        <v>19</v>
      </c>
      <c r="B1142" s="12" t="s">
        <v>35</v>
      </c>
      <c r="C1142" s="12">
        <v>27.319429397583001</v>
      </c>
      <c r="D1142" s="12">
        <v>2000</v>
      </c>
    </row>
    <row r="1143" spans="1:4" ht="19.899999999999999" customHeight="1">
      <c r="A1143" s="11" t="s">
        <v>20</v>
      </c>
      <c r="B1143" s="12" t="s">
        <v>35</v>
      </c>
      <c r="C1143" s="12">
        <v>14.0674600601196</v>
      </c>
      <c r="D1143" s="12">
        <v>2000</v>
      </c>
    </row>
    <row r="1144" spans="1:4" ht="19.899999999999999" customHeight="1">
      <c r="A1144" s="11" t="s">
        <v>21</v>
      </c>
      <c r="B1144" s="12" t="s">
        <v>35</v>
      </c>
      <c r="C1144" s="12">
        <v>73.133239746093807</v>
      </c>
      <c r="D1144" s="12">
        <v>2000</v>
      </c>
    </row>
    <row r="1145" spans="1:4" ht="19.899999999999999" customHeight="1">
      <c r="A1145" s="11" t="s">
        <v>22</v>
      </c>
      <c r="B1145" s="12" t="s">
        <v>35</v>
      </c>
      <c r="C1145" s="12"/>
      <c r="D1145" s="12">
        <v>2000</v>
      </c>
    </row>
    <row r="1146" spans="1:4" ht="19.899999999999999" customHeight="1">
      <c r="A1146" s="11" t="s">
        <v>23</v>
      </c>
      <c r="B1146" s="12" t="s">
        <v>35</v>
      </c>
      <c r="C1146" s="12"/>
      <c r="D1146" s="12">
        <v>2000</v>
      </c>
    </row>
    <row r="1147" spans="1:4" ht="19.899999999999999" customHeight="1">
      <c r="A1147" s="11" t="s">
        <v>24</v>
      </c>
      <c r="B1147" s="12" t="s">
        <v>35</v>
      </c>
      <c r="C1147" s="12"/>
      <c r="D1147" s="12">
        <v>2000</v>
      </c>
    </row>
    <row r="1148" spans="1:4" ht="19.899999999999999" customHeight="1">
      <c r="A1148" s="11" t="s">
        <v>25</v>
      </c>
      <c r="B1148" s="12" t="s">
        <v>35</v>
      </c>
      <c r="C1148" s="12">
        <v>4.3193202018737802</v>
      </c>
      <c r="D1148" s="12">
        <v>2000</v>
      </c>
    </row>
    <row r="1149" spans="1:4" ht="19.899999999999999" customHeight="1">
      <c r="A1149" s="11" t="s">
        <v>26</v>
      </c>
      <c r="B1149" s="12" t="s">
        <v>35</v>
      </c>
      <c r="C1149" s="12">
        <v>47.498111724853501</v>
      </c>
      <c r="D1149" s="12">
        <v>2000</v>
      </c>
    </row>
    <row r="1150" spans="1:4" ht="19.899999999999999" customHeight="1">
      <c r="A1150" s="11" t="s">
        <v>27</v>
      </c>
      <c r="B1150" s="12" t="s">
        <v>35</v>
      </c>
      <c r="C1150" s="12"/>
      <c r="D1150" s="12">
        <v>2000</v>
      </c>
    </row>
    <row r="1151" spans="1:4" ht="19.899999999999999" customHeight="1">
      <c r="A1151" s="11" t="s">
        <v>28</v>
      </c>
      <c r="B1151" s="12" t="s">
        <v>35</v>
      </c>
      <c r="C1151" s="12">
        <v>33.359779357910199</v>
      </c>
      <c r="D1151" s="12">
        <v>2000</v>
      </c>
    </row>
    <row r="1152" spans="1:4" ht="19.899999999999999" customHeight="1">
      <c r="A1152" s="11" t="s">
        <v>29</v>
      </c>
      <c r="B1152" s="12" t="s">
        <v>35</v>
      </c>
      <c r="C1152" s="12">
        <v>12.972049713134799</v>
      </c>
      <c r="D1152" s="12">
        <v>2000</v>
      </c>
    </row>
    <row r="1153" spans="1:4" ht="19.899999999999999" customHeight="1">
      <c r="A1153" s="11" t="s">
        <v>4</v>
      </c>
      <c r="B1153" s="12" t="s">
        <v>35</v>
      </c>
      <c r="C1153" s="12">
        <v>48.765731811523402</v>
      </c>
      <c r="D1153" s="12">
        <v>2001</v>
      </c>
    </row>
    <row r="1154" spans="1:4" ht="19.899999999999999" customHeight="1">
      <c r="A1154" s="11" t="s">
        <v>5</v>
      </c>
      <c r="B1154" s="12" t="s">
        <v>35</v>
      </c>
      <c r="C1154" s="12"/>
      <c r="D1154" s="12">
        <v>2001</v>
      </c>
    </row>
    <row r="1155" spans="1:4" ht="19.899999999999999" customHeight="1">
      <c r="A1155" s="11" t="s">
        <v>6</v>
      </c>
      <c r="B1155" s="12" t="s">
        <v>35</v>
      </c>
      <c r="C1155" s="12">
        <v>47.320880889892599</v>
      </c>
      <c r="D1155" s="12">
        <v>2001</v>
      </c>
    </row>
    <row r="1156" spans="1:4" ht="19.899999999999999" customHeight="1">
      <c r="A1156" s="11" t="s">
        <v>7</v>
      </c>
      <c r="B1156" s="12" t="s">
        <v>35</v>
      </c>
      <c r="C1156" s="12"/>
      <c r="D1156" s="12">
        <v>2001</v>
      </c>
    </row>
    <row r="1157" spans="1:4" ht="19.899999999999999" customHeight="1">
      <c r="A1157" s="11" t="s">
        <v>8</v>
      </c>
      <c r="B1157" s="12" t="s">
        <v>35</v>
      </c>
      <c r="C1157" s="12">
        <v>70.286453247070298</v>
      </c>
      <c r="D1157" s="12">
        <v>2001</v>
      </c>
    </row>
    <row r="1158" spans="1:4" ht="19.899999999999999" customHeight="1">
      <c r="A1158" s="11" t="s">
        <v>1</v>
      </c>
      <c r="B1158" s="12" t="s">
        <v>35</v>
      </c>
      <c r="C1158" s="12">
        <v>55.669109344482401</v>
      </c>
      <c r="D1158" s="12">
        <v>2001</v>
      </c>
    </row>
    <row r="1159" spans="1:4" ht="19.899999999999999" customHeight="1">
      <c r="A1159" s="11" t="s">
        <v>9</v>
      </c>
      <c r="B1159" s="12" t="s">
        <v>35</v>
      </c>
      <c r="C1159" s="12">
        <v>51.607719421386697</v>
      </c>
      <c r="D1159" s="12">
        <v>2001</v>
      </c>
    </row>
    <row r="1160" spans="1:4" ht="19.899999999999999" customHeight="1">
      <c r="A1160" s="11" t="s">
        <v>10</v>
      </c>
      <c r="B1160" s="12" t="s">
        <v>35</v>
      </c>
      <c r="C1160" s="12"/>
      <c r="D1160" s="12">
        <v>2001</v>
      </c>
    </row>
    <row r="1161" spans="1:4" ht="19.899999999999999" customHeight="1">
      <c r="A1161" s="11" t="s">
        <v>11</v>
      </c>
      <c r="B1161" s="12" t="s">
        <v>35</v>
      </c>
      <c r="C1161" s="12">
        <v>33.348579406738303</v>
      </c>
      <c r="D1161" s="12">
        <v>2001</v>
      </c>
    </row>
    <row r="1162" spans="1:4" ht="19.899999999999999" customHeight="1">
      <c r="A1162" s="11" t="s">
        <v>38</v>
      </c>
      <c r="B1162" s="12" t="s">
        <v>35</v>
      </c>
      <c r="C1162" s="12"/>
      <c r="D1162" s="12">
        <v>2001</v>
      </c>
    </row>
    <row r="1163" spans="1:4" ht="19.899999999999999" customHeight="1">
      <c r="A1163" s="11" t="s">
        <v>12</v>
      </c>
      <c r="B1163" s="12" t="s">
        <v>35</v>
      </c>
      <c r="C1163" s="12"/>
      <c r="D1163" s="12">
        <v>2001</v>
      </c>
    </row>
    <row r="1164" spans="1:4" ht="19.899999999999999" customHeight="1">
      <c r="A1164" s="11" t="s">
        <v>13</v>
      </c>
      <c r="B1164" s="12" t="s">
        <v>35</v>
      </c>
      <c r="C1164" s="12">
        <v>32.344928741455099</v>
      </c>
      <c r="D1164" s="12">
        <v>2001</v>
      </c>
    </row>
    <row r="1165" spans="1:4" ht="19.899999999999999" customHeight="1">
      <c r="A1165" s="11" t="s">
        <v>14</v>
      </c>
      <c r="B1165" s="12" t="s">
        <v>35</v>
      </c>
      <c r="C1165" s="12"/>
      <c r="D1165" s="12">
        <v>2001</v>
      </c>
    </row>
    <row r="1166" spans="1:4" ht="19.899999999999999" customHeight="1">
      <c r="A1166" s="11" t="s">
        <v>15</v>
      </c>
      <c r="B1166" s="12" t="s">
        <v>35</v>
      </c>
      <c r="C1166" s="12"/>
      <c r="D1166" s="12">
        <v>2001</v>
      </c>
    </row>
    <row r="1167" spans="1:4" ht="19.899999999999999" customHeight="1">
      <c r="A1167" s="11" t="s">
        <v>16</v>
      </c>
      <c r="B1167" s="12" t="s">
        <v>35</v>
      </c>
      <c r="C1167" s="12">
        <v>4.4134497642517099</v>
      </c>
      <c r="D1167" s="12">
        <v>2001</v>
      </c>
    </row>
    <row r="1168" spans="1:4" ht="19.899999999999999" customHeight="1">
      <c r="A1168" s="11" t="s">
        <v>17</v>
      </c>
      <c r="B1168" s="12" t="s">
        <v>35</v>
      </c>
      <c r="C1168" s="12">
        <v>40.165569305419901</v>
      </c>
      <c r="D1168" s="12">
        <v>2001</v>
      </c>
    </row>
    <row r="1169" spans="1:4" ht="19.899999999999999" customHeight="1">
      <c r="A1169" s="11" t="s">
        <v>18</v>
      </c>
      <c r="B1169" s="12" t="s">
        <v>35</v>
      </c>
      <c r="C1169" s="12">
        <v>6.5382199287414604</v>
      </c>
      <c r="D1169" s="12">
        <v>2001</v>
      </c>
    </row>
    <row r="1170" spans="1:4" ht="19.899999999999999" customHeight="1">
      <c r="A1170" s="11" t="s">
        <v>19</v>
      </c>
      <c r="B1170" s="12" t="s">
        <v>35</v>
      </c>
      <c r="C1170" s="12"/>
      <c r="D1170" s="12">
        <v>2001</v>
      </c>
    </row>
    <row r="1171" spans="1:4" ht="19.899999999999999" customHeight="1">
      <c r="A1171" s="11" t="s">
        <v>20</v>
      </c>
      <c r="B1171" s="12" t="s">
        <v>35</v>
      </c>
      <c r="C1171" s="12">
        <v>9.8171796798706108</v>
      </c>
      <c r="D1171" s="12">
        <v>2001</v>
      </c>
    </row>
    <row r="1172" spans="1:4" ht="19.899999999999999" customHeight="1">
      <c r="A1172" s="11" t="s">
        <v>21</v>
      </c>
      <c r="B1172" s="12" t="s">
        <v>35</v>
      </c>
      <c r="C1172" s="12">
        <v>69.509712219238295</v>
      </c>
      <c r="D1172" s="12">
        <v>2001</v>
      </c>
    </row>
    <row r="1173" spans="1:4" ht="19.899999999999999" customHeight="1">
      <c r="A1173" s="11" t="s">
        <v>22</v>
      </c>
      <c r="B1173" s="12" t="s">
        <v>35</v>
      </c>
      <c r="C1173" s="12"/>
      <c r="D1173" s="12">
        <v>2001</v>
      </c>
    </row>
    <row r="1174" spans="1:4" ht="19.899999999999999" customHeight="1">
      <c r="A1174" s="11" t="s">
        <v>23</v>
      </c>
      <c r="B1174" s="12" t="s">
        <v>35</v>
      </c>
      <c r="C1174" s="12"/>
      <c r="D1174" s="12">
        <v>2001</v>
      </c>
    </row>
    <row r="1175" spans="1:4" ht="19.899999999999999" customHeight="1">
      <c r="A1175" s="11" t="s">
        <v>24</v>
      </c>
      <c r="B1175" s="12" t="s">
        <v>35</v>
      </c>
      <c r="C1175" s="12">
        <v>0.118830002844334</v>
      </c>
      <c r="D1175" s="12">
        <v>2001</v>
      </c>
    </row>
    <row r="1176" spans="1:4" ht="19.899999999999999" customHeight="1">
      <c r="A1176" s="11" t="s">
        <v>25</v>
      </c>
      <c r="B1176" s="12" t="s">
        <v>35</v>
      </c>
      <c r="C1176" s="12">
        <v>4.8157401084899902</v>
      </c>
      <c r="D1176" s="12">
        <v>2001</v>
      </c>
    </row>
    <row r="1177" spans="1:4" ht="19.899999999999999" customHeight="1">
      <c r="A1177" s="11" t="s">
        <v>26</v>
      </c>
      <c r="B1177" s="12" t="s">
        <v>35</v>
      </c>
      <c r="C1177" s="12">
        <v>42.947921752929702</v>
      </c>
      <c r="D1177" s="12">
        <v>2001</v>
      </c>
    </row>
    <row r="1178" spans="1:4" ht="19.899999999999999" customHeight="1">
      <c r="A1178" s="11" t="s">
        <v>27</v>
      </c>
      <c r="B1178" s="12" t="s">
        <v>35</v>
      </c>
      <c r="C1178" s="12"/>
      <c r="D1178" s="12">
        <v>2001</v>
      </c>
    </row>
    <row r="1179" spans="1:4" ht="19.899999999999999" customHeight="1">
      <c r="A1179" s="11" t="s">
        <v>28</v>
      </c>
      <c r="B1179" s="12" t="s">
        <v>35</v>
      </c>
      <c r="C1179" s="12">
        <v>33.744598388671903</v>
      </c>
      <c r="D1179" s="12">
        <v>2001</v>
      </c>
    </row>
    <row r="1180" spans="1:4" ht="19.899999999999999" customHeight="1">
      <c r="A1180" s="11" t="s">
        <v>29</v>
      </c>
      <c r="B1180" s="12" t="s">
        <v>35</v>
      </c>
      <c r="C1180" s="12">
        <v>10.9549503326416</v>
      </c>
      <c r="D1180" s="12">
        <v>2001</v>
      </c>
    </row>
    <row r="1181" spans="1:4" ht="19.899999999999999" customHeight="1">
      <c r="A1181" s="11" t="s">
        <v>4</v>
      </c>
      <c r="B1181" s="12" t="s">
        <v>35</v>
      </c>
      <c r="C1181" s="12">
        <v>49.418758392333999</v>
      </c>
      <c r="D1181" s="12">
        <v>2002</v>
      </c>
    </row>
    <row r="1182" spans="1:4" ht="19.899999999999999" customHeight="1">
      <c r="A1182" s="11" t="s">
        <v>5</v>
      </c>
      <c r="B1182" s="12" t="s">
        <v>35</v>
      </c>
      <c r="C1182" s="12"/>
      <c r="D1182" s="12">
        <v>2002</v>
      </c>
    </row>
    <row r="1183" spans="1:4" ht="19.899999999999999" customHeight="1">
      <c r="A1183" s="11" t="s">
        <v>6</v>
      </c>
      <c r="B1183" s="12" t="s">
        <v>35</v>
      </c>
      <c r="C1183" s="12">
        <v>43.823219299316399</v>
      </c>
      <c r="D1183" s="12">
        <v>2002</v>
      </c>
    </row>
    <row r="1184" spans="1:4" ht="19.899999999999999" customHeight="1">
      <c r="A1184" s="11" t="s">
        <v>7</v>
      </c>
      <c r="B1184" s="12" t="s">
        <v>35</v>
      </c>
      <c r="C1184" s="12"/>
      <c r="D1184" s="12">
        <v>2002</v>
      </c>
    </row>
    <row r="1185" spans="1:4" ht="19.899999999999999" customHeight="1">
      <c r="A1185" s="11" t="s">
        <v>8</v>
      </c>
      <c r="B1185" s="12" t="s">
        <v>35</v>
      </c>
      <c r="C1185" s="12">
        <v>68.647277832031307</v>
      </c>
      <c r="D1185" s="12">
        <v>2002</v>
      </c>
    </row>
    <row r="1186" spans="1:4" ht="19.899999999999999" customHeight="1">
      <c r="A1186" s="11" t="s">
        <v>1</v>
      </c>
      <c r="B1186" s="12" t="s">
        <v>35</v>
      </c>
      <c r="C1186" s="12">
        <v>53.435169219970703</v>
      </c>
      <c r="D1186" s="12">
        <v>2002</v>
      </c>
    </row>
    <row r="1187" spans="1:4" ht="19.899999999999999" customHeight="1">
      <c r="A1187" s="11" t="s">
        <v>9</v>
      </c>
      <c r="B1187" s="12" t="s">
        <v>35</v>
      </c>
      <c r="C1187" s="12">
        <v>44.285671234130902</v>
      </c>
      <c r="D1187" s="12">
        <v>2002</v>
      </c>
    </row>
    <row r="1188" spans="1:4" ht="19.899999999999999" customHeight="1">
      <c r="A1188" s="11" t="s">
        <v>10</v>
      </c>
      <c r="B1188" s="12" t="s">
        <v>35</v>
      </c>
      <c r="C1188" s="12"/>
      <c r="D1188" s="12">
        <v>2002</v>
      </c>
    </row>
    <row r="1189" spans="1:4" ht="19.899999999999999" customHeight="1">
      <c r="A1189" s="11" t="s">
        <v>11</v>
      </c>
      <c r="B1189" s="12" t="s">
        <v>35</v>
      </c>
      <c r="C1189" s="12">
        <v>38.686729431152301</v>
      </c>
      <c r="D1189" s="12">
        <v>2002</v>
      </c>
    </row>
    <row r="1190" spans="1:4" ht="19.899999999999999" customHeight="1">
      <c r="A1190" s="11" t="s">
        <v>38</v>
      </c>
      <c r="B1190" s="12" t="s">
        <v>35</v>
      </c>
      <c r="C1190" s="12"/>
      <c r="D1190" s="12">
        <v>2002</v>
      </c>
    </row>
    <row r="1191" spans="1:4" ht="19.899999999999999" customHeight="1">
      <c r="A1191" s="11" t="s">
        <v>12</v>
      </c>
      <c r="B1191" s="12" t="s">
        <v>35</v>
      </c>
      <c r="C1191" s="12"/>
      <c r="D1191" s="12">
        <v>2002</v>
      </c>
    </row>
    <row r="1192" spans="1:4" ht="19.899999999999999" customHeight="1">
      <c r="A1192" s="11" t="s">
        <v>13</v>
      </c>
      <c r="B1192" s="12" t="s">
        <v>35</v>
      </c>
      <c r="C1192" s="12">
        <v>31.582109451293899</v>
      </c>
      <c r="D1192" s="12">
        <v>2002</v>
      </c>
    </row>
    <row r="1193" spans="1:4" ht="19.899999999999999" customHeight="1">
      <c r="A1193" s="11" t="s">
        <v>14</v>
      </c>
      <c r="B1193" s="12" t="s">
        <v>35</v>
      </c>
      <c r="C1193" s="12">
        <v>1.4927999973297099</v>
      </c>
      <c r="D1193" s="12">
        <v>2002</v>
      </c>
    </row>
    <row r="1194" spans="1:4" ht="19.899999999999999" customHeight="1">
      <c r="A1194" s="11" t="s">
        <v>15</v>
      </c>
      <c r="B1194" s="12" t="s">
        <v>35</v>
      </c>
      <c r="C1194" s="12">
        <v>48.495311737060497</v>
      </c>
      <c r="D1194" s="12">
        <v>2002</v>
      </c>
    </row>
    <row r="1195" spans="1:4" ht="19.899999999999999" customHeight="1">
      <c r="A1195" s="11" t="s">
        <v>16</v>
      </c>
      <c r="B1195" s="12" t="s">
        <v>35</v>
      </c>
      <c r="C1195" s="12">
        <v>4.0360698699951199</v>
      </c>
      <c r="D1195" s="12">
        <v>2002</v>
      </c>
    </row>
    <row r="1196" spans="1:4" ht="19.899999999999999" customHeight="1">
      <c r="A1196" s="11" t="s">
        <v>17</v>
      </c>
      <c r="B1196" s="12" t="s">
        <v>35</v>
      </c>
      <c r="C1196" s="12">
        <v>44.5908393859863</v>
      </c>
      <c r="D1196" s="12">
        <v>2002</v>
      </c>
    </row>
    <row r="1197" spans="1:4" ht="19.899999999999999" customHeight="1">
      <c r="A1197" s="11" t="s">
        <v>18</v>
      </c>
      <c r="B1197" s="12" t="s">
        <v>35</v>
      </c>
      <c r="C1197" s="12">
        <v>8.6542301177978498</v>
      </c>
      <c r="D1197" s="12">
        <v>2002</v>
      </c>
    </row>
    <row r="1198" spans="1:4" ht="19.899999999999999" customHeight="1">
      <c r="A1198" s="11" t="s">
        <v>19</v>
      </c>
      <c r="B1198" s="12" t="s">
        <v>35</v>
      </c>
      <c r="C1198" s="12"/>
      <c r="D1198" s="12">
        <v>2002</v>
      </c>
    </row>
    <row r="1199" spans="1:4" ht="19.899999999999999" customHeight="1">
      <c r="A1199" s="11" t="s">
        <v>20</v>
      </c>
      <c r="B1199" s="12" t="s">
        <v>35</v>
      </c>
      <c r="C1199" s="12">
        <v>2.5727300643920801</v>
      </c>
      <c r="D1199" s="12">
        <v>2002</v>
      </c>
    </row>
    <row r="1200" spans="1:4" ht="19.899999999999999" customHeight="1">
      <c r="A1200" s="11" t="s">
        <v>21</v>
      </c>
      <c r="B1200" s="12" t="s">
        <v>35</v>
      </c>
      <c r="C1200" s="12">
        <v>65.904190063476605</v>
      </c>
      <c r="D1200" s="12">
        <v>2002</v>
      </c>
    </row>
    <row r="1201" spans="1:4" ht="19.899999999999999" customHeight="1">
      <c r="A1201" s="11" t="s">
        <v>22</v>
      </c>
      <c r="B1201" s="12" t="s">
        <v>35</v>
      </c>
      <c r="C1201" s="12">
        <v>17.048650741577099</v>
      </c>
      <c r="D1201" s="12">
        <v>2002</v>
      </c>
    </row>
    <row r="1202" spans="1:4" ht="19.899999999999999" customHeight="1">
      <c r="A1202" s="11" t="s">
        <v>23</v>
      </c>
      <c r="B1202" s="12" t="s">
        <v>35</v>
      </c>
      <c r="C1202" s="12">
        <v>3.5364899635314901</v>
      </c>
      <c r="D1202" s="12">
        <v>2002</v>
      </c>
    </row>
    <row r="1203" spans="1:4" ht="19.899999999999999" customHeight="1">
      <c r="A1203" s="11" t="s">
        <v>24</v>
      </c>
      <c r="B1203" s="12" t="s">
        <v>35</v>
      </c>
      <c r="C1203" s="12">
        <v>7.5290001928806305E-2</v>
      </c>
      <c r="D1203" s="12">
        <v>2002</v>
      </c>
    </row>
    <row r="1204" spans="1:4" ht="19.899999999999999" customHeight="1">
      <c r="A1204" s="11" t="s">
        <v>25</v>
      </c>
      <c r="B1204" s="12" t="s">
        <v>35</v>
      </c>
      <c r="C1204" s="12">
        <v>3.14098000526428</v>
      </c>
      <c r="D1204" s="12">
        <v>2002</v>
      </c>
    </row>
    <row r="1205" spans="1:4" ht="19.899999999999999" customHeight="1">
      <c r="A1205" s="11" t="s">
        <v>26</v>
      </c>
      <c r="B1205" s="12" t="s">
        <v>35</v>
      </c>
      <c r="C1205" s="12">
        <v>28.294319152831999</v>
      </c>
      <c r="D1205" s="12">
        <v>2002</v>
      </c>
    </row>
    <row r="1206" spans="1:4" ht="19.899999999999999" customHeight="1">
      <c r="A1206" s="11" t="s">
        <v>27</v>
      </c>
      <c r="B1206" s="12" t="s">
        <v>35</v>
      </c>
      <c r="C1206" s="12"/>
      <c r="D1206" s="12">
        <v>2002</v>
      </c>
    </row>
    <row r="1207" spans="1:4" ht="19.899999999999999" customHeight="1">
      <c r="A1207" s="11" t="s">
        <v>28</v>
      </c>
      <c r="B1207" s="12" t="s">
        <v>35</v>
      </c>
      <c r="C1207" s="12">
        <v>30.949649810791001</v>
      </c>
      <c r="D1207" s="12">
        <v>2002</v>
      </c>
    </row>
    <row r="1208" spans="1:4" ht="19.899999999999999" customHeight="1">
      <c r="A1208" s="11" t="s">
        <v>29</v>
      </c>
      <c r="B1208" s="12" t="s">
        <v>35</v>
      </c>
      <c r="C1208" s="12">
        <v>14.493659973144499</v>
      </c>
      <c r="D1208" s="12">
        <v>2002</v>
      </c>
    </row>
    <row r="1209" spans="1:4" ht="19.899999999999999" customHeight="1">
      <c r="A1209" s="11" t="s">
        <v>4</v>
      </c>
      <c r="B1209" s="12" t="s">
        <v>35</v>
      </c>
      <c r="C1209" s="12">
        <v>45.889209747314503</v>
      </c>
      <c r="D1209" s="12">
        <v>2003</v>
      </c>
    </row>
    <row r="1210" spans="1:4" ht="19.899999999999999" customHeight="1">
      <c r="A1210" s="11" t="s">
        <v>5</v>
      </c>
      <c r="B1210" s="12" t="s">
        <v>35</v>
      </c>
      <c r="C1210" s="12"/>
      <c r="D1210" s="12">
        <v>2003</v>
      </c>
    </row>
    <row r="1211" spans="1:4" ht="19.899999999999999" customHeight="1">
      <c r="A1211" s="11" t="s">
        <v>6</v>
      </c>
      <c r="B1211" s="12" t="s">
        <v>35</v>
      </c>
      <c r="C1211" s="12">
        <v>42.282550811767599</v>
      </c>
      <c r="D1211" s="12">
        <v>2003</v>
      </c>
    </row>
    <row r="1212" spans="1:4" ht="19.899999999999999" customHeight="1">
      <c r="A1212" s="11" t="s">
        <v>7</v>
      </c>
      <c r="B1212" s="12" t="s">
        <v>35</v>
      </c>
      <c r="C1212" s="12"/>
      <c r="D1212" s="12">
        <v>2003</v>
      </c>
    </row>
    <row r="1213" spans="1:4" ht="19.899999999999999" customHeight="1">
      <c r="A1213" s="11" t="s">
        <v>8</v>
      </c>
      <c r="B1213" s="12" t="s">
        <v>35</v>
      </c>
      <c r="C1213" s="12"/>
      <c r="D1213" s="12">
        <v>2003</v>
      </c>
    </row>
    <row r="1214" spans="1:4" ht="19.899999999999999" customHeight="1">
      <c r="A1214" s="11" t="s">
        <v>1</v>
      </c>
      <c r="B1214" s="12" t="s">
        <v>35</v>
      </c>
      <c r="C1214" s="12">
        <v>52.647491455078097</v>
      </c>
      <c r="D1214" s="12">
        <v>2003</v>
      </c>
    </row>
    <row r="1215" spans="1:4" ht="19.899999999999999" customHeight="1">
      <c r="A1215" s="11" t="s">
        <v>9</v>
      </c>
      <c r="B1215" s="12" t="s">
        <v>35</v>
      </c>
      <c r="C1215" s="12">
        <v>40.805339813232401</v>
      </c>
      <c r="D1215" s="12">
        <v>2003</v>
      </c>
    </row>
    <row r="1216" spans="1:4" ht="19.899999999999999" customHeight="1">
      <c r="A1216" s="11" t="s">
        <v>10</v>
      </c>
      <c r="B1216" s="12" t="s">
        <v>35</v>
      </c>
      <c r="C1216" s="12"/>
      <c r="D1216" s="12">
        <v>2003</v>
      </c>
    </row>
    <row r="1217" spans="1:4" ht="19.899999999999999" customHeight="1">
      <c r="A1217" s="11" t="s">
        <v>11</v>
      </c>
      <c r="B1217" s="12" t="s">
        <v>35</v>
      </c>
      <c r="C1217" s="12">
        <v>27.344160079956101</v>
      </c>
      <c r="D1217" s="12">
        <v>2003</v>
      </c>
    </row>
    <row r="1218" spans="1:4" ht="19.899999999999999" customHeight="1">
      <c r="A1218" s="11" t="s">
        <v>38</v>
      </c>
      <c r="B1218" s="12" t="s">
        <v>35</v>
      </c>
      <c r="C1218" s="12"/>
      <c r="D1218" s="12">
        <v>2003</v>
      </c>
    </row>
    <row r="1219" spans="1:4" ht="19.899999999999999" customHeight="1">
      <c r="A1219" s="11" t="s">
        <v>12</v>
      </c>
      <c r="B1219" s="12" t="s">
        <v>35</v>
      </c>
      <c r="C1219" s="12"/>
      <c r="D1219" s="12">
        <v>2003</v>
      </c>
    </row>
    <row r="1220" spans="1:4" ht="19.899999999999999" customHeight="1">
      <c r="A1220" s="11" t="s">
        <v>13</v>
      </c>
      <c r="B1220" s="12" t="s">
        <v>35</v>
      </c>
      <c r="C1220" s="12">
        <v>21.911869049072301</v>
      </c>
      <c r="D1220" s="12">
        <v>2003</v>
      </c>
    </row>
    <row r="1221" spans="1:4" ht="19.899999999999999" customHeight="1">
      <c r="A1221" s="11" t="s">
        <v>14</v>
      </c>
      <c r="B1221" s="12" t="s">
        <v>35</v>
      </c>
      <c r="C1221" s="12"/>
      <c r="D1221" s="12">
        <v>2003</v>
      </c>
    </row>
    <row r="1222" spans="1:4" ht="19.899999999999999" customHeight="1">
      <c r="A1222" s="11" t="s">
        <v>15</v>
      </c>
      <c r="B1222" s="12" t="s">
        <v>35</v>
      </c>
      <c r="C1222" s="12">
        <v>48.521919250488303</v>
      </c>
      <c r="D1222" s="12">
        <v>2003</v>
      </c>
    </row>
    <row r="1223" spans="1:4" ht="19.899999999999999" customHeight="1">
      <c r="A1223" s="11" t="s">
        <v>16</v>
      </c>
      <c r="B1223" s="12" t="s">
        <v>35</v>
      </c>
      <c r="C1223" s="12">
        <v>3.3611199855804399</v>
      </c>
      <c r="D1223" s="12">
        <v>2003</v>
      </c>
    </row>
    <row r="1224" spans="1:4" ht="19.899999999999999" customHeight="1">
      <c r="A1224" s="11" t="s">
        <v>17</v>
      </c>
      <c r="B1224" s="12" t="s">
        <v>35</v>
      </c>
      <c r="C1224" s="12"/>
      <c r="D1224" s="12">
        <v>2003</v>
      </c>
    </row>
    <row r="1225" spans="1:4" ht="19.899999999999999" customHeight="1">
      <c r="A1225" s="11" t="s">
        <v>18</v>
      </c>
      <c r="B1225" s="12" t="s">
        <v>35</v>
      </c>
      <c r="C1225" s="12">
        <v>6.7411298751831099</v>
      </c>
      <c r="D1225" s="12">
        <v>2003</v>
      </c>
    </row>
    <row r="1226" spans="1:4" ht="19.899999999999999" customHeight="1">
      <c r="A1226" s="11" t="s">
        <v>19</v>
      </c>
      <c r="B1226" s="12" t="s">
        <v>35</v>
      </c>
      <c r="C1226" s="12">
        <v>19.5440998077393</v>
      </c>
      <c r="D1226" s="12">
        <v>2003</v>
      </c>
    </row>
    <row r="1227" spans="1:4" ht="19.899999999999999" customHeight="1">
      <c r="A1227" s="11" t="s">
        <v>20</v>
      </c>
      <c r="B1227" s="12" t="s">
        <v>35</v>
      </c>
      <c r="C1227" s="12"/>
      <c r="D1227" s="12">
        <v>2003</v>
      </c>
    </row>
    <row r="1228" spans="1:4" ht="19.899999999999999" customHeight="1">
      <c r="A1228" s="11" t="s">
        <v>21</v>
      </c>
      <c r="B1228" s="12" t="s">
        <v>35</v>
      </c>
      <c r="C1228" s="12">
        <v>62.183609008789098</v>
      </c>
      <c r="D1228" s="12">
        <v>2003</v>
      </c>
    </row>
    <row r="1229" spans="1:4" ht="19.899999999999999" customHeight="1">
      <c r="A1229" s="11" t="s">
        <v>22</v>
      </c>
      <c r="B1229" s="12" t="s">
        <v>35</v>
      </c>
      <c r="C1229" s="12">
        <v>10.976770401001</v>
      </c>
      <c r="D1229" s="12">
        <v>2003</v>
      </c>
    </row>
    <row r="1230" spans="1:4" ht="19.899999999999999" customHeight="1">
      <c r="A1230" s="11" t="s">
        <v>23</v>
      </c>
      <c r="B1230" s="12" t="s">
        <v>35</v>
      </c>
      <c r="C1230" s="12">
        <v>2.2063500881195099</v>
      </c>
      <c r="D1230" s="12">
        <v>2003</v>
      </c>
    </row>
    <row r="1231" spans="1:4" ht="19.899999999999999" customHeight="1">
      <c r="A1231" s="11" t="s">
        <v>24</v>
      </c>
      <c r="B1231" s="12" t="s">
        <v>35</v>
      </c>
      <c r="C1231" s="12">
        <v>0.38258999586105302</v>
      </c>
      <c r="D1231" s="12">
        <v>2003</v>
      </c>
    </row>
    <row r="1232" spans="1:4" ht="19.899999999999999" customHeight="1">
      <c r="A1232" s="11" t="s">
        <v>25</v>
      </c>
      <c r="B1232" s="12" t="s">
        <v>35</v>
      </c>
      <c r="C1232" s="12">
        <v>3.0766301155090301</v>
      </c>
      <c r="D1232" s="12">
        <v>2003</v>
      </c>
    </row>
    <row r="1233" spans="1:4" ht="19.899999999999999" customHeight="1">
      <c r="A1233" s="11" t="s">
        <v>26</v>
      </c>
      <c r="B1233" s="12" t="s">
        <v>35</v>
      </c>
      <c r="C1233" s="12">
        <v>20.0743598937988</v>
      </c>
      <c r="D1233" s="12">
        <v>2003</v>
      </c>
    </row>
    <row r="1234" spans="1:4" ht="19.899999999999999" customHeight="1">
      <c r="A1234" s="11" t="s">
        <v>27</v>
      </c>
      <c r="B1234" s="12" t="s">
        <v>35</v>
      </c>
      <c r="C1234" s="12"/>
      <c r="D1234" s="12">
        <v>2003</v>
      </c>
    </row>
    <row r="1235" spans="1:4" ht="19.899999999999999" customHeight="1">
      <c r="A1235" s="11" t="s">
        <v>28</v>
      </c>
      <c r="B1235" s="12" t="s">
        <v>35</v>
      </c>
      <c r="C1235" s="12"/>
      <c r="D1235" s="12">
        <v>2003</v>
      </c>
    </row>
    <row r="1236" spans="1:4" ht="19.899999999999999" customHeight="1">
      <c r="A1236" s="11" t="s">
        <v>29</v>
      </c>
      <c r="B1236" s="12" t="s">
        <v>35</v>
      </c>
      <c r="C1236" s="12">
        <v>15.8625497817993</v>
      </c>
      <c r="D1236" s="12">
        <v>2003</v>
      </c>
    </row>
    <row r="1237" spans="1:4" ht="19.899999999999999" customHeight="1">
      <c r="A1237" s="11" t="s">
        <v>4</v>
      </c>
      <c r="B1237" s="12" t="s">
        <v>35</v>
      </c>
      <c r="C1237" s="12">
        <v>44.272411346435497</v>
      </c>
      <c r="D1237" s="12">
        <v>2004</v>
      </c>
    </row>
    <row r="1238" spans="1:4" ht="19.899999999999999" customHeight="1">
      <c r="A1238" s="11" t="s">
        <v>5</v>
      </c>
      <c r="B1238" s="12" t="s">
        <v>35</v>
      </c>
      <c r="C1238" s="12"/>
      <c r="D1238" s="12">
        <v>2004</v>
      </c>
    </row>
    <row r="1239" spans="1:4" ht="19.899999999999999" customHeight="1">
      <c r="A1239" s="11" t="s">
        <v>6</v>
      </c>
      <c r="B1239" s="12" t="s">
        <v>35</v>
      </c>
      <c r="C1239" s="12"/>
      <c r="D1239" s="12">
        <v>2004</v>
      </c>
    </row>
    <row r="1240" spans="1:4" ht="19.899999999999999" customHeight="1">
      <c r="A1240" s="11" t="s">
        <v>7</v>
      </c>
      <c r="B1240" s="12" t="s">
        <v>35</v>
      </c>
      <c r="C1240" s="12"/>
      <c r="D1240" s="12">
        <v>2004</v>
      </c>
    </row>
    <row r="1241" spans="1:4" ht="19.899999999999999" customHeight="1">
      <c r="A1241" s="11" t="s">
        <v>8</v>
      </c>
      <c r="B1241" s="12" t="s">
        <v>35</v>
      </c>
      <c r="C1241" s="12">
        <v>64.669677734375</v>
      </c>
      <c r="D1241" s="12">
        <v>2004</v>
      </c>
    </row>
    <row r="1242" spans="1:4" ht="19.899999999999999" customHeight="1">
      <c r="A1242" s="11" t="s">
        <v>1</v>
      </c>
      <c r="B1242" s="12" t="s">
        <v>35</v>
      </c>
      <c r="C1242" s="12">
        <v>49.771209716796903</v>
      </c>
      <c r="D1242" s="12">
        <v>2004</v>
      </c>
    </row>
    <row r="1243" spans="1:4" ht="19.899999999999999" customHeight="1">
      <c r="A1243" s="11" t="s">
        <v>9</v>
      </c>
      <c r="B1243" s="12" t="s">
        <v>35</v>
      </c>
      <c r="C1243" s="12">
        <v>37.753261566162102</v>
      </c>
      <c r="D1243" s="12">
        <v>2004</v>
      </c>
    </row>
    <row r="1244" spans="1:4" ht="19.899999999999999" customHeight="1">
      <c r="A1244" s="11" t="s">
        <v>10</v>
      </c>
      <c r="B1244" s="12" t="s">
        <v>35</v>
      </c>
      <c r="C1244" s="12"/>
      <c r="D1244" s="12">
        <v>2004</v>
      </c>
    </row>
    <row r="1245" spans="1:4" ht="19.899999999999999" customHeight="1">
      <c r="A1245" s="11" t="s">
        <v>11</v>
      </c>
      <c r="B1245" s="12" t="s">
        <v>35</v>
      </c>
      <c r="C1245" s="12">
        <v>29.110919952392599</v>
      </c>
      <c r="D1245" s="12">
        <v>2004</v>
      </c>
    </row>
    <row r="1246" spans="1:4" ht="19.899999999999999" customHeight="1">
      <c r="A1246" s="11" t="s">
        <v>38</v>
      </c>
      <c r="B1246" s="12" t="s">
        <v>35</v>
      </c>
      <c r="C1246" s="12"/>
      <c r="D1246" s="12">
        <v>2004</v>
      </c>
    </row>
    <row r="1247" spans="1:4" ht="19.899999999999999" customHeight="1">
      <c r="A1247" s="11" t="s">
        <v>12</v>
      </c>
      <c r="B1247" s="12" t="s">
        <v>35</v>
      </c>
      <c r="C1247" s="12"/>
      <c r="D1247" s="12">
        <v>2004</v>
      </c>
    </row>
    <row r="1248" spans="1:4" ht="19.899999999999999" customHeight="1">
      <c r="A1248" s="11" t="s">
        <v>13</v>
      </c>
      <c r="B1248" s="12" t="s">
        <v>35</v>
      </c>
      <c r="C1248" s="12"/>
      <c r="D1248" s="12">
        <v>2004</v>
      </c>
    </row>
    <row r="1249" spans="1:4" ht="19.899999999999999" customHeight="1">
      <c r="A1249" s="11" t="s">
        <v>14</v>
      </c>
      <c r="B1249" s="12" t="s">
        <v>35</v>
      </c>
      <c r="C1249" s="12">
        <v>2.7415599822997998</v>
      </c>
      <c r="D1249" s="12">
        <v>2004</v>
      </c>
    </row>
    <row r="1250" spans="1:4" ht="19.899999999999999" customHeight="1">
      <c r="A1250" s="11" t="s">
        <v>15</v>
      </c>
      <c r="B1250" s="12" t="s">
        <v>35</v>
      </c>
      <c r="C1250" s="12">
        <v>48.512989044189503</v>
      </c>
      <c r="D1250" s="12">
        <v>2004</v>
      </c>
    </row>
    <row r="1251" spans="1:4" ht="19.899999999999999" customHeight="1">
      <c r="A1251" s="11" t="s">
        <v>16</v>
      </c>
      <c r="B1251" s="12" t="s">
        <v>35</v>
      </c>
      <c r="C1251" s="12">
        <v>3.37089991569519</v>
      </c>
      <c r="D1251" s="12">
        <v>2004</v>
      </c>
    </row>
    <row r="1252" spans="1:4" ht="19.899999999999999" customHeight="1">
      <c r="A1252" s="11" t="s">
        <v>17</v>
      </c>
      <c r="B1252" s="12" t="s">
        <v>35</v>
      </c>
      <c r="C1252" s="12">
        <v>31.928390502929702</v>
      </c>
      <c r="D1252" s="12">
        <v>2004</v>
      </c>
    </row>
    <row r="1253" spans="1:4" ht="19.899999999999999" customHeight="1">
      <c r="A1253" s="11" t="s">
        <v>18</v>
      </c>
      <c r="B1253" s="12" t="s">
        <v>35</v>
      </c>
      <c r="C1253" s="12">
        <v>8.2099704742431605</v>
      </c>
      <c r="D1253" s="12">
        <v>2004</v>
      </c>
    </row>
    <row r="1254" spans="1:4" ht="19.899999999999999" customHeight="1">
      <c r="A1254" s="11" t="s">
        <v>19</v>
      </c>
      <c r="B1254" s="12" t="s">
        <v>35</v>
      </c>
      <c r="C1254" s="12">
        <v>18.853000640869102</v>
      </c>
      <c r="D1254" s="12">
        <v>2004</v>
      </c>
    </row>
    <row r="1255" spans="1:4" ht="19.899999999999999" customHeight="1">
      <c r="A1255" s="11" t="s">
        <v>20</v>
      </c>
      <c r="B1255" s="12" t="s">
        <v>35</v>
      </c>
      <c r="C1255" s="12">
        <v>0.82656002044677701</v>
      </c>
      <c r="D1255" s="12">
        <v>2004</v>
      </c>
    </row>
    <row r="1256" spans="1:4" ht="19.899999999999999" customHeight="1">
      <c r="A1256" s="11" t="s">
        <v>21</v>
      </c>
      <c r="B1256" s="12" t="s">
        <v>35</v>
      </c>
      <c r="C1256" s="12">
        <v>58.685768127441399</v>
      </c>
      <c r="D1256" s="12">
        <v>2004</v>
      </c>
    </row>
    <row r="1257" spans="1:4" ht="19.899999999999999" customHeight="1">
      <c r="A1257" s="11" t="s">
        <v>22</v>
      </c>
      <c r="B1257" s="12" t="s">
        <v>35</v>
      </c>
      <c r="C1257" s="12"/>
      <c r="D1257" s="12">
        <v>2004</v>
      </c>
    </row>
    <row r="1258" spans="1:4" ht="19.899999999999999" customHeight="1">
      <c r="A1258" s="11" t="s">
        <v>23</v>
      </c>
      <c r="B1258" s="12" t="s">
        <v>35</v>
      </c>
      <c r="C1258" s="12">
        <v>1.0130900144577</v>
      </c>
      <c r="D1258" s="12">
        <v>2004</v>
      </c>
    </row>
    <row r="1259" spans="1:4" ht="19.899999999999999" customHeight="1">
      <c r="A1259" s="11" t="s">
        <v>24</v>
      </c>
      <c r="B1259" s="12" t="s">
        <v>35</v>
      </c>
      <c r="C1259" s="12">
        <v>3.1516599655151398</v>
      </c>
      <c r="D1259" s="12">
        <v>2004</v>
      </c>
    </row>
    <row r="1260" spans="1:4" ht="19.899999999999999" customHeight="1">
      <c r="A1260" s="11" t="s">
        <v>25</v>
      </c>
      <c r="B1260" s="12" t="s">
        <v>35</v>
      </c>
      <c r="C1260" s="12">
        <v>2.6197800636291499</v>
      </c>
      <c r="D1260" s="12">
        <v>2004</v>
      </c>
    </row>
    <row r="1261" spans="1:4" ht="19.899999999999999" customHeight="1">
      <c r="A1261" s="11" t="s">
        <v>26</v>
      </c>
      <c r="B1261" s="12" t="s">
        <v>35</v>
      </c>
      <c r="C1261" s="12">
        <v>15.914380073547401</v>
      </c>
      <c r="D1261" s="12">
        <v>2004</v>
      </c>
    </row>
    <row r="1262" spans="1:4" ht="19.899999999999999" customHeight="1">
      <c r="A1262" s="11" t="s">
        <v>27</v>
      </c>
      <c r="B1262" s="12" t="s">
        <v>35</v>
      </c>
      <c r="C1262" s="12"/>
      <c r="D1262" s="12">
        <v>2004</v>
      </c>
    </row>
    <row r="1263" spans="1:4" ht="19.899999999999999" customHeight="1">
      <c r="A1263" s="11" t="s">
        <v>28</v>
      </c>
      <c r="B1263" s="12" t="s">
        <v>35</v>
      </c>
      <c r="C1263" s="12">
        <v>18.759649276733299</v>
      </c>
      <c r="D1263" s="12">
        <v>2004</v>
      </c>
    </row>
    <row r="1264" spans="1:4" ht="19.899999999999999" customHeight="1">
      <c r="A1264" s="11" t="s">
        <v>29</v>
      </c>
      <c r="B1264" s="12" t="s">
        <v>35</v>
      </c>
      <c r="C1264" s="12"/>
      <c r="D1264" s="12">
        <v>2004</v>
      </c>
    </row>
    <row r="1265" spans="1:4" ht="19.899999999999999" customHeight="1">
      <c r="A1265" s="11" t="s">
        <v>4</v>
      </c>
      <c r="B1265" s="12" t="s">
        <v>35</v>
      </c>
      <c r="C1265" s="12">
        <v>41.088539123535199</v>
      </c>
      <c r="D1265" s="12">
        <v>2005</v>
      </c>
    </row>
    <row r="1266" spans="1:4" ht="19.899999999999999" customHeight="1">
      <c r="A1266" s="11" t="s">
        <v>5</v>
      </c>
      <c r="B1266" s="12" t="s">
        <v>35</v>
      </c>
      <c r="C1266" s="12"/>
      <c r="D1266" s="12">
        <v>2005</v>
      </c>
    </row>
    <row r="1267" spans="1:4" ht="19.899999999999999" customHeight="1">
      <c r="A1267" s="11" t="s">
        <v>6</v>
      </c>
      <c r="B1267" s="12" t="s">
        <v>35</v>
      </c>
      <c r="C1267" s="12"/>
      <c r="D1267" s="12">
        <v>2005</v>
      </c>
    </row>
    <row r="1268" spans="1:4" ht="19.899999999999999" customHeight="1">
      <c r="A1268" s="11" t="s">
        <v>7</v>
      </c>
      <c r="B1268" s="12" t="s">
        <v>35</v>
      </c>
      <c r="C1268" s="12"/>
      <c r="D1268" s="12">
        <v>2005</v>
      </c>
    </row>
    <row r="1269" spans="1:4" ht="19.899999999999999" customHeight="1">
      <c r="A1269" s="11" t="s">
        <v>8</v>
      </c>
      <c r="B1269" s="12" t="s">
        <v>35</v>
      </c>
      <c r="C1269" s="12">
        <v>63.121898651122997</v>
      </c>
      <c r="D1269" s="12">
        <v>2005</v>
      </c>
    </row>
    <row r="1270" spans="1:4" ht="19.899999999999999" customHeight="1">
      <c r="A1270" s="11" t="s">
        <v>1</v>
      </c>
      <c r="B1270" s="12" t="s">
        <v>35</v>
      </c>
      <c r="C1270" s="12">
        <v>38.842800140380902</v>
      </c>
      <c r="D1270" s="12">
        <v>2005</v>
      </c>
    </row>
    <row r="1271" spans="1:4" ht="19.899999999999999" customHeight="1">
      <c r="A1271" s="11" t="s">
        <v>9</v>
      </c>
      <c r="B1271" s="12" t="s">
        <v>35</v>
      </c>
      <c r="C1271" s="12">
        <v>35.709609985351598</v>
      </c>
      <c r="D1271" s="12">
        <v>2005</v>
      </c>
    </row>
    <row r="1272" spans="1:4" ht="19.899999999999999" customHeight="1">
      <c r="A1272" s="11" t="s">
        <v>10</v>
      </c>
      <c r="B1272" s="12" t="s">
        <v>35</v>
      </c>
      <c r="C1272" s="12"/>
      <c r="D1272" s="12">
        <v>2005</v>
      </c>
    </row>
    <row r="1273" spans="1:4" ht="19.899999999999999" customHeight="1">
      <c r="A1273" s="11" t="s">
        <v>11</v>
      </c>
      <c r="B1273" s="12" t="s">
        <v>35</v>
      </c>
      <c r="C1273" s="12">
        <v>28.304969787597699</v>
      </c>
      <c r="D1273" s="12">
        <v>2005</v>
      </c>
    </row>
    <row r="1274" spans="1:4" ht="19.899999999999999" customHeight="1">
      <c r="A1274" s="11" t="s">
        <v>38</v>
      </c>
      <c r="B1274" s="12" t="s">
        <v>35</v>
      </c>
      <c r="C1274" s="12"/>
      <c r="D1274" s="12">
        <v>2005</v>
      </c>
    </row>
    <row r="1275" spans="1:4" ht="19.899999999999999" customHeight="1">
      <c r="A1275" s="11" t="s">
        <v>12</v>
      </c>
      <c r="B1275" s="12" t="s">
        <v>35</v>
      </c>
      <c r="C1275" s="12"/>
      <c r="D1275" s="12">
        <v>2005</v>
      </c>
    </row>
    <row r="1276" spans="1:4" ht="19.899999999999999" customHeight="1">
      <c r="A1276" s="11" t="s">
        <v>13</v>
      </c>
      <c r="B1276" s="12" t="s">
        <v>35</v>
      </c>
      <c r="C1276" s="12"/>
      <c r="D1276" s="12">
        <v>2005</v>
      </c>
    </row>
    <row r="1277" spans="1:4" ht="19.899999999999999" customHeight="1">
      <c r="A1277" s="11" t="s">
        <v>14</v>
      </c>
      <c r="B1277" s="12" t="s">
        <v>35</v>
      </c>
      <c r="C1277" s="12">
        <v>3.28424000740051</v>
      </c>
      <c r="D1277" s="12">
        <v>2005</v>
      </c>
    </row>
    <row r="1278" spans="1:4" ht="19.899999999999999" customHeight="1">
      <c r="A1278" s="11" t="s">
        <v>15</v>
      </c>
      <c r="B1278" s="12" t="s">
        <v>35</v>
      </c>
      <c r="C1278" s="12">
        <v>43.473918914794901</v>
      </c>
      <c r="D1278" s="12">
        <v>2005</v>
      </c>
    </row>
    <row r="1279" spans="1:4" ht="19.899999999999999" customHeight="1">
      <c r="A1279" s="11" t="s">
        <v>16</v>
      </c>
      <c r="B1279" s="12" t="s">
        <v>35</v>
      </c>
      <c r="C1279" s="12">
        <v>6.6279997825622603</v>
      </c>
      <c r="D1279" s="12">
        <v>2005</v>
      </c>
    </row>
    <row r="1280" spans="1:4" ht="19.899999999999999" customHeight="1">
      <c r="A1280" s="11" t="s">
        <v>17</v>
      </c>
      <c r="B1280" s="12" t="s">
        <v>35</v>
      </c>
      <c r="C1280" s="12">
        <v>26.9279899597168</v>
      </c>
      <c r="D1280" s="12">
        <v>2005</v>
      </c>
    </row>
    <row r="1281" spans="1:4" ht="19.899999999999999" customHeight="1">
      <c r="A1281" s="11" t="s">
        <v>18</v>
      </c>
      <c r="B1281" s="12" t="s">
        <v>35</v>
      </c>
      <c r="C1281" s="12">
        <v>8.4961595535278303</v>
      </c>
      <c r="D1281" s="12">
        <v>2005</v>
      </c>
    </row>
    <row r="1282" spans="1:4" ht="19.899999999999999" customHeight="1">
      <c r="A1282" s="11" t="s">
        <v>19</v>
      </c>
      <c r="B1282" s="12" t="s">
        <v>35</v>
      </c>
      <c r="C1282" s="12"/>
      <c r="D1282" s="12">
        <v>2005</v>
      </c>
    </row>
    <row r="1283" spans="1:4" ht="19.899999999999999" customHeight="1">
      <c r="A1283" s="11" t="s">
        <v>20</v>
      </c>
      <c r="B1283" s="12" t="s">
        <v>35</v>
      </c>
      <c r="C1283" s="12">
        <v>0.63739997148513805</v>
      </c>
      <c r="D1283" s="12">
        <v>2005</v>
      </c>
    </row>
    <row r="1284" spans="1:4" ht="19.899999999999999" customHeight="1">
      <c r="A1284" s="11" t="s">
        <v>21</v>
      </c>
      <c r="B1284" s="12" t="s">
        <v>35</v>
      </c>
      <c r="C1284" s="12">
        <v>58.688549041747997</v>
      </c>
      <c r="D1284" s="12">
        <v>2005</v>
      </c>
    </row>
    <row r="1285" spans="1:4" ht="19.899999999999999" customHeight="1">
      <c r="A1285" s="11" t="s">
        <v>22</v>
      </c>
      <c r="B1285" s="12" t="s">
        <v>35</v>
      </c>
      <c r="C1285" s="12"/>
      <c r="D1285" s="12">
        <v>2005</v>
      </c>
    </row>
    <row r="1286" spans="1:4" ht="19.899999999999999" customHeight="1">
      <c r="A1286" s="11" t="s">
        <v>23</v>
      </c>
      <c r="B1286" s="12" t="s">
        <v>35</v>
      </c>
      <c r="C1286" s="12">
        <v>1.2040200233459499</v>
      </c>
      <c r="D1286" s="12">
        <v>2005</v>
      </c>
    </row>
    <row r="1287" spans="1:4" ht="19.899999999999999" customHeight="1">
      <c r="A1287" s="11" t="s">
        <v>24</v>
      </c>
      <c r="B1287" s="12" t="s">
        <v>35</v>
      </c>
      <c r="C1287" s="12">
        <v>2.7466700077056898</v>
      </c>
      <c r="D1287" s="12">
        <v>2005</v>
      </c>
    </row>
    <row r="1288" spans="1:4" ht="19.899999999999999" customHeight="1">
      <c r="A1288" s="11" t="s">
        <v>25</v>
      </c>
      <c r="B1288" s="12" t="s">
        <v>35</v>
      </c>
      <c r="C1288" s="12">
        <v>2.9452600479125999</v>
      </c>
      <c r="D1288" s="12">
        <v>2005</v>
      </c>
    </row>
    <row r="1289" spans="1:4" ht="19.899999999999999" customHeight="1">
      <c r="A1289" s="11" t="s">
        <v>26</v>
      </c>
      <c r="B1289" s="12" t="s">
        <v>35</v>
      </c>
      <c r="C1289" s="12">
        <v>11.7364196777344</v>
      </c>
      <c r="D1289" s="12">
        <v>2005</v>
      </c>
    </row>
    <row r="1290" spans="1:4" ht="19.899999999999999" customHeight="1">
      <c r="A1290" s="11" t="s">
        <v>27</v>
      </c>
      <c r="B1290" s="12" t="s">
        <v>35</v>
      </c>
      <c r="C1290" s="12"/>
      <c r="D1290" s="12">
        <v>2005</v>
      </c>
    </row>
    <row r="1291" spans="1:4" ht="19.899999999999999" customHeight="1">
      <c r="A1291" s="11" t="s">
        <v>28</v>
      </c>
      <c r="B1291" s="12" t="s">
        <v>35</v>
      </c>
      <c r="C1291" s="12">
        <v>10.800539970397899</v>
      </c>
      <c r="D1291" s="12">
        <v>2005</v>
      </c>
    </row>
    <row r="1292" spans="1:4" ht="19.899999999999999" customHeight="1">
      <c r="A1292" s="11" t="s">
        <v>29</v>
      </c>
      <c r="B1292" s="12" t="s">
        <v>35</v>
      </c>
      <c r="C1292" s="12"/>
      <c r="D1292" s="12">
        <v>2005</v>
      </c>
    </row>
    <row r="1293" spans="1:4" ht="19.899999999999999" customHeight="1">
      <c r="A1293" s="11" t="s">
        <v>4</v>
      </c>
      <c r="B1293" s="12" t="s">
        <v>35</v>
      </c>
      <c r="C1293" s="12">
        <v>24.300609588623001</v>
      </c>
      <c r="D1293" s="12">
        <v>2006</v>
      </c>
    </row>
    <row r="1294" spans="1:4" ht="19.899999999999999" customHeight="1">
      <c r="A1294" s="11" t="s">
        <v>5</v>
      </c>
      <c r="B1294" s="12" t="s">
        <v>35</v>
      </c>
      <c r="C1294" s="12"/>
      <c r="D1294" s="12">
        <v>2006</v>
      </c>
    </row>
    <row r="1295" spans="1:4" ht="19.899999999999999" customHeight="1">
      <c r="A1295" s="11" t="s">
        <v>6</v>
      </c>
      <c r="B1295" s="12" t="s">
        <v>35</v>
      </c>
      <c r="C1295" s="12"/>
      <c r="D1295" s="12">
        <v>2006</v>
      </c>
    </row>
    <row r="1296" spans="1:4" ht="19.899999999999999" customHeight="1">
      <c r="A1296" s="11" t="s">
        <v>7</v>
      </c>
      <c r="B1296" s="12" t="s">
        <v>35</v>
      </c>
      <c r="C1296" s="12"/>
      <c r="D1296" s="12">
        <v>2006</v>
      </c>
    </row>
    <row r="1297" spans="1:4" ht="19.899999999999999" customHeight="1">
      <c r="A1297" s="11" t="s">
        <v>8</v>
      </c>
      <c r="B1297" s="12" t="s">
        <v>35</v>
      </c>
      <c r="C1297" s="12">
        <v>60.1103515625</v>
      </c>
      <c r="D1297" s="12">
        <v>2006</v>
      </c>
    </row>
    <row r="1298" spans="1:4" ht="19.899999999999999" customHeight="1">
      <c r="A1298" s="11" t="s">
        <v>1</v>
      </c>
      <c r="B1298" s="12" t="s">
        <v>35</v>
      </c>
      <c r="C1298" s="12">
        <v>34.163490295410199</v>
      </c>
      <c r="D1298" s="12">
        <v>2006</v>
      </c>
    </row>
    <row r="1299" spans="1:4" ht="19.899999999999999" customHeight="1">
      <c r="A1299" s="11" t="s">
        <v>9</v>
      </c>
      <c r="B1299" s="12" t="s">
        <v>35</v>
      </c>
      <c r="C1299" s="12">
        <v>33.434120178222699</v>
      </c>
      <c r="D1299" s="12">
        <v>2006</v>
      </c>
    </row>
    <row r="1300" spans="1:4" ht="19.899999999999999" customHeight="1">
      <c r="A1300" s="11" t="s">
        <v>10</v>
      </c>
      <c r="B1300" s="12" t="s">
        <v>35</v>
      </c>
      <c r="C1300" s="12"/>
      <c r="D1300" s="12">
        <v>2006</v>
      </c>
    </row>
    <row r="1301" spans="1:4" ht="19.899999999999999" customHeight="1">
      <c r="A1301" s="11" t="s">
        <v>11</v>
      </c>
      <c r="B1301" s="12" t="s">
        <v>35</v>
      </c>
      <c r="C1301" s="12">
        <v>29.1061496734619</v>
      </c>
      <c r="D1301" s="12">
        <v>2006</v>
      </c>
    </row>
    <row r="1302" spans="1:4" ht="19.899999999999999" customHeight="1">
      <c r="A1302" s="11" t="s">
        <v>38</v>
      </c>
      <c r="B1302" s="12" t="s">
        <v>35</v>
      </c>
      <c r="C1302" s="12"/>
      <c r="D1302" s="12">
        <v>2006</v>
      </c>
    </row>
    <row r="1303" spans="1:4" ht="19.899999999999999" customHeight="1">
      <c r="A1303" s="11" t="s">
        <v>12</v>
      </c>
      <c r="B1303" s="12" t="s">
        <v>35</v>
      </c>
      <c r="C1303" s="12">
        <v>64.798683166503906</v>
      </c>
      <c r="D1303" s="12">
        <v>2006</v>
      </c>
    </row>
    <row r="1304" spans="1:4" ht="19.899999999999999" customHeight="1">
      <c r="A1304" s="11" t="s">
        <v>13</v>
      </c>
      <c r="B1304" s="12" t="s">
        <v>35</v>
      </c>
      <c r="C1304" s="12"/>
      <c r="D1304" s="12">
        <v>2006</v>
      </c>
    </row>
    <row r="1305" spans="1:4" ht="19.899999999999999" customHeight="1">
      <c r="A1305" s="11" t="s">
        <v>14</v>
      </c>
      <c r="B1305" s="12" t="s">
        <v>35</v>
      </c>
      <c r="C1305" s="12">
        <v>4.77695989608765</v>
      </c>
      <c r="D1305" s="12">
        <v>2006</v>
      </c>
    </row>
    <row r="1306" spans="1:4" ht="19.899999999999999" customHeight="1">
      <c r="A1306" s="11" t="s">
        <v>15</v>
      </c>
      <c r="B1306" s="12" t="s">
        <v>35</v>
      </c>
      <c r="C1306" s="12">
        <v>42.152050018310497</v>
      </c>
      <c r="D1306" s="12">
        <v>2006</v>
      </c>
    </row>
    <row r="1307" spans="1:4" ht="19.899999999999999" customHeight="1">
      <c r="A1307" s="11" t="s">
        <v>16</v>
      </c>
      <c r="B1307" s="12" t="s">
        <v>35</v>
      </c>
      <c r="C1307" s="12">
        <v>9.3655195236206108</v>
      </c>
      <c r="D1307" s="12">
        <v>2006</v>
      </c>
    </row>
    <row r="1308" spans="1:4" ht="19.899999999999999" customHeight="1">
      <c r="A1308" s="11" t="s">
        <v>17</v>
      </c>
      <c r="B1308" s="12" t="s">
        <v>35</v>
      </c>
      <c r="C1308" s="12">
        <v>23.123500823974599</v>
      </c>
      <c r="D1308" s="12">
        <v>2006</v>
      </c>
    </row>
    <row r="1309" spans="1:4" ht="19.899999999999999" customHeight="1">
      <c r="A1309" s="11" t="s">
        <v>18</v>
      </c>
      <c r="B1309" s="12" t="s">
        <v>35</v>
      </c>
      <c r="C1309" s="12">
        <v>8.8251600265502894</v>
      </c>
      <c r="D1309" s="12">
        <v>2006</v>
      </c>
    </row>
    <row r="1310" spans="1:4" ht="19.899999999999999" customHeight="1">
      <c r="A1310" s="11" t="s">
        <v>19</v>
      </c>
      <c r="B1310" s="12" t="s">
        <v>35</v>
      </c>
      <c r="C1310" s="12"/>
      <c r="D1310" s="12">
        <v>2006</v>
      </c>
    </row>
    <row r="1311" spans="1:4" ht="19.899999999999999" customHeight="1">
      <c r="A1311" s="11" t="s">
        <v>20</v>
      </c>
      <c r="B1311" s="12" t="s">
        <v>35</v>
      </c>
      <c r="C1311" s="12">
        <v>1.6350500583648699</v>
      </c>
      <c r="D1311" s="12">
        <v>2006</v>
      </c>
    </row>
    <row r="1312" spans="1:4" ht="19.899999999999999" customHeight="1">
      <c r="A1312" s="11" t="s">
        <v>21</v>
      </c>
      <c r="B1312" s="12" t="s">
        <v>35</v>
      </c>
      <c r="C1312" s="12">
        <v>57.372848510742202</v>
      </c>
      <c r="D1312" s="12">
        <v>2006</v>
      </c>
    </row>
    <row r="1313" spans="1:4" ht="19.899999999999999" customHeight="1">
      <c r="A1313" s="11" t="s">
        <v>22</v>
      </c>
      <c r="B1313" s="12" t="s">
        <v>35</v>
      </c>
      <c r="C1313" s="12"/>
      <c r="D1313" s="12">
        <v>2006</v>
      </c>
    </row>
    <row r="1314" spans="1:4" ht="19.899999999999999" customHeight="1">
      <c r="A1314" s="11" t="s">
        <v>23</v>
      </c>
      <c r="B1314" s="12" t="s">
        <v>35</v>
      </c>
      <c r="C1314" s="12"/>
      <c r="D1314" s="12">
        <v>2006</v>
      </c>
    </row>
    <row r="1315" spans="1:4" ht="19.899999999999999" customHeight="1">
      <c r="A1315" s="11" t="s">
        <v>24</v>
      </c>
      <c r="B1315" s="12" t="s">
        <v>35</v>
      </c>
      <c r="C1315" s="12">
        <v>3.26867008209229</v>
      </c>
      <c r="D1315" s="12">
        <v>2006</v>
      </c>
    </row>
    <row r="1316" spans="1:4" ht="19.899999999999999" customHeight="1">
      <c r="A1316" s="11" t="s">
        <v>25</v>
      </c>
      <c r="B1316" s="12" t="s">
        <v>35</v>
      </c>
      <c r="C1316" s="12">
        <v>3.3806600570678702</v>
      </c>
      <c r="D1316" s="12">
        <v>2006</v>
      </c>
    </row>
    <row r="1317" spans="1:4" ht="19.899999999999999" customHeight="1">
      <c r="A1317" s="11" t="s">
        <v>26</v>
      </c>
      <c r="B1317" s="12" t="s">
        <v>35</v>
      </c>
      <c r="C1317" s="12">
        <v>6.5613098144531303</v>
      </c>
      <c r="D1317" s="12">
        <v>2006</v>
      </c>
    </row>
    <row r="1318" spans="1:4" ht="19.899999999999999" customHeight="1">
      <c r="A1318" s="11" t="s">
        <v>27</v>
      </c>
      <c r="B1318" s="12" t="s">
        <v>35</v>
      </c>
      <c r="C1318" s="12"/>
      <c r="D1318" s="12">
        <v>2006</v>
      </c>
    </row>
    <row r="1319" spans="1:4" ht="19.899999999999999" customHeight="1">
      <c r="A1319" s="11" t="s">
        <v>28</v>
      </c>
      <c r="B1319" s="12" t="s">
        <v>35</v>
      </c>
      <c r="C1319" s="12">
        <v>12.7350397109985</v>
      </c>
      <c r="D1319" s="12">
        <v>2006</v>
      </c>
    </row>
    <row r="1320" spans="1:4" ht="19.899999999999999" customHeight="1">
      <c r="A1320" s="11" t="s">
        <v>29</v>
      </c>
      <c r="B1320" s="12" t="s">
        <v>35</v>
      </c>
      <c r="C1320" s="12"/>
      <c r="D1320" s="12">
        <v>2006</v>
      </c>
    </row>
    <row r="1321" spans="1:4" ht="19.899999999999999" customHeight="1">
      <c r="A1321" s="11" t="s">
        <v>4</v>
      </c>
      <c r="B1321" s="12" t="s">
        <v>35</v>
      </c>
      <c r="C1321" s="12">
        <v>17.243190765380898</v>
      </c>
      <c r="D1321" s="12">
        <v>2007</v>
      </c>
    </row>
    <row r="1322" spans="1:4" ht="19.899999999999999" customHeight="1">
      <c r="A1322" s="11" t="s">
        <v>5</v>
      </c>
      <c r="B1322" s="12" t="s">
        <v>35</v>
      </c>
      <c r="C1322" s="12"/>
      <c r="D1322" s="12">
        <v>2007</v>
      </c>
    </row>
    <row r="1323" spans="1:4" ht="19.899999999999999" customHeight="1">
      <c r="A1323" s="11" t="s">
        <v>6</v>
      </c>
      <c r="B1323" s="12" t="s">
        <v>35</v>
      </c>
      <c r="C1323" s="12"/>
      <c r="D1323" s="12">
        <v>2007</v>
      </c>
    </row>
    <row r="1324" spans="1:4" ht="19.899999999999999" customHeight="1">
      <c r="A1324" s="11" t="s">
        <v>7</v>
      </c>
      <c r="B1324" s="12" t="s">
        <v>35</v>
      </c>
      <c r="C1324" s="12">
        <v>20.825870513916001</v>
      </c>
      <c r="D1324" s="12">
        <v>2007</v>
      </c>
    </row>
    <row r="1325" spans="1:4" ht="19.899999999999999" customHeight="1">
      <c r="A1325" s="11" t="s">
        <v>8</v>
      </c>
      <c r="B1325" s="12" t="s">
        <v>35</v>
      </c>
      <c r="C1325" s="12">
        <v>56.7195014953613</v>
      </c>
      <c r="D1325" s="12">
        <v>2007</v>
      </c>
    </row>
    <row r="1326" spans="1:4" ht="19.899999999999999" customHeight="1">
      <c r="A1326" s="11" t="s">
        <v>1</v>
      </c>
      <c r="B1326" s="12" t="s">
        <v>35</v>
      </c>
      <c r="C1326" s="12">
        <v>28.994960784912099</v>
      </c>
      <c r="D1326" s="12">
        <v>2007</v>
      </c>
    </row>
    <row r="1327" spans="1:4" ht="19.899999999999999" customHeight="1">
      <c r="A1327" s="11" t="s">
        <v>9</v>
      </c>
      <c r="B1327" s="12" t="s">
        <v>35</v>
      </c>
      <c r="C1327" s="12">
        <v>31.366130828857401</v>
      </c>
      <c r="D1327" s="12">
        <v>2007</v>
      </c>
    </row>
    <row r="1328" spans="1:4" ht="19.899999999999999" customHeight="1">
      <c r="A1328" s="11" t="s">
        <v>10</v>
      </c>
      <c r="B1328" s="12" t="s">
        <v>35</v>
      </c>
      <c r="C1328" s="12"/>
      <c r="D1328" s="12">
        <v>2007</v>
      </c>
    </row>
    <row r="1329" spans="1:4" ht="19.899999999999999" customHeight="1">
      <c r="A1329" s="11" t="s">
        <v>11</v>
      </c>
      <c r="B1329" s="12" t="s">
        <v>35</v>
      </c>
      <c r="C1329" s="12">
        <v>18.991039276123001</v>
      </c>
      <c r="D1329" s="12">
        <v>2007</v>
      </c>
    </row>
    <row r="1330" spans="1:4" ht="19.899999999999999" customHeight="1">
      <c r="A1330" s="11" t="s">
        <v>38</v>
      </c>
      <c r="B1330" s="12" t="s">
        <v>35</v>
      </c>
      <c r="C1330" s="12"/>
      <c r="D1330" s="12">
        <v>2007</v>
      </c>
    </row>
    <row r="1331" spans="1:4" ht="19.899999999999999" customHeight="1">
      <c r="A1331" s="11" t="s">
        <v>12</v>
      </c>
      <c r="B1331" s="12" t="s">
        <v>35</v>
      </c>
      <c r="C1331" s="12"/>
      <c r="D1331" s="12">
        <v>2007</v>
      </c>
    </row>
    <row r="1332" spans="1:4" ht="19.899999999999999" customHeight="1">
      <c r="A1332" s="11" t="s">
        <v>13</v>
      </c>
      <c r="B1332" s="12" t="s">
        <v>35</v>
      </c>
      <c r="C1332" s="12"/>
      <c r="D1332" s="12">
        <v>2007</v>
      </c>
    </row>
    <row r="1333" spans="1:4" ht="19.899999999999999" customHeight="1">
      <c r="A1333" s="11" t="s">
        <v>14</v>
      </c>
      <c r="B1333" s="12" t="s">
        <v>35</v>
      </c>
      <c r="C1333" s="12">
        <v>9.2419795989990199</v>
      </c>
      <c r="D1333" s="12">
        <v>2007</v>
      </c>
    </row>
    <row r="1334" spans="1:4" ht="19.899999999999999" customHeight="1">
      <c r="A1334" s="11" t="s">
        <v>15</v>
      </c>
      <c r="B1334" s="12" t="s">
        <v>35</v>
      </c>
      <c r="C1334" s="12">
        <v>40.001541137695298</v>
      </c>
      <c r="D1334" s="12">
        <v>2007</v>
      </c>
    </row>
    <row r="1335" spans="1:4" ht="19.899999999999999" customHeight="1">
      <c r="A1335" s="11" t="s">
        <v>16</v>
      </c>
      <c r="B1335" s="12" t="s">
        <v>35</v>
      </c>
      <c r="C1335" s="12">
        <v>9.9883003234863299</v>
      </c>
      <c r="D1335" s="12">
        <v>2007</v>
      </c>
    </row>
    <row r="1336" spans="1:4" ht="19.899999999999999" customHeight="1">
      <c r="A1336" s="11" t="s">
        <v>17</v>
      </c>
      <c r="B1336" s="12" t="s">
        <v>35</v>
      </c>
      <c r="C1336" s="12">
        <v>18.029689788818398</v>
      </c>
      <c r="D1336" s="12">
        <v>2007</v>
      </c>
    </row>
    <row r="1337" spans="1:4" ht="19.899999999999999" customHeight="1">
      <c r="A1337" s="11" t="s">
        <v>18</v>
      </c>
      <c r="B1337" s="12" t="s">
        <v>35</v>
      </c>
      <c r="C1337" s="12">
        <v>8.7265901565551793</v>
      </c>
      <c r="D1337" s="12">
        <v>2007</v>
      </c>
    </row>
    <row r="1338" spans="1:4" ht="19.899999999999999" customHeight="1">
      <c r="A1338" s="11" t="s">
        <v>19</v>
      </c>
      <c r="B1338" s="12" t="s">
        <v>35</v>
      </c>
      <c r="C1338" s="12"/>
      <c r="D1338" s="12">
        <v>2007</v>
      </c>
    </row>
    <row r="1339" spans="1:4" ht="19.899999999999999" customHeight="1">
      <c r="A1339" s="11" t="s">
        <v>20</v>
      </c>
      <c r="B1339" s="12" t="s">
        <v>35</v>
      </c>
      <c r="C1339" s="12">
        <v>1.8926700353622401</v>
      </c>
      <c r="D1339" s="12">
        <v>2007</v>
      </c>
    </row>
    <row r="1340" spans="1:4" ht="19.899999999999999" customHeight="1">
      <c r="A1340" s="11" t="s">
        <v>21</v>
      </c>
      <c r="B1340" s="12" t="s">
        <v>35</v>
      </c>
      <c r="C1340" s="12">
        <v>56.132408142089801</v>
      </c>
      <c r="D1340" s="12">
        <v>2007</v>
      </c>
    </row>
    <row r="1341" spans="1:4" ht="19.899999999999999" customHeight="1">
      <c r="A1341" s="11" t="s">
        <v>22</v>
      </c>
      <c r="B1341" s="12" t="s">
        <v>35</v>
      </c>
      <c r="C1341" s="12"/>
      <c r="D1341" s="12">
        <v>2007</v>
      </c>
    </row>
    <row r="1342" spans="1:4" ht="19.899999999999999" customHeight="1">
      <c r="A1342" s="11" t="s">
        <v>23</v>
      </c>
      <c r="B1342" s="12" t="s">
        <v>35</v>
      </c>
      <c r="C1342" s="12">
        <v>10.4357404708862</v>
      </c>
      <c r="D1342" s="12">
        <v>2007</v>
      </c>
    </row>
    <row r="1343" spans="1:4" ht="19.899999999999999" customHeight="1">
      <c r="A1343" s="11" t="s">
        <v>24</v>
      </c>
      <c r="B1343" s="12" t="s">
        <v>35</v>
      </c>
      <c r="C1343" s="12">
        <v>3.6277799606323198</v>
      </c>
      <c r="D1343" s="12">
        <v>2007</v>
      </c>
    </row>
    <row r="1344" spans="1:4" ht="19.899999999999999" customHeight="1">
      <c r="A1344" s="11" t="s">
        <v>25</v>
      </c>
      <c r="B1344" s="12" t="s">
        <v>35</v>
      </c>
      <c r="C1344" s="12">
        <v>4.4862198829650897</v>
      </c>
      <c r="D1344" s="12">
        <v>2007</v>
      </c>
    </row>
    <row r="1345" spans="1:4" ht="19.899999999999999" customHeight="1">
      <c r="A1345" s="11" t="s">
        <v>26</v>
      </c>
      <c r="B1345" s="12" t="s">
        <v>35</v>
      </c>
      <c r="C1345" s="12"/>
      <c r="D1345" s="12">
        <v>2007</v>
      </c>
    </row>
    <row r="1346" spans="1:4" ht="19.899999999999999" customHeight="1">
      <c r="A1346" s="11" t="s">
        <v>27</v>
      </c>
      <c r="B1346" s="12" t="s">
        <v>35</v>
      </c>
      <c r="C1346" s="12"/>
      <c r="D1346" s="12">
        <v>2007</v>
      </c>
    </row>
    <row r="1347" spans="1:4" ht="19.899999999999999" customHeight="1">
      <c r="A1347" s="11" t="s">
        <v>28</v>
      </c>
      <c r="B1347" s="12" t="s">
        <v>35</v>
      </c>
      <c r="C1347" s="12">
        <v>10.4042301177979</v>
      </c>
      <c r="D1347" s="12">
        <v>2007</v>
      </c>
    </row>
    <row r="1348" spans="1:4" ht="19.899999999999999" customHeight="1">
      <c r="A1348" s="11" t="s">
        <v>29</v>
      </c>
      <c r="B1348" s="12" t="s">
        <v>35</v>
      </c>
      <c r="C1348" s="12"/>
      <c r="D1348" s="12">
        <v>2007</v>
      </c>
    </row>
    <row r="1349" spans="1:4" ht="19.899999999999999" customHeight="1">
      <c r="A1349" s="11" t="s">
        <v>4</v>
      </c>
      <c r="B1349" s="12" t="s">
        <v>35</v>
      </c>
      <c r="C1349" s="12">
        <v>6.6481699943542498</v>
      </c>
      <c r="D1349" s="12">
        <v>2008</v>
      </c>
    </row>
    <row r="1350" spans="1:4" ht="19.899999999999999" customHeight="1">
      <c r="A1350" s="11" t="s">
        <v>5</v>
      </c>
      <c r="B1350" s="12" t="s">
        <v>35</v>
      </c>
      <c r="C1350" s="12">
        <v>13.4756498336791</v>
      </c>
      <c r="D1350" s="12">
        <v>2008</v>
      </c>
    </row>
    <row r="1351" spans="1:4" ht="19.899999999999999" customHeight="1">
      <c r="A1351" s="11" t="s">
        <v>6</v>
      </c>
      <c r="B1351" s="12" t="s">
        <v>35</v>
      </c>
      <c r="C1351" s="12"/>
      <c r="D1351" s="12">
        <v>2008</v>
      </c>
    </row>
    <row r="1352" spans="1:4" ht="19.899999999999999" customHeight="1">
      <c r="A1352" s="11" t="s">
        <v>7</v>
      </c>
      <c r="B1352" s="12" t="s">
        <v>35</v>
      </c>
      <c r="C1352" s="12"/>
      <c r="D1352" s="12">
        <v>2008</v>
      </c>
    </row>
    <row r="1353" spans="1:4" ht="19.899999999999999" customHeight="1">
      <c r="A1353" s="11" t="s">
        <v>8</v>
      </c>
      <c r="B1353" s="12" t="s">
        <v>35</v>
      </c>
      <c r="C1353" s="12">
        <v>53.440601348877003</v>
      </c>
      <c r="D1353" s="12">
        <v>2008</v>
      </c>
    </row>
    <row r="1354" spans="1:4" ht="19.899999999999999" customHeight="1">
      <c r="A1354" s="11" t="s">
        <v>1</v>
      </c>
      <c r="B1354" s="12" t="s">
        <v>35</v>
      </c>
      <c r="C1354" s="12">
        <v>23.365360260009801</v>
      </c>
      <c r="D1354" s="12">
        <v>2008</v>
      </c>
    </row>
    <row r="1355" spans="1:4" ht="19.899999999999999" customHeight="1">
      <c r="A1355" s="11" t="s">
        <v>9</v>
      </c>
      <c r="B1355" s="12" t="s">
        <v>35</v>
      </c>
      <c r="C1355" s="12">
        <v>32.245361328125</v>
      </c>
      <c r="D1355" s="12">
        <v>2008</v>
      </c>
    </row>
    <row r="1356" spans="1:4" ht="19.899999999999999" customHeight="1">
      <c r="A1356" s="11" t="s">
        <v>10</v>
      </c>
      <c r="B1356" s="12" t="s">
        <v>35</v>
      </c>
      <c r="C1356" s="12"/>
      <c r="D1356" s="12">
        <v>2008</v>
      </c>
    </row>
    <row r="1357" spans="1:4" ht="19.899999999999999" customHeight="1">
      <c r="A1357" s="11" t="s">
        <v>11</v>
      </c>
      <c r="B1357" s="12" t="s">
        <v>35</v>
      </c>
      <c r="C1357" s="12">
        <v>22.746309280395501</v>
      </c>
      <c r="D1357" s="12">
        <v>2008</v>
      </c>
    </row>
    <row r="1358" spans="1:4" ht="19.899999999999999" customHeight="1">
      <c r="A1358" s="11" t="s">
        <v>38</v>
      </c>
      <c r="B1358" s="12" t="s">
        <v>35</v>
      </c>
      <c r="C1358" s="12"/>
      <c r="D1358" s="12">
        <v>2008</v>
      </c>
    </row>
    <row r="1359" spans="1:4" ht="19.899999999999999" customHeight="1">
      <c r="A1359" s="11" t="s">
        <v>12</v>
      </c>
      <c r="B1359" s="12" t="s">
        <v>35</v>
      </c>
      <c r="C1359" s="12">
        <v>57.264259338378899</v>
      </c>
      <c r="D1359" s="12">
        <v>2008</v>
      </c>
    </row>
    <row r="1360" spans="1:4" ht="19.899999999999999" customHeight="1">
      <c r="A1360" s="11" t="s">
        <v>13</v>
      </c>
      <c r="B1360" s="12" t="s">
        <v>35</v>
      </c>
      <c r="C1360" s="12"/>
      <c r="D1360" s="12">
        <v>2008</v>
      </c>
    </row>
    <row r="1361" spans="1:4" ht="19.899999999999999" customHeight="1">
      <c r="A1361" s="11" t="s">
        <v>14</v>
      </c>
      <c r="B1361" s="12" t="s">
        <v>35</v>
      </c>
      <c r="C1361" s="12">
        <v>3.03306007385254</v>
      </c>
      <c r="D1361" s="12">
        <v>2008</v>
      </c>
    </row>
    <row r="1362" spans="1:4" ht="19.899999999999999" customHeight="1">
      <c r="A1362" s="11" t="s">
        <v>15</v>
      </c>
      <c r="B1362" s="12" t="s">
        <v>35</v>
      </c>
      <c r="C1362" s="12"/>
      <c r="D1362" s="12">
        <v>2008</v>
      </c>
    </row>
    <row r="1363" spans="1:4" ht="19.899999999999999" customHeight="1">
      <c r="A1363" s="11" t="s">
        <v>16</v>
      </c>
      <c r="B1363" s="12" t="s">
        <v>35</v>
      </c>
      <c r="C1363" s="12">
        <v>9.5364704132080096</v>
      </c>
      <c r="D1363" s="12">
        <v>2008</v>
      </c>
    </row>
    <row r="1364" spans="1:4" ht="19.899999999999999" customHeight="1">
      <c r="A1364" s="11" t="s">
        <v>17</v>
      </c>
      <c r="B1364" s="12" t="s">
        <v>35</v>
      </c>
      <c r="C1364" s="12">
        <v>14.666210174560501</v>
      </c>
      <c r="D1364" s="12">
        <v>2008</v>
      </c>
    </row>
    <row r="1365" spans="1:4" ht="19.899999999999999" customHeight="1">
      <c r="A1365" s="11" t="s">
        <v>18</v>
      </c>
      <c r="B1365" s="12" t="s">
        <v>35</v>
      </c>
      <c r="C1365" s="12">
        <v>8.3024101257324201</v>
      </c>
      <c r="D1365" s="12">
        <v>2008</v>
      </c>
    </row>
    <row r="1366" spans="1:4" ht="19.899999999999999" customHeight="1">
      <c r="A1366" s="11" t="s">
        <v>19</v>
      </c>
      <c r="B1366" s="12" t="s">
        <v>35</v>
      </c>
      <c r="C1366" s="12"/>
      <c r="D1366" s="12">
        <v>2008</v>
      </c>
    </row>
    <row r="1367" spans="1:4" ht="19.899999999999999" customHeight="1">
      <c r="A1367" s="11" t="s">
        <v>20</v>
      </c>
      <c r="B1367" s="12" t="s">
        <v>35</v>
      </c>
      <c r="C1367" s="12">
        <v>1.02866995334625</v>
      </c>
      <c r="D1367" s="12">
        <v>2008</v>
      </c>
    </row>
    <row r="1368" spans="1:4" ht="19.899999999999999" customHeight="1">
      <c r="A1368" s="11" t="s">
        <v>21</v>
      </c>
      <c r="B1368" s="12" t="s">
        <v>35</v>
      </c>
      <c r="C1368" s="12">
        <v>52.713249206542997</v>
      </c>
      <c r="D1368" s="12">
        <v>2008</v>
      </c>
    </row>
    <row r="1369" spans="1:4" ht="19.899999999999999" customHeight="1">
      <c r="A1369" s="11" t="s">
        <v>22</v>
      </c>
      <c r="B1369" s="12" t="s">
        <v>35</v>
      </c>
      <c r="C1369" s="12"/>
      <c r="D1369" s="12">
        <v>2008</v>
      </c>
    </row>
    <row r="1370" spans="1:4" ht="19.899999999999999" customHeight="1">
      <c r="A1370" s="11" t="s">
        <v>23</v>
      </c>
      <c r="B1370" s="12" t="s">
        <v>35</v>
      </c>
      <c r="C1370" s="12">
        <v>9.5101299285888707</v>
      </c>
      <c r="D1370" s="12">
        <v>2008</v>
      </c>
    </row>
    <row r="1371" spans="1:4" ht="19.899999999999999" customHeight="1">
      <c r="A1371" s="11" t="s">
        <v>24</v>
      </c>
      <c r="B1371" s="12" t="s">
        <v>35</v>
      </c>
      <c r="C1371" s="12">
        <v>4.45060014724731</v>
      </c>
      <c r="D1371" s="12">
        <v>2008</v>
      </c>
    </row>
    <row r="1372" spans="1:4" ht="19.899999999999999" customHeight="1">
      <c r="A1372" s="11" t="s">
        <v>25</v>
      </c>
      <c r="B1372" s="12" t="s">
        <v>35</v>
      </c>
      <c r="C1372" s="12">
        <v>2.2767000198364298</v>
      </c>
      <c r="D1372" s="12">
        <v>2008</v>
      </c>
    </row>
    <row r="1373" spans="1:4" ht="19.899999999999999" customHeight="1">
      <c r="A1373" s="11" t="s">
        <v>26</v>
      </c>
      <c r="B1373" s="12" t="s">
        <v>35</v>
      </c>
      <c r="C1373" s="12">
        <v>5.6284298896789604</v>
      </c>
      <c r="D1373" s="12">
        <v>2008</v>
      </c>
    </row>
    <row r="1374" spans="1:4" ht="19.899999999999999" customHeight="1">
      <c r="A1374" s="11" t="s">
        <v>27</v>
      </c>
      <c r="B1374" s="12" t="s">
        <v>35</v>
      </c>
      <c r="C1374" s="12"/>
      <c r="D1374" s="12">
        <v>2008</v>
      </c>
    </row>
    <row r="1375" spans="1:4" ht="19.899999999999999" customHeight="1">
      <c r="A1375" s="11" t="s">
        <v>28</v>
      </c>
      <c r="B1375" s="12" t="s">
        <v>35</v>
      </c>
      <c r="C1375" s="12">
        <v>9.9375801086425799</v>
      </c>
      <c r="D1375" s="12">
        <v>2008</v>
      </c>
    </row>
    <row r="1376" spans="1:4" ht="19.899999999999999" customHeight="1">
      <c r="A1376" s="11" t="s">
        <v>29</v>
      </c>
      <c r="B1376" s="12" t="s">
        <v>35</v>
      </c>
      <c r="C1376" s="12"/>
      <c r="D1376" s="12">
        <v>2008</v>
      </c>
    </row>
    <row r="1377" spans="1:4" ht="19.899999999999999" customHeight="1">
      <c r="A1377" s="11" t="s">
        <v>4</v>
      </c>
      <c r="B1377" s="12" t="s">
        <v>35</v>
      </c>
      <c r="C1377" s="12">
        <v>8.3535299301147496</v>
      </c>
      <c r="D1377" s="12">
        <v>2009</v>
      </c>
    </row>
    <row r="1378" spans="1:4" ht="19.899999999999999" customHeight="1">
      <c r="A1378" s="11" t="s">
        <v>5</v>
      </c>
      <c r="B1378" s="12" t="s">
        <v>35</v>
      </c>
      <c r="C1378" s="12">
        <v>10.778710365295399</v>
      </c>
      <c r="D1378" s="12">
        <v>2009</v>
      </c>
    </row>
    <row r="1379" spans="1:4" ht="19.899999999999999" customHeight="1">
      <c r="A1379" s="11" t="s">
        <v>6</v>
      </c>
      <c r="B1379" s="12" t="s">
        <v>35</v>
      </c>
      <c r="C1379" s="12"/>
      <c r="D1379" s="12">
        <v>2009</v>
      </c>
    </row>
    <row r="1380" spans="1:4" ht="19.899999999999999" customHeight="1">
      <c r="A1380" s="11" t="s">
        <v>7</v>
      </c>
      <c r="B1380" s="12" t="s">
        <v>35</v>
      </c>
      <c r="C1380" s="12"/>
      <c r="D1380" s="12">
        <v>2009</v>
      </c>
    </row>
    <row r="1381" spans="1:4" ht="19.899999999999999" customHeight="1">
      <c r="A1381" s="11" t="s">
        <v>8</v>
      </c>
      <c r="B1381" s="12" t="s">
        <v>35</v>
      </c>
      <c r="C1381" s="12">
        <v>54.2069091796875</v>
      </c>
      <c r="D1381" s="12">
        <v>2009</v>
      </c>
    </row>
    <row r="1382" spans="1:4" ht="19.899999999999999" customHeight="1">
      <c r="A1382" s="11" t="s">
        <v>1</v>
      </c>
      <c r="B1382" s="12" t="s">
        <v>35</v>
      </c>
      <c r="C1382" s="12">
        <v>23.799770355224599</v>
      </c>
      <c r="D1382" s="12">
        <v>2009</v>
      </c>
    </row>
    <row r="1383" spans="1:4" ht="19.899999999999999" customHeight="1">
      <c r="A1383" s="11" t="s">
        <v>9</v>
      </c>
      <c r="B1383" s="12" t="s">
        <v>35</v>
      </c>
      <c r="C1383" s="12">
        <v>30.773939132690401</v>
      </c>
      <c r="D1383" s="12">
        <v>2009</v>
      </c>
    </row>
    <row r="1384" spans="1:4" ht="19.899999999999999" customHeight="1">
      <c r="A1384" s="11" t="s">
        <v>10</v>
      </c>
      <c r="B1384" s="12" t="s">
        <v>35</v>
      </c>
      <c r="C1384" s="12"/>
      <c r="D1384" s="12">
        <v>2009</v>
      </c>
    </row>
    <row r="1385" spans="1:4" ht="19.899999999999999" customHeight="1">
      <c r="A1385" s="11" t="s">
        <v>11</v>
      </c>
      <c r="B1385" s="12" t="s">
        <v>35</v>
      </c>
      <c r="C1385" s="12">
        <v>21.1285591125488</v>
      </c>
      <c r="D1385" s="12">
        <v>2009</v>
      </c>
    </row>
    <row r="1386" spans="1:4" ht="19.899999999999999" customHeight="1">
      <c r="A1386" s="11" t="s">
        <v>38</v>
      </c>
      <c r="B1386" s="12" t="s">
        <v>35</v>
      </c>
      <c r="C1386" s="12"/>
      <c r="D1386" s="12">
        <v>2009</v>
      </c>
    </row>
    <row r="1387" spans="1:4" ht="19.899999999999999" customHeight="1">
      <c r="A1387" s="11" t="s">
        <v>12</v>
      </c>
      <c r="B1387" s="12" t="s">
        <v>35</v>
      </c>
      <c r="C1387" s="12">
        <v>59.731590270996101</v>
      </c>
      <c r="D1387" s="12">
        <v>2009</v>
      </c>
    </row>
    <row r="1388" spans="1:4" ht="19.899999999999999" customHeight="1">
      <c r="A1388" s="11" t="s">
        <v>13</v>
      </c>
      <c r="B1388" s="12" t="s">
        <v>35</v>
      </c>
      <c r="C1388" s="12"/>
      <c r="D1388" s="12">
        <v>2009</v>
      </c>
    </row>
    <row r="1389" spans="1:4" ht="19.899999999999999" customHeight="1">
      <c r="A1389" s="11" t="s">
        <v>14</v>
      </c>
      <c r="B1389" s="12" t="s">
        <v>35</v>
      </c>
      <c r="C1389" s="12">
        <v>3.1748099327087398</v>
      </c>
      <c r="D1389" s="12">
        <v>2009</v>
      </c>
    </row>
    <row r="1390" spans="1:4" ht="19.899999999999999" customHeight="1">
      <c r="A1390" s="11" t="s">
        <v>15</v>
      </c>
      <c r="B1390" s="12" t="s">
        <v>35</v>
      </c>
      <c r="C1390" s="12">
        <v>32.890579223632798</v>
      </c>
      <c r="D1390" s="12">
        <v>2009</v>
      </c>
    </row>
    <row r="1391" spans="1:4" ht="19.899999999999999" customHeight="1">
      <c r="A1391" s="11" t="s">
        <v>16</v>
      </c>
      <c r="B1391" s="12" t="s">
        <v>35</v>
      </c>
      <c r="C1391" s="12">
        <v>9.9661397933959996</v>
      </c>
      <c r="D1391" s="12">
        <v>2009</v>
      </c>
    </row>
    <row r="1392" spans="1:4" ht="19.899999999999999" customHeight="1">
      <c r="A1392" s="11" t="s">
        <v>17</v>
      </c>
      <c r="B1392" s="12" t="s">
        <v>35</v>
      </c>
      <c r="C1392" s="12">
        <v>13.4407796859741</v>
      </c>
      <c r="D1392" s="12">
        <v>2009</v>
      </c>
    </row>
    <row r="1393" spans="1:4" ht="19.899999999999999" customHeight="1">
      <c r="A1393" s="11" t="s">
        <v>18</v>
      </c>
      <c r="B1393" s="12" t="s">
        <v>35</v>
      </c>
      <c r="C1393" s="12">
        <v>9.8562803268432599</v>
      </c>
      <c r="D1393" s="12">
        <v>2009</v>
      </c>
    </row>
    <row r="1394" spans="1:4" ht="19.899999999999999" customHeight="1">
      <c r="A1394" s="11" t="s">
        <v>19</v>
      </c>
      <c r="B1394" s="12" t="s">
        <v>35</v>
      </c>
      <c r="C1394" s="12"/>
      <c r="D1394" s="12">
        <v>2009</v>
      </c>
    </row>
    <row r="1395" spans="1:4" ht="19.899999999999999" customHeight="1">
      <c r="A1395" s="11" t="s">
        <v>20</v>
      </c>
      <c r="B1395" s="12" t="s">
        <v>35</v>
      </c>
      <c r="C1395" s="12"/>
      <c r="D1395" s="12">
        <v>2009</v>
      </c>
    </row>
    <row r="1396" spans="1:4" ht="19.899999999999999" customHeight="1">
      <c r="A1396" s="11" t="s">
        <v>21</v>
      </c>
      <c r="B1396" s="12" t="s">
        <v>35</v>
      </c>
      <c r="C1396" s="12">
        <v>48.938838958740199</v>
      </c>
      <c r="D1396" s="12">
        <v>2009</v>
      </c>
    </row>
    <row r="1397" spans="1:4" ht="19.899999999999999" customHeight="1">
      <c r="A1397" s="11" t="s">
        <v>22</v>
      </c>
      <c r="B1397" s="12" t="s">
        <v>35</v>
      </c>
      <c r="C1397" s="12"/>
      <c r="D1397" s="12">
        <v>2009</v>
      </c>
    </row>
    <row r="1398" spans="1:4" ht="19.899999999999999" customHeight="1">
      <c r="A1398" s="11" t="s">
        <v>23</v>
      </c>
      <c r="B1398" s="12" t="s">
        <v>35</v>
      </c>
      <c r="C1398" s="12">
        <v>8.4685297012329102</v>
      </c>
      <c r="D1398" s="12">
        <v>2009</v>
      </c>
    </row>
    <row r="1399" spans="1:4" ht="19.899999999999999" customHeight="1">
      <c r="A1399" s="11" t="s">
        <v>24</v>
      </c>
      <c r="B1399" s="12" t="s">
        <v>35</v>
      </c>
      <c r="C1399" s="12">
        <v>6.6213698387145898</v>
      </c>
      <c r="D1399" s="12">
        <v>2009</v>
      </c>
    </row>
    <row r="1400" spans="1:4" ht="19.899999999999999" customHeight="1">
      <c r="A1400" s="11" t="s">
        <v>25</v>
      </c>
      <c r="B1400" s="12" t="s">
        <v>35</v>
      </c>
      <c r="C1400" s="12">
        <v>1.83575999736786</v>
      </c>
      <c r="D1400" s="12">
        <v>2009</v>
      </c>
    </row>
    <row r="1401" spans="1:4" ht="19.899999999999999" customHeight="1">
      <c r="A1401" s="11" t="s">
        <v>26</v>
      </c>
      <c r="B1401" s="12" t="s">
        <v>35</v>
      </c>
      <c r="C1401" s="12"/>
      <c r="D1401" s="12">
        <v>2009</v>
      </c>
    </row>
    <row r="1402" spans="1:4" ht="19.899999999999999" customHeight="1">
      <c r="A1402" s="11" t="s">
        <v>27</v>
      </c>
      <c r="B1402" s="12" t="s">
        <v>35</v>
      </c>
      <c r="C1402" s="12">
        <v>9.0893898010253906</v>
      </c>
      <c r="D1402" s="12">
        <v>2009</v>
      </c>
    </row>
    <row r="1403" spans="1:4" ht="19.899999999999999" customHeight="1">
      <c r="A1403" s="11" t="s">
        <v>28</v>
      </c>
      <c r="B1403" s="12" t="s">
        <v>35</v>
      </c>
      <c r="C1403" s="12">
        <v>12.8829498291016</v>
      </c>
      <c r="D1403" s="12">
        <v>2009</v>
      </c>
    </row>
    <row r="1404" spans="1:4" ht="19.899999999999999" customHeight="1">
      <c r="A1404" s="11" t="s">
        <v>29</v>
      </c>
      <c r="B1404" s="12" t="s">
        <v>35</v>
      </c>
      <c r="C1404" s="12"/>
      <c r="D1404" s="12">
        <v>2009</v>
      </c>
    </row>
    <row r="1405" spans="1:4" ht="19.899999999999999" customHeight="1">
      <c r="A1405" s="11" t="s">
        <v>4</v>
      </c>
      <c r="B1405" s="12" t="s">
        <v>35</v>
      </c>
      <c r="C1405" s="12">
        <v>2.9864799976348899</v>
      </c>
      <c r="D1405" s="12">
        <v>2010</v>
      </c>
    </row>
    <row r="1406" spans="1:4" ht="19.899999999999999" customHeight="1">
      <c r="A1406" s="11" t="s">
        <v>5</v>
      </c>
      <c r="B1406" s="12" t="s">
        <v>35</v>
      </c>
      <c r="C1406" s="12"/>
      <c r="D1406" s="12">
        <v>2010</v>
      </c>
    </row>
    <row r="1407" spans="1:4" ht="19.899999999999999" customHeight="1">
      <c r="A1407" s="11" t="s">
        <v>6</v>
      </c>
      <c r="B1407" s="12" t="s">
        <v>35</v>
      </c>
      <c r="C1407" s="12"/>
      <c r="D1407" s="12">
        <v>2010</v>
      </c>
    </row>
    <row r="1408" spans="1:4" ht="19.899999999999999" customHeight="1">
      <c r="A1408" s="11" t="s">
        <v>7</v>
      </c>
      <c r="B1408" s="12" t="s">
        <v>35</v>
      </c>
      <c r="C1408" s="12"/>
      <c r="D1408" s="12">
        <v>2010</v>
      </c>
    </row>
    <row r="1409" spans="1:4" ht="19.899999999999999" customHeight="1">
      <c r="A1409" s="11" t="s">
        <v>8</v>
      </c>
      <c r="B1409" s="12" t="s">
        <v>35</v>
      </c>
      <c r="C1409" s="12"/>
      <c r="D1409" s="12">
        <v>2010</v>
      </c>
    </row>
    <row r="1410" spans="1:4" ht="19.899999999999999" customHeight="1">
      <c r="A1410" s="11" t="s">
        <v>1</v>
      </c>
      <c r="B1410" s="12" t="s">
        <v>35</v>
      </c>
      <c r="C1410" s="12">
        <v>25.711769104003899</v>
      </c>
      <c r="D1410" s="12">
        <v>2010</v>
      </c>
    </row>
    <row r="1411" spans="1:4" ht="19.899999999999999" customHeight="1">
      <c r="A1411" s="11" t="s">
        <v>9</v>
      </c>
      <c r="B1411" s="12" t="s">
        <v>35</v>
      </c>
      <c r="C1411" s="12">
        <v>28.332450866699201</v>
      </c>
      <c r="D1411" s="12">
        <v>2010</v>
      </c>
    </row>
    <row r="1412" spans="1:4" ht="19.899999999999999" customHeight="1">
      <c r="A1412" s="11" t="s">
        <v>10</v>
      </c>
      <c r="B1412" s="12" t="s">
        <v>35</v>
      </c>
      <c r="C1412" s="12"/>
      <c r="D1412" s="12">
        <v>2010</v>
      </c>
    </row>
    <row r="1413" spans="1:4" ht="19.899999999999999" customHeight="1">
      <c r="A1413" s="11" t="s">
        <v>11</v>
      </c>
      <c r="B1413" s="12" t="s">
        <v>35</v>
      </c>
      <c r="C1413" s="12"/>
      <c r="D1413" s="12">
        <v>2010</v>
      </c>
    </row>
    <row r="1414" spans="1:4" ht="19.899999999999999" customHeight="1">
      <c r="A1414" s="11" t="s">
        <v>38</v>
      </c>
      <c r="B1414" s="12" t="s">
        <v>35</v>
      </c>
      <c r="C1414" s="12"/>
      <c r="D1414" s="12">
        <v>2010</v>
      </c>
    </row>
    <row r="1415" spans="1:4" ht="19.899999999999999" customHeight="1">
      <c r="A1415" s="11" t="s">
        <v>12</v>
      </c>
      <c r="B1415" s="12" t="s">
        <v>35</v>
      </c>
      <c r="C1415" s="12"/>
      <c r="D1415" s="12">
        <v>2010</v>
      </c>
    </row>
    <row r="1416" spans="1:4" ht="19.899999999999999" customHeight="1">
      <c r="A1416" s="11" t="s">
        <v>13</v>
      </c>
      <c r="B1416" s="12" t="s">
        <v>35</v>
      </c>
      <c r="C1416" s="12"/>
      <c r="D1416" s="12">
        <v>2010</v>
      </c>
    </row>
    <row r="1417" spans="1:4" ht="19.899999999999999" customHeight="1">
      <c r="A1417" s="11" t="s">
        <v>14</v>
      </c>
      <c r="B1417" s="12" t="s">
        <v>35</v>
      </c>
      <c r="C1417" s="12"/>
      <c r="D1417" s="12">
        <v>2010</v>
      </c>
    </row>
    <row r="1418" spans="1:4" ht="19.899999999999999" customHeight="1">
      <c r="A1418" s="11" t="s">
        <v>15</v>
      </c>
      <c r="B1418" s="12" t="s">
        <v>35</v>
      </c>
      <c r="C1418" s="12">
        <v>31.8207893371582</v>
      </c>
      <c r="D1418" s="12">
        <v>2010</v>
      </c>
    </row>
    <row r="1419" spans="1:4" ht="19.899999999999999" customHeight="1">
      <c r="A1419" s="11" t="s">
        <v>16</v>
      </c>
      <c r="B1419" s="12" t="s">
        <v>35</v>
      </c>
      <c r="C1419" s="12">
        <v>9.8948602676391602</v>
      </c>
      <c r="D1419" s="12">
        <v>2010</v>
      </c>
    </row>
    <row r="1420" spans="1:4" ht="19.899999999999999" customHeight="1">
      <c r="A1420" s="11" t="s">
        <v>17</v>
      </c>
      <c r="B1420" s="12" t="s">
        <v>35</v>
      </c>
      <c r="C1420" s="12">
        <v>11.9551696777344</v>
      </c>
      <c r="D1420" s="12">
        <v>2010</v>
      </c>
    </row>
    <row r="1421" spans="1:4" ht="19.899999999999999" customHeight="1">
      <c r="A1421" s="11" t="s">
        <v>18</v>
      </c>
      <c r="B1421" s="12" t="s">
        <v>35</v>
      </c>
      <c r="C1421" s="12">
        <v>10.424400329589799</v>
      </c>
      <c r="D1421" s="12">
        <v>2010</v>
      </c>
    </row>
    <row r="1422" spans="1:4" ht="19.899999999999999" customHeight="1">
      <c r="A1422" s="11" t="s">
        <v>19</v>
      </c>
      <c r="B1422" s="12" t="s">
        <v>35</v>
      </c>
      <c r="C1422" s="12"/>
      <c r="D1422" s="12">
        <v>2010</v>
      </c>
    </row>
    <row r="1423" spans="1:4" ht="19.899999999999999" customHeight="1">
      <c r="A1423" s="11" t="s">
        <v>20</v>
      </c>
      <c r="B1423" s="12" t="s">
        <v>35</v>
      </c>
      <c r="C1423" s="12">
        <v>1.5897300243377701</v>
      </c>
      <c r="D1423" s="12">
        <v>2010</v>
      </c>
    </row>
    <row r="1424" spans="1:4" ht="19.899999999999999" customHeight="1">
      <c r="A1424" s="11" t="s">
        <v>21</v>
      </c>
      <c r="B1424" s="12" t="s">
        <v>35</v>
      </c>
      <c r="C1424" s="12">
        <v>44.883289337158203</v>
      </c>
      <c r="D1424" s="12">
        <v>2010</v>
      </c>
    </row>
    <row r="1425" spans="1:4" ht="19.899999999999999" customHeight="1">
      <c r="A1425" s="11" t="s">
        <v>22</v>
      </c>
      <c r="B1425" s="12" t="s">
        <v>35</v>
      </c>
      <c r="C1425" s="12"/>
      <c r="D1425" s="12">
        <v>2010</v>
      </c>
    </row>
    <row r="1426" spans="1:4" ht="19.899999999999999" customHeight="1">
      <c r="A1426" s="11" t="s">
        <v>23</v>
      </c>
      <c r="B1426" s="12" t="s">
        <v>35</v>
      </c>
      <c r="C1426" s="12">
        <v>8.4313697814941406</v>
      </c>
      <c r="D1426" s="12">
        <v>2010</v>
      </c>
    </row>
    <row r="1427" spans="1:4" ht="19.899999999999999" customHeight="1">
      <c r="A1427" s="11" t="s">
        <v>24</v>
      </c>
      <c r="B1427" s="12" t="s">
        <v>35</v>
      </c>
      <c r="C1427" s="12">
        <v>4.9565601348876998</v>
      </c>
      <c r="D1427" s="12">
        <v>2010</v>
      </c>
    </row>
    <row r="1428" spans="1:4" ht="19.899999999999999" customHeight="1">
      <c r="A1428" s="11" t="s">
        <v>25</v>
      </c>
      <c r="B1428" s="12" t="s">
        <v>35</v>
      </c>
      <c r="C1428" s="12">
        <v>1.62732005119324</v>
      </c>
      <c r="D1428" s="12">
        <v>2010</v>
      </c>
    </row>
    <row r="1429" spans="1:4" ht="19.899999999999999" customHeight="1">
      <c r="A1429" s="11" t="s">
        <v>26</v>
      </c>
      <c r="B1429" s="12" t="s">
        <v>35</v>
      </c>
      <c r="C1429" s="12">
        <v>12.285229682922401</v>
      </c>
      <c r="D1429" s="12">
        <v>2010</v>
      </c>
    </row>
    <row r="1430" spans="1:4" ht="19.899999999999999" customHeight="1">
      <c r="A1430" s="11" t="s">
        <v>27</v>
      </c>
      <c r="B1430" s="12" t="s">
        <v>35</v>
      </c>
      <c r="C1430" s="12">
        <v>12.2800703048706</v>
      </c>
      <c r="D1430" s="12">
        <v>2010</v>
      </c>
    </row>
    <row r="1431" spans="1:4" ht="19.899999999999999" customHeight="1">
      <c r="A1431" s="11" t="s">
        <v>28</v>
      </c>
      <c r="B1431" s="12" t="s">
        <v>35</v>
      </c>
      <c r="C1431" s="12">
        <v>15.4248199462891</v>
      </c>
      <c r="D1431" s="12">
        <v>2010</v>
      </c>
    </row>
    <row r="1432" spans="1:4" ht="19.899999999999999" customHeight="1">
      <c r="A1432" s="11" t="s">
        <v>29</v>
      </c>
      <c r="B1432" s="12" t="s">
        <v>35</v>
      </c>
      <c r="C1432" s="12"/>
      <c r="D1432" s="12">
        <v>2010</v>
      </c>
    </row>
    <row r="1433" spans="1:4" ht="19.899999999999999" customHeight="1">
      <c r="A1433" s="11" t="s">
        <v>4</v>
      </c>
      <c r="B1433" s="12" t="s">
        <v>35</v>
      </c>
      <c r="C1433" s="12"/>
      <c r="D1433" s="12">
        <v>2011</v>
      </c>
    </row>
    <row r="1434" spans="1:4" ht="19.899999999999999" customHeight="1">
      <c r="A1434" s="11" t="s">
        <v>5</v>
      </c>
      <c r="B1434" s="12" t="s">
        <v>35</v>
      </c>
      <c r="C1434" s="12">
        <v>8.9086999893188494</v>
      </c>
      <c r="D1434" s="12">
        <v>2011</v>
      </c>
    </row>
    <row r="1435" spans="1:4" ht="19.899999999999999" customHeight="1">
      <c r="A1435" s="11" t="s">
        <v>6</v>
      </c>
      <c r="B1435" s="12" t="s">
        <v>35</v>
      </c>
      <c r="C1435" s="12">
        <v>37.141361236572301</v>
      </c>
      <c r="D1435" s="12">
        <v>2011</v>
      </c>
    </row>
    <row r="1436" spans="1:4" ht="19.899999999999999" customHeight="1">
      <c r="A1436" s="11" t="s">
        <v>7</v>
      </c>
      <c r="B1436" s="12" t="s">
        <v>35</v>
      </c>
      <c r="C1436" s="12"/>
      <c r="D1436" s="12">
        <v>2011</v>
      </c>
    </row>
    <row r="1437" spans="1:4" ht="19.899999999999999" customHeight="1">
      <c r="A1437" s="11" t="s">
        <v>8</v>
      </c>
      <c r="B1437" s="12" t="s">
        <v>35</v>
      </c>
      <c r="C1437" s="12">
        <v>45.988048553466697</v>
      </c>
      <c r="D1437" s="12">
        <v>2011</v>
      </c>
    </row>
    <row r="1438" spans="1:4" ht="19.899999999999999" customHeight="1">
      <c r="A1438" s="11" t="s">
        <v>1</v>
      </c>
      <c r="B1438" s="12" t="s">
        <v>35</v>
      </c>
      <c r="C1438" s="12">
        <v>21.749940872192401</v>
      </c>
      <c r="D1438" s="12">
        <v>2011</v>
      </c>
    </row>
    <row r="1439" spans="1:4" ht="19.899999999999999" customHeight="1">
      <c r="A1439" s="11" t="s">
        <v>9</v>
      </c>
      <c r="B1439" s="12" t="s">
        <v>35</v>
      </c>
      <c r="C1439" s="12">
        <v>24.164869308471701</v>
      </c>
      <c r="D1439" s="12">
        <v>2011</v>
      </c>
    </row>
    <row r="1440" spans="1:4" ht="19.899999999999999" customHeight="1">
      <c r="A1440" s="11" t="s">
        <v>10</v>
      </c>
      <c r="B1440" s="12" t="s">
        <v>35</v>
      </c>
      <c r="C1440" s="12"/>
      <c r="D1440" s="12">
        <v>2011</v>
      </c>
    </row>
    <row r="1441" spans="1:4" ht="19.899999999999999" customHeight="1">
      <c r="A1441" s="11" t="s">
        <v>11</v>
      </c>
      <c r="B1441" s="12" t="s">
        <v>35</v>
      </c>
      <c r="C1441" s="12"/>
      <c r="D1441" s="12">
        <v>2011</v>
      </c>
    </row>
    <row r="1442" spans="1:4" ht="19.899999999999999" customHeight="1">
      <c r="A1442" s="11" t="s">
        <v>38</v>
      </c>
      <c r="B1442" s="12" t="s">
        <v>35</v>
      </c>
      <c r="C1442" s="12"/>
      <c r="D1442" s="12">
        <v>2011</v>
      </c>
    </row>
    <row r="1443" spans="1:4" ht="19.899999999999999" customHeight="1">
      <c r="A1443" s="11" t="s">
        <v>12</v>
      </c>
      <c r="B1443" s="12" t="s">
        <v>35</v>
      </c>
      <c r="C1443" s="12">
        <v>58.981521606445298</v>
      </c>
      <c r="D1443" s="12">
        <v>2011</v>
      </c>
    </row>
    <row r="1444" spans="1:4" ht="19.899999999999999" customHeight="1">
      <c r="A1444" s="11" t="s">
        <v>13</v>
      </c>
      <c r="B1444" s="12" t="s">
        <v>35</v>
      </c>
      <c r="C1444" s="12"/>
      <c r="D1444" s="12">
        <v>2011</v>
      </c>
    </row>
    <row r="1445" spans="1:4" ht="19.899999999999999" customHeight="1">
      <c r="A1445" s="11" t="s">
        <v>14</v>
      </c>
      <c r="B1445" s="12" t="s">
        <v>35</v>
      </c>
      <c r="C1445" s="12"/>
      <c r="D1445" s="12">
        <v>2011</v>
      </c>
    </row>
    <row r="1446" spans="1:4" ht="19.899999999999999" customHeight="1">
      <c r="A1446" s="11" t="s">
        <v>15</v>
      </c>
      <c r="B1446" s="12" t="s">
        <v>35</v>
      </c>
      <c r="C1446" s="12">
        <v>30.825790405273398</v>
      </c>
      <c r="D1446" s="12">
        <v>2011</v>
      </c>
    </row>
    <row r="1447" spans="1:4" ht="19.899999999999999" customHeight="1">
      <c r="A1447" s="11" t="s">
        <v>16</v>
      </c>
      <c r="B1447" s="12" t="s">
        <v>35</v>
      </c>
      <c r="C1447" s="12">
        <v>9.4221000671386701</v>
      </c>
      <c r="D1447" s="12">
        <v>2011</v>
      </c>
    </row>
    <row r="1448" spans="1:4" ht="19.899999999999999" customHeight="1">
      <c r="A1448" s="11" t="s">
        <v>17</v>
      </c>
      <c r="B1448" s="12" t="s">
        <v>35</v>
      </c>
      <c r="C1448" s="12">
        <v>13.989560127258301</v>
      </c>
      <c r="D1448" s="12">
        <v>2011</v>
      </c>
    </row>
    <row r="1449" spans="1:4" ht="19.899999999999999" customHeight="1">
      <c r="A1449" s="11" t="s">
        <v>18</v>
      </c>
      <c r="B1449" s="12" t="s">
        <v>35</v>
      </c>
      <c r="C1449" s="12"/>
      <c r="D1449" s="12">
        <v>2011</v>
      </c>
    </row>
    <row r="1450" spans="1:4" ht="19.899999999999999" customHeight="1">
      <c r="A1450" s="11" t="s">
        <v>19</v>
      </c>
      <c r="B1450" s="12" t="s">
        <v>35</v>
      </c>
      <c r="C1450" s="12">
        <v>1.55472004413605</v>
      </c>
      <c r="D1450" s="12">
        <v>2011</v>
      </c>
    </row>
    <row r="1451" spans="1:4" ht="19.899999999999999" customHeight="1">
      <c r="A1451" s="11" t="s">
        <v>20</v>
      </c>
      <c r="B1451" s="12" t="s">
        <v>35</v>
      </c>
      <c r="C1451" s="12"/>
      <c r="D1451" s="12">
        <v>2011</v>
      </c>
    </row>
    <row r="1452" spans="1:4" ht="19.899999999999999" customHeight="1">
      <c r="A1452" s="11" t="s">
        <v>21</v>
      </c>
      <c r="B1452" s="12" t="s">
        <v>35</v>
      </c>
      <c r="C1452" s="12">
        <v>40.140998840332003</v>
      </c>
      <c r="D1452" s="12">
        <v>2011</v>
      </c>
    </row>
    <row r="1453" spans="1:4" ht="19.899999999999999" customHeight="1">
      <c r="A1453" s="11" t="s">
        <v>22</v>
      </c>
      <c r="B1453" s="12" t="s">
        <v>35</v>
      </c>
      <c r="C1453" s="12"/>
      <c r="D1453" s="12">
        <v>2011</v>
      </c>
    </row>
    <row r="1454" spans="1:4" ht="19.899999999999999" customHeight="1">
      <c r="A1454" s="11" t="s">
        <v>23</v>
      </c>
      <c r="B1454" s="12" t="s">
        <v>35</v>
      </c>
      <c r="C1454" s="12"/>
      <c r="D1454" s="12">
        <v>2011</v>
      </c>
    </row>
    <row r="1455" spans="1:4" ht="19.899999999999999" customHeight="1">
      <c r="A1455" s="11" t="s">
        <v>24</v>
      </c>
      <c r="B1455" s="12" t="s">
        <v>35</v>
      </c>
      <c r="C1455" s="12">
        <v>4.8200697898864702</v>
      </c>
      <c r="D1455" s="12">
        <v>2011</v>
      </c>
    </row>
    <row r="1456" spans="1:4" ht="19.899999999999999" customHeight="1">
      <c r="A1456" s="11" t="s">
        <v>25</v>
      </c>
      <c r="B1456" s="12" t="s">
        <v>35</v>
      </c>
      <c r="C1456" s="12">
        <v>1.82402002811432</v>
      </c>
      <c r="D1456" s="12">
        <v>2011</v>
      </c>
    </row>
    <row r="1457" spans="1:4" ht="19.899999999999999" customHeight="1">
      <c r="A1457" s="11" t="s">
        <v>26</v>
      </c>
      <c r="B1457" s="12" t="s">
        <v>35</v>
      </c>
      <c r="C1457" s="12"/>
      <c r="D1457" s="12">
        <v>2011</v>
      </c>
    </row>
    <row r="1458" spans="1:4" ht="19.899999999999999" customHeight="1">
      <c r="A1458" s="11" t="s">
        <v>27</v>
      </c>
      <c r="B1458" s="12" t="s">
        <v>35</v>
      </c>
      <c r="C1458" s="12">
        <v>9.5616397857665998</v>
      </c>
      <c r="D1458" s="12">
        <v>2011</v>
      </c>
    </row>
    <row r="1459" spans="1:4" ht="19.899999999999999" customHeight="1">
      <c r="A1459" s="11" t="s">
        <v>28</v>
      </c>
      <c r="B1459" s="12" t="s">
        <v>35</v>
      </c>
      <c r="C1459" s="12">
        <v>11.591420173645</v>
      </c>
      <c r="D1459" s="12">
        <v>2011</v>
      </c>
    </row>
    <row r="1460" spans="1:4" ht="19.899999999999999" customHeight="1">
      <c r="A1460" s="11" t="s">
        <v>29</v>
      </c>
      <c r="B1460" s="12" t="s">
        <v>35</v>
      </c>
      <c r="C1460" s="12"/>
      <c r="D1460" s="12">
        <v>2011</v>
      </c>
    </row>
    <row r="1461" spans="1:4" ht="19.899999999999999" customHeight="1">
      <c r="A1461" s="11" t="s">
        <v>4</v>
      </c>
      <c r="B1461" s="12" t="s">
        <v>35</v>
      </c>
      <c r="C1461" s="12"/>
      <c r="D1461" s="12">
        <v>2012</v>
      </c>
    </row>
    <row r="1462" spans="1:4" ht="19.899999999999999" customHeight="1">
      <c r="A1462" s="11" t="s">
        <v>5</v>
      </c>
      <c r="B1462" s="12" t="s">
        <v>35</v>
      </c>
      <c r="C1462" s="12">
        <v>5.8653697967529199</v>
      </c>
      <c r="D1462" s="12">
        <v>2012</v>
      </c>
    </row>
    <row r="1463" spans="1:4" ht="19.899999999999999" customHeight="1">
      <c r="A1463" s="11" t="s">
        <v>6</v>
      </c>
      <c r="B1463" s="12" t="s">
        <v>35</v>
      </c>
      <c r="C1463" s="12"/>
      <c r="D1463" s="12">
        <v>2012</v>
      </c>
    </row>
    <row r="1464" spans="1:4" ht="19.899999999999999" customHeight="1">
      <c r="A1464" s="11" t="s">
        <v>7</v>
      </c>
      <c r="B1464" s="12" t="s">
        <v>35</v>
      </c>
      <c r="C1464" s="12"/>
      <c r="D1464" s="12">
        <v>2012</v>
      </c>
    </row>
    <row r="1465" spans="1:4" ht="19.899999999999999" customHeight="1">
      <c r="A1465" s="11" t="s">
        <v>8</v>
      </c>
      <c r="B1465" s="12" t="s">
        <v>35</v>
      </c>
      <c r="C1465" s="12"/>
      <c r="D1465" s="12">
        <v>2012</v>
      </c>
    </row>
    <row r="1466" spans="1:4" ht="19.899999999999999" customHeight="1">
      <c r="A1466" s="11" t="s">
        <v>1</v>
      </c>
      <c r="B1466" s="12" t="s">
        <v>35</v>
      </c>
      <c r="C1466" s="12">
        <v>20.509889602661101</v>
      </c>
      <c r="D1466" s="12">
        <v>2012</v>
      </c>
    </row>
    <row r="1467" spans="1:4" ht="19.899999999999999" customHeight="1">
      <c r="A1467" s="11" t="s">
        <v>9</v>
      </c>
      <c r="B1467" s="12" t="s">
        <v>35</v>
      </c>
      <c r="C1467" s="12">
        <v>24.564069747924801</v>
      </c>
      <c r="D1467" s="12">
        <v>2012</v>
      </c>
    </row>
    <row r="1468" spans="1:4" ht="19.899999999999999" customHeight="1">
      <c r="A1468" s="11" t="s">
        <v>10</v>
      </c>
      <c r="B1468" s="12" t="s">
        <v>35</v>
      </c>
      <c r="C1468" s="12"/>
      <c r="D1468" s="12">
        <v>2012</v>
      </c>
    </row>
    <row r="1469" spans="1:4" ht="19.899999999999999" customHeight="1">
      <c r="A1469" s="11" t="s">
        <v>11</v>
      </c>
      <c r="B1469" s="12" t="s">
        <v>35</v>
      </c>
      <c r="C1469" s="12">
        <v>16.8809509277344</v>
      </c>
      <c r="D1469" s="12">
        <v>2012</v>
      </c>
    </row>
    <row r="1470" spans="1:4" ht="19.899999999999999" customHeight="1">
      <c r="A1470" s="11" t="s">
        <v>38</v>
      </c>
      <c r="B1470" s="12" t="s">
        <v>35</v>
      </c>
      <c r="C1470" s="12"/>
      <c r="D1470" s="12">
        <v>2012</v>
      </c>
    </row>
    <row r="1471" spans="1:4" ht="19.899999999999999" customHeight="1">
      <c r="A1471" s="11" t="s">
        <v>12</v>
      </c>
      <c r="B1471" s="12" t="s">
        <v>35</v>
      </c>
      <c r="C1471" s="12"/>
      <c r="D1471" s="12">
        <v>2012</v>
      </c>
    </row>
    <row r="1472" spans="1:4" ht="19.899999999999999" customHeight="1">
      <c r="A1472" s="11" t="s">
        <v>13</v>
      </c>
      <c r="B1472" s="12" t="s">
        <v>35</v>
      </c>
      <c r="C1472" s="12"/>
      <c r="D1472" s="12">
        <v>2012</v>
      </c>
    </row>
    <row r="1473" spans="1:4" ht="19.899999999999999" customHeight="1">
      <c r="A1473" s="11" t="s">
        <v>14</v>
      </c>
      <c r="B1473" s="12" t="s">
        <v>35</v>
      </c>
      <c r="C1473" s="12"/>
      <c r="D1473" s="12">
        <v>2012</v>
      </c>
    </row>
    <row r="1474" spans="1:4" ht="19.899999999999999" customHeight="1">
      <c r="A1474" s="11" t="s">
        <v>15</v>
      </c>
      <c r="B1474" s="12" t="s">
        <v>35</v>
      </c>
      <c r="C1474" s="12">
        <v>33.035469055175803</v>
      </c>
      <c r="D1474" s="12">
        <v>2012</v>
      </c>
    </row>
    <row r="1475" spans="1:4" ht="19.899999999999999" customHeight="1">
      <c r="A1475" s="11" t="s">
        <v>16</v>
      </c>
      <c r="B1475" s="12" t="s">
        <v>35</v>
      </c>
      <c r="C1475" s="12">
        <v>9.4718303680419904</v>
      </c>
      <c r="D1475" s="12">
        <v>2012</v>
      </c>
    </row>
    <row r="1476" spans="1:4" ht="19.899999999999999" customHeight="1">
      <c r="A1476" s="11" t="s">
        <v>17</v>
      </c>
      <c r="B1476" s="12" t="s">
        <v>35</v>
      </c>
      <c r="C1476" s="12">
        <v>13.666449546814</v>
      </c>
      <c r="D1476" s="12">
        <v>2012</v>
      </c>
    </row>
    <row r="1477" spans="1:4" ht="19.899999999999999" customHeight="1">
      <c r="A1477" s="11" t="s">
        <v>18</v>
      </c>
      <c r="B1477" s="12" t="s">
        <v>35</v>
      </c>
      <c r="C1477" s="12"/>
      <c r="D1477" s="12">
        <v>2012</v>
      </c>
    </row>
    <row r="1478" spans="1:4" ht="19.899999999999999" customHeight="1">
      <c r="A1478" s="11" t="s">
        <v>19</v>
      </c>
      <c r="B1478" s="12" t="s">
        <v>35</v>
      </c>
      <c r="C1478" s="12">
        <v>0.41460999846458402</v>
      </c>
      <c r="D1478" s="12">
        <v>2012</v>
      </c>
    </row>
    <row r="1479" spans="1:4" ht="19.899999999999999" customHeight="1">
      <c r="A1479" s="11" t="s">
        <v>20</v>
      </c>
      <c r="B1479" s="12" t="s">
        <v>35</v>
      </c>
      <c r="C1479" s="12"/>
      <c r="D1479" s="12">
        <v>2012</v>
      </c>
    </row>
    <row r="1480" spans="1:4" ht="19.899999999999999" customHeight="1">
      <c r="A1480" s="11" t="s">
        <v>21</v>
      </c>
      <c r="B1480" s="12" t="s">
        <v>35</v>
      </c>
      <c r="C1480" s="12">
        <v>38.712329864502003</v>
      </c>
      <c r="D1480" s="12">
        <v>2012</v>
      </c>
    </row>
    <row r="1481" spans="1:4" ht="19.899999999999999" customHeight="1">
      <c r="A1481" s="11" t="s">
        <v>22</v>
      </c>
      <c r="B1481" s="12" t="s">
        <v>35</v>
      </c>
      <c r="C1481" s="12"/>
      <c r="D1481" s="12">
        <v>2012</v>
      </c>
    </row>
    <row r="1482" spans="1:4" ht="19.899999999999999" customHeight="1">
      <c r="A1482" s="11" t="s">
        <v>23</v>
      </c>
      <c r="B1482" s="12" t="s">
        <v>35</v>
      </c>
      <c r="C1482" s="12"/>
      <c r="D1482" s="12">
        <v>2012</v>
      </c>
    </row>
    <row r="1483" spans="1:4" ht="19.899999999999999" customHeight="1">
      <c r="A1483" s="11" t="s">
        <v>24</v>
      </c>
      <c r="B1483" s="12" t="s">
        <v>35</v>
      </c>
      <c r="C1483" s="12">
        <v>4.64991998672485</v>
      </c>
      <c r="D1483" s="12">
        <v>2012</v>
      </c>
    </row>
    <row r="1484" spans="1:4" ht="19.899999999999999" customHeight="1">
      <c r="A1484" s="11" t="s">
        <v>25</v>
      </c>
      <c r="B1484" s="12" t="s">
        <v>35</v>
      </c>
      <c r="C1484" s="12">
        <v>1.87170994281769</v>
      </c>
      <c r="D1484" s="12">
        <v>2012</v>
      </c>
    </row>
    <row r="1485" spans="1:4" ht="19.899999999999999" customHeight="1">
      <c r="A1485" s="11" t="s">
        <v>26</v>
      </c>
      <c r="B1485" s="12" t="s">
        <v>35</v>
      </c>
      <c r="C1485" s="12">
        <v>16.413619995117202</v>
      </c>
      <c r="D1485" s="12">
        <v>2012</v>
      </c>
    </row>
    <row r="1486" spans="1:4" ht="19.899999999999999" customHeight="1">
      <c r="A1486" s="11" t="s">
        <v>27</v>
      </c>
      <c r="B1486" s="12" t="s">
        <v>35</v>
      </c>
      <c r="C1486" s="12"/>
      <c r="D1486" s="12">
        <v>2012</v>
      </c>
    </row>
    <row r="1487" spans="1:4" ht="19.899999999999999" customHeight="1">
      <c r="A1487" s="11" t="s">
        <v>28</v>
      </c>
      <c r="B1487" s="12" t="s">
        <v>35</v>
      </c>
      <c r="C1487" s="12">
        <v>9.8746900558471697</v>
      </c>
      <c r="D1487" s="12">
        <v>2012</v>
      </c>
    </row>
    <row r="1488" spans="1:4" ht="19.899999999999999" customHeight="1">
      <c r="A1488" s="11" t="s">
        <v>29</v>
      </c>
      <c r="B1488" s="12" t="s">
        <v>35</v>
      </c>
      <c r="C1488" s="12">
        <v>11.9365797042847</v>
      </c>
      <c r="D1488" s="12">
        <v>2012</v>
      </c>
    </row>
    <row r="1489" spans="1:4" ht="19.899999999999999" customHeight="1">
      <c r="A1489" s="11" t="s">
        <v>4</v>
      </c>
      <c r="B1489" s="12" t="s">
        <v>35</v>
      </c>
      <c r="C1489" s="12"/>
      <c r="D1489" s="12">
        <v>2013</v>
      </c>
    </row>
    <row r="1490" spans="1:4" ht="19.899999999999999" customHeight="1">
      <c r="A1490" s="11" t="s">
        <v>5</v>
      </c>
      <c r="B1490" s="12" t="s">
        <v>35</v>
      </c>
      <c r="C1490" s="12"/>
      <c r="D1490" s="12">
        <v>2013</v>
      </c>
    </row>
    <row r="1491" spans="1:4" ht="19.899999999999999" customHeight="1">
      <c r="A1491" s="11" t="s">
        <v>6</v>
      </c>
      <c r="B1491" s="12" t="s">
        <v>35</v>
      </c>
      <c r="C1491" s="12">
        <v>21.0815105438232</v>
      </c>
      <c r="D1491" s="12">
        <v>2013</v>
      </c>
    </row>
    <row r="1492" spans="1:4" ht="19.899999999999999" customHeight="1">
      <c r="A1492" s="11" t="s">
        <v>7</v>
      </c>
      <c r="B1492" s="12" t="s">
        <v>35</v>
      </c>
      <c r="C1492" s="12">
        <v>13.285240173339799</v>
      </c>
      <c r="D1492" s="12">
        <v>2013</v>
      </c>
    </row>
    <row r="1493" spans="1:4" ht="19.899999999999999" customHeight="1">
      <c r="A1493" s="11" t="s">
        <v>8</v>
      </c>
      <c r="B1493" s="12" t="s">
        <v>35</v>
      </c>
      <c r="C1493" s="12">
        <v>45.868419647216697</v>
      </c>
      <c r="D1493" s="12">
        <v>2013</v>
      </c>
    </row>
    <row r="1494" spans="1:4" ht="19.899999999999999" customHeight="1">
      <c r="A1494" s="11" t="s">
        <v>1</v>
      </c>
      <c r="B1494" s="12" t="s">
        <v>35</v>
      </c>
      <c r="C1494" s="12"/>
      <c r="D1494" s="12">
        <v>2013</v>
      </c>
    </row>
    <row r="1495" spans="1:4" ht="19.899999999999999" customHeight="1">
      <c r="A1495" s="11" t="s">
        <v>9</v>
      </c>
      <c r="B1495" s="12" t="s">
        <v>35</v>
      </c>
      <c r="C1495" s="12">
        <v>23.430049896240199</v>
      </c>
      <c r="D1495" s="12">
        <v>2013</v>
      </c>
    </row>
    <row r="1496" spans="1:4" ht="19.899999999999999" customHeight="1">
      <c r="A1496" s="11" t="s">
        <v>10</v>
      </c>
      <c r="B1496" s="12" t="s">
        <v>35</v>
      </c>
      <c r="C1496" s="12"/>
      <c r="D1496" s="12">
        <v>2013</v>
      </c>
    </row>
    <row r="1497" spans="1:4" ht="19.899999999999999" customHeight="1">
      <c r="A1497" s="11" t="s">
        <v>11</v>
      </c>
      <c r="B1497" s="12" t="s">
        <v>35</v>
      </c>
      <c r="C1497" s="12"/>
      <c r="D1497" s="12">
        <v>2013</v>
      </c>
    </row>
    <row r="1498" spans="1:4" ht="19.899999999999999" customHeight="1">
      <c r="A1498" s="11" t="s">
        <v>38</v>
      </c>
      <c r="B1498" s="12" t="s">
        <v>35</v>
      </c>
      <c r="C1498" s="12"/>
      <c r="D1498" s="12">
        <v>2013</v>
      </c>
    </row>
    <row r="1499" spans="1:4" ht="19.899999999999999" customHeight="1">
      <c r="A1499" s="11" t="s">
        <v>12</v>
      </c>
      <c r="B1499" s="12" t="s">
        <v>35</v>
      </c>
      <c r="C1499" s="12"/>
      <c r="D1499" s="12">
        <v>2013</v>
      </c>
    </row>
    <row r="1500" spans="1:4" ht="19.899999999999999" customHeight="1">
      <c r="A1500" s="11" t="s">
        <v>13</v>
      </c>
      <c r="B1500" s="12" t="s">
        <v>35</v>
      </c>
      <c r="C1500" s="12"/>
      <c r="D1500" s="12">
        <v>2013</v>
      </c>
    </row>
    <row r="1501" spans="1:4" ht="19.899999999999999" customHeight="1">
      <c r="A1501" s="11" t="s">
        <v>14</v>
      </c>
      <c r="B1501" s="12" t="s">
        <v>35</v>
      </c>
      <c r="C1501" s="12"/>
      <c r="D1501" s="12">
        <v>2013</v>
      </c>
    </row>
    <row r="1502" spans="1:4" ht="19.899999999999999" customHeight="1">
      <c r="A1502" s="11" t="s">
        <v>15</v>
      </c>
      <c r="B1502" s="12" t="s">
        <v>35</v>
      </c>
      <c r="C1502" s="12">
        <v>37.4722290039063</v>
      </c>
      <c r="D1502" s="12">
        <v>2013</v>
      </c>
    </row>
    <row r="1503" spans="1:4" ht="19.899999999999999" customHeight="1">
      <c r="A1503" s="11" t="s">
        <v>16</v>
      </c>
      <c r="B1503" s="12" t="s">
        <v>35</v>
      </c>
      <c r="C1503" s="12">
        <v>9.4200897216796893</v>
      </c>
      <c r="D1503" s="12">
        <v>2013</v>
      </c>
    </row>
    <row r="1504" spans="1:4" ht="19.899999999999999" customHeight="1">
      <c r="A1504" s="11" t="s">
        <v>17</v>
      </c>
      <c r="B1504" s="12" t="s">
        <v>35</v>
      </c>
      <c r="C1504" s="12">
        <v>12.5357303619385</v>
      </c>
      <c r="D1504" s="12">
        <v>2013</v>
      </c>
    </row>
    <row r="1505" spans="1:4" ht="19.899999999999999" customHeight="1">
      <c r="A1505" s="11" t="s">
        <v>18</v>
      </c>
      <c r="B1505" s="12" t="s">
        <v>35</v>
      </c>
      <c r="C1505" s="12"/>
      <c r="D1505" s="12">
        <v>2013</v>
      </c>
    </row>
    <row r="1506" spans="1:4" ht="19.899999999999999" customHeight="1">
      <c r="A1506" s="11" t="s">
        <v>19</v>
      </c>
      <c r="B1506" s="12" t="s">
        <v>35</v>
      </c>
      <c r="C1506" s="12"/>
      <c r="D1506" s="12">
        <v>2013</v>
      </c>
    </row>
    <row r="1507" spans="1:4" ht="19.899999999999999" customHeight="1">
      <c r="A1507" s="11" t="s">
        <v>20</v>
      </c>
      <c r="B1507" s="12" t="s">
        <v>35</v>
      </c>
      <c r="C1507" s="12"/>
      <c r="D1507" s="12">
        <v>2013</v>
      </c>
    </row>
    <row r="1508" spans="1:4" ht="19.899999999999999" customHeight="1">
      <c r="A1508" s="11" t="s">
        <v>21</v>
      </c>
      <c r="B1508" s="12" t="s">
        <v>35</v>
      </c>
      <c r="C1508" s="12">
        <v>38.989540100097699</v>
      </c>
      <c r="D1508" s="12">
        <v>2013</v>
      </c>
    </row>
    <row r="1509" spans="1:4" ht="19.899999999999999" customHeight="1">
      <c r="A1509" s="11" t="s">
        <v>22</v>
      </c>
      <c r="B1509" s="12" t="s">
        <v>35</v>
      </c>
      <c r="C1509" s="12"/>
      <c r="D1509" s="12">
        <v>2013</v>
      </c>
    </row>
    <row r="1510" spans="1:4" ht="19.899999999999999" customHeight="1">
      <c r="A1510" s="11" t="s">
        <v>23</v>
      </c>
      <c r="B1510" s="12" t="s">
        <v>35</v>
      </c>
      <c r="C1510" s="12">
        <v>9.1570701599121005</v>
      </c>
      <c r="D1510" s="12">
        <v>2013</v>
      </c>
    </row>
    <row r="1511" spans="1:4" ht="19.899999999999999" customHeight="1">
      <c r="A1511" s="11" t="s">
        <v>24</v>
      </c>
      <c r="B1511" s="12" t="s">
        <v>35</v>
      </c>
      <c r="C1511" s="12">
        <v>3.5185999870300302</v>
      </c>
      <c r="D1511" s="12">
        <v>2013</v>
      </c>
    </row>
    <row r="1512" spans="1:4" ht="19.899999999999999" customHeight="1">
      <c r="A1512" s="11" t="s">
        <v>25</v>
      </c>
      <c r="B1512" s="12" t="s">
        <v>35</v>
      </c>
      <c r="C1512" s="12">
        <v>2.4580700397491499</v>
      </c>
      <c r="D1512" s="12">
        <v>2013</v>
      </c>
    </row>
    <row r="1513" spans="1:4" ht="19.899999999999999" customHeight="1">
      <c r="A1513" s="11" t="s">
        <v>26</v>
      </c>
      <c r="B1513" s="12" t="s">
        <v>35</v>
      </c>
      <c r="C1513" s="12">
        <v>19.237550735473601</v>
      </c>
      <c r="D1513" s="12">
        <v>2013</v>
      </c>
    </row>
    <row r="1514" spans="1:4" ht="19.899999999999999" customHeight="1">
      <c r="A1514" s="11" t="s">
        <v>27</v>
      </c>
      <c r="B1514" s="12" t="s">
        <v>35</v>
      </c>
      <c r="C1514" s="12">
        <v>9.0020103454589808</v>
      </c>
      <c r="D1514" s="12">
        <v>2013</v>
      </c>
    </row>
    <row r="1515" spans="1:4" ht="19.899999999999999" customHeight="1">
      <c r="A1515" s="11" t="s">
        <v>28</v>
      </c>
      <c r="B1515" s="12" t="s">
        <v>35</v>
      </c>
      <c r="C1515" s="12">
        <v>12.0925903320313</v>
      </c>
      <c r="D1515" s="12">
        <v>2013</v>
      </c>
    </row>
    <row r="1516" spans="1:4" ht="19.899999999999999" customHeight="1">
      <c r="A1516" s="11" t="s">
        <v>29</v>
      </c>
      <c r="B1516" s="12" t="s">
        <v>35</v>
      </c>
      <c r="C1516" s="12">
        <v>14.770810127258301</v>
      </c>
      <c r="D1516" s="12">
        <v>2013</v>
      </c>
    </row>
    <row r="1517" spans="1:4" ht="19.899999999999999" customHeight="1">
      <c r="A1517" s="11" t="s">
        <v>4</v>
      </c>
      <c r="B1517" s="12" t="s">
        <v>35</v>
      </c>
      <c r="C1517" s="12"/>
      <c r="D1517" s="12">
        <v>2014</v>
      </c>
    </row>
    <row r="1518" spans="1:4" ht="19.899999999999999" customHeight="1">
      <c r="A1518" s="11" t="s">
        <v>5</v>
      </c>
      <c r="B1518" s="12" t="s">
        <v>35</v>
      </c>
      <c r="C1518" s="12">
        <v>5.20281982421875</v>
      </c>
      <c r="D1518" s="12">
        <v>2014</v>
      </c>
    </row>
    <row r="1519" spans="1:4" ht="19.899999999999999" customHeight="1">
      <c r="A1519" s="11" t="s">
        <v>6</v>
      </c>
      <c r="B1519" s="12" t="s">
        <v>35</v>
      </c>
      <c r="C1519" s="12"/>
      <c r="D1519" s="12">
        <v>2014</v>
      </c>
    </row>
    <row r="1520" spans="1:4" ht="19.899999999999999" customHeight="1">
      <c r="A1520" s="11" t="s">
        <v>7</v>
      </c>
      <c r="B1520" s="12" t="s">
        <v>35</v>
      </c>
      <c r="C1520" s="12">
        <v>17.282600402831999</v>
      </c>
      <c r="D1520" s="12">
        <v>2014</v>
      </c>
    </row>
    <row r="1521" spans="1:4" ht="19.899999999999999" customHeight="1">
      <c r="A1521" s="11" t="s">
        <v>8</v>
      </c>
      <c r="B1521" s="12" t="s">
        <v>35</v>
      </c>
      <c r="C1521" s="12">
        <v>38.056430816650398</v>
      </c>
      <c r="D1521" s="12">
        <v>2014</v>
      </c>
    </row>
    <row r="1522" spans="1:4" ht="19.899999999999999" customHeight="1">
      <c r="A1522" s="11" t="s">
        <v>1</v>
      </c>
      <c r="B1522" s="12" t="s">
        <v>35</v>
      </c>
      <c r="C1522" s="12">
        <v>13.6830501556396</v>
      </c>
      <c r="D1522" s="12">
        <v>2014</v>
      </c>
    </row>
    <row r="1523" spans="1:4" ht="19.899999999999999" customHeight="1">
      <c r="A1523" s="11" t="s">
        <v>9</v>
      </c>
      <c r="B1523" s="12" t="s">
        <v>35</v>
      </c>
      <c r="C1523" s="12">
        <v>19.7005100250244</v>
      </c>
      <c r="D1523" s="12">
        <v>2014</v>
      </c>
    </row>
    <row r="1524" spans="1:4" ht="19.899999999999999" customHeight="1">
      <c r="A1524" s="11" t="s">
        <v>10</v>
      </c>
      <c r="B1524" s="12" t="s">
        <v>35</v>
      </c>
      <c r="C1524" s="12"/>
      <c r="D1524" s="12">
        <v>2014</v>
      </c>
    </row>
    <row r="1525" spans="1:4" ht="19.899999999999999" customHeight="1">
      <c r="A1525" s="11" t="s">
        <v>11</v>
      </c>
      <c r="B1525" s="12" t="s">
        <v>35</v>
      </c>
      <c r="C1525" s="12"/>
      <c r="D1525" s="12">
        <v>2014</v>
      </c>
    </row>
    <row r="1526" spans="1:4" ht="19.899999999999999" customHeight="1">
      <c r="A1526" s="11" t="s">
        <v>38</v>
      </c>
      <c r="B1526" s="12" t="s">
        <v>35</v>
      </c>
      <c r="C1526" s="12"/>
      <c r="D1526" s="12">
        <v>2014</v>
      </c>
    </row>
    <row r="1527" spans="1:4" ht="19.899999999999999" customHeight="1">
      <c r="A1527" s="11" t="s">
        <v>12</v>
      </c>
      <c r="B1527" s="12" t="s">
        <v>35</v>
      </c>
      <c r="C1527" s="12">
        <v>61.788139343261697</v>
      </c>
      <c r="D1527" s="12">
        <v>2014</v>
      </c>
    </row>
    <row r="1528" spans="1:4" ht="19.899999999999999" customHeight="1">
      <c r="A1528" s="11" t="s">
        <v>13</v>
      </c>
      <c r="B1528" s="12" t="s">
        <v>35</v>
      </c>
      <c r="C1528" s="12"/>
      <c r="D1528" s="12">
        <v>2014</v>
      </c>
    </row>
    <row r="1529" spans="1:4" ht="19.899999999999999" customHeight="1">
      <c r="A1529" s="11" t="s">
        <v>14</v>
      </c>
      <c r="B1529" s="12" t="s">
        <v>35</v>
      </c>
      <c r="C1529" s="12"/>
      <c r="D1529" s="12">
        <v>2014</v>
      </c>
    </row>
    <row r="1530" spans="1:4" ht="19.899999999999999" customHeight="1">
      <c r="A1530" s="11" t="s">
        <v>15</v>
      </c>
      <c r="B1530" s="12" t="s">
        <v>35</v>
      </c>
      <c r="C1530" s="12">
        <v>36.606460571289098</v>
      </c>
      <c r="D1530" s="12">
        <v>2014</v>
      </c>
    </row>
    <row r="1531" spans="1:4" ht="19.899999999999999" customHeight="1">
      <c r="A1531" s="11" t="s">
        <v>16</v>
      </c>
      <c r="B1531" s="12" t="s">
        <v>35</v>
      </c>
      <c r="C1531" s="12">
        <v>9.9982500076293892</v>
      </c>
      <c r="D1531" s="12">
        <v>2014</v>
      </c>
    </row>
    <row r="1532" spans="1:4" ht="19.899999999999999" customHeight="1">
      <c r="A1532" s="11" t="s">
        <v>17</v>
      </c>
      <c r="B1532" s="12" t="s">
        <v>35</v>
      </c>
      <c r="C1532" s="12">
        <v>11.868029594421399</v>
      </c>
      <c r="D1532" s="12">
        <v>2014</v>
      </c>
    </row>
    <row r="1533" spans="1:4" ht="19.899999999999999" customHeight="1">
      <c r="A1533" s="11" t="s">
        <v>18</v>
      </c>
      <c r="B1533" s="12" t="s">
        <v>35</v>
      </c>
      <c r="C1533" s="12">
        <v>3.7886099815368701</v>
      </c>
      <c r="D1533" s="12">
        <v>2014</v>
      </c>
    </row>
    <row r="1534" spans="1:4" ht="19.899999999999999" customHeight="1">
      <c r="A1534" s="11" t="s">
        <v>19</v>
      </c>
      <c r="B1534" s="12" t="s">
        <v>35</v>
      </c>
      <c r="C1534" s="12">
        <v>5.6740198135376003</v>
      </c>
      <c r="D1534" s="12">
        <v>2014</v>
      </c>
    </row>
    <row r="1535" spans="1:4" ht="19.899999999999999" customHeight="1">
      <c r="A1535" s="11" t="s">
        <v>20</v>
      </c>
      <c r="B1535" s="12" t="s">
        <v>35</v>
      </c>
      <c r="C1535" s="12"/>
      <c r="D1535" s="12">
        <v>2014</v>
      </c>
    </row>
    <row r="1536" spans="1:4" ht="19.899999999999999" customHeight="1">
      <c r="A1536" s="11" t="s">
        <v>21</v>
      </c>
      <c r="B1536" s="12" t="s">
        <v>35</v>
      </c>
      <c r="C1536" s="12">
        <v>38.947891235351598</v>
      </c>
      <c r="D1536" s="12">
        <v>2014</v>
      </c>
    </row>
    <row r="1537" spans="1:4" ht="19.899999999999999" customHeight="1">
      <c r="A1537" s="11" t="s">
        <v>22</v>
      </c>
      <c r="B1537" s="12" t="s">
        <v>35</v>
      </c>
      <c r="C1537" s="12"/>
      <c r="D1537" s="12">
        <v>2014</v>
      </c>
    </row>
    <row r="1538" spans="1:4" ht="19.899999999999999" customHeight="1">
      <c r="A1538" s="11" t="s">
        <v>23</v>
      </c>
      <c r="B1538" s="12" t="s">
        <v>35</v>
      </c>
      <c r="C1538" s="12">
        <v>8.5932197570800799</v>
      </c>
      <c r="D1538" s="12">
        <v>2014</v>
      </c>
    </row>
    <row r="1539" spans="1:4" ht="19.899999999999999" customHeight="1">
      <c r="A1539" s="11" t="s">
        <v>24</v>
      </c>
      <c r="B1539" s="12" t="s">
        <v>35</v>
      </c>
      <c r="C1539" s="12">
        <v>2.6922700405120898</v>
      </c>
      <c r="D1539" s="12">
        <v>2014</v>
      </c>
    </row>
    <row r="1540" spans="1:4" ht="19.899999999999999" customHeight="1">
      <c r="A1540" s="11" t="s">
        <v>25</v>
      </c>
      <c r="B1540" s="12" t="s">
        <v>35</v>
      </c>
      <c r="C1540" s="12">
        <v>4.2259001731872603</v>
      </c>
      <c r="D1540" s="12">
        <v>2014</v>
      </c>
    </row>
    <row r="1541" spans="1:4" ht="19.899999999999999" customHeight="1">
      <c r="A1541" s="11" t="s">
        <v>26</v>
      </c>
      <c r="B1541" s="12" t="s">
        <v>35</v>
      </c>
      <c r="C1541" s="12">
        <v>20.9551696777344</v>
      </c>
      <c r="D1541" s="12">
        <v>2014</v>
      </c>
    </row>
    <row r="1542" spans="1:4" ht="19.899999999999999" customHeight="1">
      <c r="A1542" s="11" t="s">
        <v>27</v>
      </c>
      <c r="B1542" s="12" t="s">
        <v>35</v>
      </c>
      <c r="C1542" s="12"/>
      <c r="D1542" s="12">
        <v>2014</v>
      </c>
    </row>
    <row r="1543" spans="1:4" ht="19.899999999999999" customHeight="1">
      <c r="A1543" s="11" t="s">
        <v>28</v>
      </c>
      <c r="B1543" s="12" t="s">
        <v>35</v>
      </c>
      <c r="C1543" s="12"/>
      <c r="D1543" s="12">
        <v>2014</v>
      </c>
    </row>
    <row r="1544" spans="1:4" ht="19.899999999999999" customHeight="1">
      <c r="A1544" s="11" t="s">
        <v>29</v>
      </c>
      <c r="B1544" s="12" t="s">
        <v>35</v>
      </c>
      <c r="C1544" s="12"/>
      <c r="D1544" s="12">
        <v>2014</v>
      </c>
    </row>
    <row r="1545" spans="1:4" ht="19.899999999999999" customHeight="1">
      <c r="A1545" s="11" t="s">
        <v>4</v>
      </c>
      <c r="B1545" s="12" t="s">
        <v>35</v>
      </c>
      <c r="C1545" s="12"/>
      <c r="D1545" s="12">
        <v>2015</v>
      </c>
    </row>
    <row r="1546" spans="1:4" ht="19.899999999999999" customHeight="1">
      <c r="A1546" s="11" t="s">
        <v>5</v>
      </c>
      <c r="B1546" s="12" t="s">
        <v>35</v>
      </c>
      <c r="C1546" s="12"/>
      <c r="D1546" s="12">
        <v>2015</v>
      </c>
    </row>
    <row r="1547" spans="1:4" ht="19.899999999999999" customHeight="1">
      <c r="A1547" s="11" t="s">
        <v>6</v>
      </c>
      <c r="B1547" s="12" t="s">
        <v>35</v>
      </c>
      <c r="C1547" s="12"/>
      <c r="D1547" s="12">
        <v>2015</v>
      </c>
    </row>
    <row r="1548" spans="1:4" ht="19.899999999999999" customHeight="1">
      <c r="A1548" s="11" t="s">
        <v>7</v>
      </c>
      <c r="B1548" s="12" t="s">
        <v>35</v>
      </c>
      <c r="C1548" s="12"/>
      <c r="D1548" s="12">
        <v>2015</v>
      </c>
    </row>
    <row r="1549" spans="1:4" ht="19.899999999999999" customHeight="1">
      <c r="A1549" s="11" t="s">
        <v>8</v>
      </c>
      <c r="B1549" s="12" t="s">
        <v>35</v>
      </c>
      <c r="C1549" s="12">
        <v>44.407260894775398</v>
      </c>
      <c r="D1549" s="12">
        <v>2015</v>
      </c>
    </row>
    <row r="1550" spans="1:4" ht="19.899999999999999" customHeight="1">
      <c r="A1550" s="11" t="s">
        <v>1</v>
      </c>
      <c r="B1550" s="12" t="s">
        <v>35</v>
      </c>
      <c r="C1550" s="12">
        <v>13.980970382690399</v>
      </c>
      <c r="D1550" s="12">
        <v>2015</v>
      </c>
    </row>
    <row r="1551" spans="1:4" ht="19.899999999999999" customHeight="1">
      <c r="A1551" s="11" t="s">
        <v>9</v>
      </c>
      <c r="B1551" s="12" t="s">
        <v>35</v>
      </c>
      <c r="C1551" s="12"/>
      <c r="D1551" s="12">
        <v>2015</v>
      </c>
    </row>
    <row r="1552" spans="1:4" ht="19.899999999999999" customHeight="1">
      <c r="A1552" s="11" t="s">
        <v>10</v>
      </c>
      <c r="B1552" s="12" t="s">
        <v>35</v>
      </c>
      <c r="C1552" s="12"/>
      <c r="D1552" s="12">
        <v>2015</v>
      </c>
    </row>
    <row r="1553" spans="1:4" ht="19.899999999999999" customHeight="1">
      <c r="A1553" s="11" t="s">
        <v>11</v>
      </c>
      <c r="B1553" s="12" t="s">
        <v>35</v>
      </c>
      <c r="C1553" s="12"/>
      <c r="D1553" s="12">
        <v>2015</v>
      </c>
    </row>
    <row r="1554" spans="1:4" ht="19.899999999999999" customHeight="1">
      <c r="A1554" s="11" t="s">
        <v>38</v>
      </c>
      <c r="B1554" s="12" t="s">
        <v>35</v>
      </c>
      <c r="C1554" s="12"/>
      <c r="D1554" s="12">
        <v>2015</v>
      </c>
    </row>
    <row r="1555" spans="1:4" ht="19.899999999999999" customHeight="1">
      <c r="A1555" s="11" t="s">
        <v>12</v>
      </c>
      <c r="B1555" s="12" t="s">
        <v>35</v>
      </c>
      <c r="C1555" s="12">
        <v>62.316730499267599</v>
      </c>
      <c r="D1555" s="12">
        <v>2015</v>
      </c>
    </row>
    <row r="1556" spans="1:4" ht="19.899999999999999" customHeight="1">
      <c r="A1556" s="11" t="s">
        <v>13</v>
      </c>
      <c r="B1556" s="12" t="s">
        <v>35</v>
      </c>
      <c r="C1556" s="12"/>
      <c r="D1556" s="12">
        <v>2015</v>
      </c>
    </row>
    <row r="1557" spans="1:4" ht="19.899999999999999" customHeight="1">
      <c r="A1557" s="11" t="s">
        <v>14</v>
      </c>
      <c r="B1557" s="12" t="s">
        <v>35</v>
      </c>
      <c r="C1557" s="12"/>
      <c r="D1557" s="12">
        <v>2015</v>
      </c>
    </row>
    <row r="1558" spans="1:4" ht="19.899999999999999" customHeight="1">
      <c r="A1558" s="11" t="s">
        <v>15</v>
      </c>
      <c r="B1558" s="12" t="s">
        <v>35</v>
      </c>
      <c r="C1558" s="12">
        <v>39.432060241699197</v>
      </c>
      <c r="D1558" s="12">
        <v>2015</v>
      </c>
    </row>
    <row r="1559" spans="1:4" ht="19.899999999999999" customHeight="1">
      <c r="A1559" s="11" t="s">
        <v>16</v>
      </c>
      <c r="B1559" s="12" t="s">
        <v>35</v>
      </c>
      <c r="C1559" s="12">
        <v>10.0500297546387</v>
      </c>
      <c r="D1559" s="12">
        <v>2015</v>
      </c>
    </row>
    <row r="1560" spans="1:4" ht="19.899999999999999" customHeight="1">
      <c r="A1560" s="11" t="s">
        <v>17</v>
      </c>
      <c r="B1560" s="12" t="s">
        <v>35</v>
      </c>
      <c r="C1560" s="12">
        <v>10.4336996078491</v>
      </c>
      <c r="D1560" s="12">
        <v>2015</v>
      </c>
    </row>
    <row r="1561" spans="1:4" ht="19.899999999999999" customHeight="1">
      <c r="A1561" s="11" t="s">
        <v>18</v>
      </c>
      <c r="B1561" s="12" t="s">
        <v>35</v>
      </c>
      <c r="C1561" s="12"/>
      <c r="D1561" s="12">
        <v>2015</v>
      </c>
    </row>
    <row r="1562" spans="1:4" ht="19.899999999999999" customHeight="1">
      <c r="A1562" s="11" t="s">
        <v>19</v>
      </c>
      <c r="B1562" s="12" t="s">
        <v>35</v>
      </c>
      <c r="C1562" s="12">
        <v>3.2266199588775599</v>
      </c>
      <c r="D1562" s="12">
        <v>2015</v>
      </c>
    </row>
    <row r="1563" spans="1:4" ht="19.899999999999999" customHeight="1">
      <c r="A1563" s="11" t="s">
        <v>20</v>
      </c>
      <c r="B1563" s="12" t="s">
        <v>35</v>
      </c>
      <c r="C1563" s="12"/>
      <c r="D1563" s="12">
        <v>2015</v>
      </c>
    </row>
    <row r="1564" spans="1:4" ht="19.899999999999999" customHeight="1">
      <c r="A1564" s="11" t="s">
        <v>21</v>
      </c>
      <c r="B1564" s="12" t="s">
        <v>35</v>
      </c>
      <c r="C1564" s="12">
        <v>37.314300537109403</v>
      </c>
      <c r="D1564" s="12">
        <v>2015</v>
      </c>
    </row>
    <row r="1565" spans="1:4" ht="19.899999999999999" customHeight="1">
      <c r="A1565" s="11" t="s">
        <v>22</v>
      </c>
      <c r="B1565" s="12" t="s">
        <v>35</v>
      </c>
      <c r="C1565" s="12"/>
      <c r="D1565" s="12">
        <v>2015</v>
      </c>
    </row>
    <row r="1566" spans="1:4" ht="19.899999999999999" customHeight="1">
      <c r="A1566" s="11" t="s">
        <v>23</v>
      </c>
      <c r="B1566" s="12" t="s">
        <v>35</v>
      </c>
      <c r="C1566" s="12">
        <v>8.6431398391723597</v>
      </c>
      <c r="D1566" s="12">
        <v>2015</v>
      </c>
    </row>
    <row r="1567" spans="1:4" ht="19.899999999999999" customHeight="1">
      <c r="A1567" s="11" t="s">
        <v>24</v>
      </c>
      <c r="B1567" s="12" t="s">
        <v>35</v>
      </c>
      <c r="C1567" s="12">
        <v>0.918789982795715</v>
      </c>
      <c r="D1567" s="12">
        <v>2015</v>
      </c>
    </row>
    <row r="1568" spans="1:4" ht="19.899999999999999" customHeight="1">
      <c r="A1568" s="11" t="s">
        <v>25</v>
      </c>
      <c r="B1568" s="12" t="s">
        <v>35</v>
      </c>
      <c r="C1568" s="12">
        <v>4.8934798240661603</v>
      </c>
      <c r="D1568" s="12">
        <v>2015</v>
      </c>
    </row>
    <row r="1569" spans="1:4" ht="19.899999999999999" customHeight="1">
      <c r="A1569" s="11" t="s">
        <v>26</v>
      </c>
      <c r="B1569" s="12" t="s">
        <v>35</v>
      </c>
      <c r="C1569" s="12"/>
      <c r="D1569" s="12">
        <v>2015</v>
      </c>
    </row>
    <row r="1570" spans="1:4" ht="19.899999999999999" customHeight="1">
      <c r="A1570" s="11" t="s">
        <v>27</v>
      </c>
      <c r="B1570" s="12" t="s">
        <v>35</v>
      </c>
      <c r="C1570" s="12"/>
      <c r="D1570" s="12">
        <v>2015</v>
      </c>
    </row>
    <row r="1571" spans="1:4" ht="19.899999999999999" customHeight="1">
      <c r="A1571" s="11" t="s">
        <v>28</v>
      </c>
      <c r="B1571" s="12" t="s">
        <v>35</v>
      </c>
      <c r="C1571" s="12"/>
      <c r="D1571" s="12">
        <v>2015</v>
      </c>
    </row>
    <row r="1572" spans="1:4" ht="19.899999999999999" customHeight="1">
      <c r="A1572" s="11" t="s">
        <v>29</v>
      </c>
      <c r="B1572" s="12" t="s">
        <v>35</v>
      </c>
      <c r="C1572" s="12"/>
      <c r="D1572" s="12">
        <v>2015</v>
      </c>
    </row>
    <row r="1573" spans="1:4" ht="19.899999999999999" customHeight="1">
      <c r="A1573" s="11" t="s">
        <v>4</v>
      </c>
      <c r="B1573" s="12" t="s">
        <v>35</v>
      </c>
      <c r="C1573" s="12"/>
      <c r="D1573" s="12">
        <v>2016</v>
      </c>
    </row>
    <row r="1574" spans="1:4" ht="19.899999999999999" customHeight="1">
      <c r="A1574" s="11" t="s">
        <v>5</v>
      </c>
      <c r="B1574" s="12" t="s">
        <v>35</v>
      </c>
      <c r="C1574" s="12">
        <v>4.7259798049926802</v>
      </c>
      <c r="D1574" s="12">
        <v>2016</v>
      </c>
    </row>
    <row r="1575" spans="1:4" ht="19.899999999999999" customHeight="1">
      <c r="A1575" s="11" t="s">
        <v>6</v>
      </c>
      <c r="B1575" s="12" t="s">
        <v>35</v>
      </c>
      <c r="C1575" s="12"/>
      <c r="D1575" s="12">
        <v>2016</v>
      </c>
    </row>
    <row r="1576" spans="1:4" ht="19.899999999999999" customHeight="1">
      <c r="A1576" s="11" t="s">
        <v>7</v>
      </c>
      <c r="B1576" s="12" t="s">
        <v>35</v>
      </c>
      <c r="C1576" s="12"/>
      <c r="D1576" s="12">
        <v>2016</v>
      </c>
    </row>
    <row r="1577" spans="1:4" ht="19.899999999999999" customHeight="1">
      <c r="A1577" s="11" t="s">
        <v>8</v>
      </c>
      <c r="B1577" s="12" t="s">
        <v>35</v>
      </c>
      <c r="C1577" s="12">
        <v>47.578090667724602</v>
      </c>
      <c r="D1577" s="12">
        <v>2016</v>
      </c>
    </row>
    <row r="1578" spans="1:4" ht="19.899999999999999" customHeight="1">
      <c r="A1578" s="11" t="s">
        <v>1</v>
      </c>
      <c r="B1578" s="12" t="s">
        <v>35</v>
      </c>
      <c r="C1578" s="12"/>
      <c r="D1578" s="12">
        <v>2016</v>
      </c>
    </row>
    <row r="1579" spans="1:4" ht="19.899999999999999" customHeight="1">
      <c r="A1579" s="11" t="s">
        <v>9</v>
      </c>
      <c r="B1579" s="12" t="s">
        <v>35</v>
      </c>
      <c r="C1579" s="12"/>
      <c r="D1579" s="12">
        <v>2016</v>
      </c>
    </row>
    <row r="1580" spans="1:4" ht="19.899999999999999" customHeight="1">
      <c r="A1580" s="11" t="s">
        <v>10</v>
      </c>
      <c r="B1580" s="12" t="s">
        <v>35</v>
      </c>
      <c r="C1580" s="12"/>
      <c r="D1580" s="12">
        <v>2016</v>
      </c>
    </row>
    <row r="1581" spans="1:4" ht="19.899999999999999" customHeight="1">
      <c r="A1581" s="11" t="s">
        <v>11</v>
      </c>
      <c r="B1581" s="12" t="s">
        <v>35</v>
      </c>
      <c r="C1581" s="12"/>
      <c r="D1581" s="12">
        <v>2016</v>
      </c>
    </row>
    <row r="1582" spans="1:4" ht="19.899999999999999" customHeight="1">
      <c r="A1582" s="11" t="s">
        <v>38</v>
      </c>
      <c r="B1582" s="12" t="s">
        <v>35</v>
      </c>
      <c r="C1582" s="12"/>
      <c r="D1582" s="12">
        <v>2016</v>
      </c>
    </row>
    <row r="1583" spans="1:4" ht="19.899999999999999" customHeight="1">
      <c r="A1583" s="11" t="s">
        <v>12</v>
      </c>
      <c r="B1583" s="12" t="s">
        <v>35</v>
      </c>
      <c r="C1583" s="12"/>
      <c r="D1583" s="12">
        <v>2016</v>
      </c>
    </row>
    <row r="1584" spans="1:4" ht="19.899999999999999" customHeight="1">
      <c r="A1584" s="11" t="s">
        <v>13</v>
      </c>
      <c r="B1584" s="12" t="s">
        <v>35</v>
      </c>
      <c r="C1584" s="12"/>
      <c r="D1584" s="12">
        <v>2016</v>
      </c>
    </row>
    <row r="1585" spans="1:4" ht="19.899999999999999" customHeight="1">
      <c r="A1585" s="11" t="s">
        <v>14</v>
      </c>
      <c r="B1585" s="12" t="s">
        <v>35</v>
      </c>
      <c r="C1585" s="12"/>
      <c r="D1585" s="12">
        <v>2016</v>
      </c>
    </row>
    <row r="1586" spans="1:4" ht="19.899999999999999" customHeight="1">
      <c r="A1586" s="11" t="s">
        <v>15</v>
      </c>
      <c r="B1586" s="12" t="s">
        <v>35</v>
      </c>
      <c r="C1586" s="12">
        <v>37.934040069580099</v>
      </c>
      <c r="D1586" s="12">
        <v>2016</v>
      </c>
    </row>
    <row r="1587" spans="1:4" ht="19.899999999999999" customHeight="1">
      <c r="A1587" s="11" t="s">
        <v>16</v>
      </c>
      <c r="B1587" s="12" t="s">
        <v>35</v>
      </c>
      <c r="C1587" s="12"/>
      <c r="D1587" s="12">
        <v>2016</v>
      </c>
    </row>
    <row r="1588" spans="1:4" ht="19.899999999999999" customHeight="1">
      <c r="A1588" s="11" t="s">
        <v>17</v>
      </c>
      <c r="B1588" s="12" t="s">
        <v>35</v>
      </c>
      <c r="C1588" s="12"/>
      <c r="D1588" s="12">
        <v>2016</v>
      </c>
    </row>
    <row r="1589" spans="1:4" ht="19.899999999999999" customHeight="1">
      <c r="A1589" s="11" t="s">
        <v>18</v>
      </c>
      <c r="B1589" s="12" t="s">
        <v>35</v>
      </c>
      <c r="C1589" s="12"/>
      <c r="D1589" s="12">
        <v>2016</v>
      </c>
    </row>
    <row r="1590" spans="1:4" ht="19.899999999999999" customHeight="1">
      <c r="A1590" s="11" t="s">
        <v>19</v>
      </c>
      <c r="B1590" s="12" t="s">
        <v>35</v>
      </c>
      <c r="C1590" s="12">
        <v>3.2333800792694101</v>
      </c>
      <c r="D1590" s="12">
        <v>2016</v>
      </c>
    </row>
    <row r="1591" spans="1:4" ht="19.899999999999999" customHeight="1">
      <c r="A1591" s="11" t="s">
        <v>20</v>
      </c>
      <c r="B1591" s="12" t="s">
        <v>35</v>
      </c>
      <c r="C1591" s="12"/>
      <c r="D1591" s="12">
        <v>2016</v>
      </c>
    </row>
    <row r="1592" spans="1:4" ht="19.899999999999999" customHeight="1">
      <c r="A1592" s="11" t="s">
        <v>21</v>
      </c>
      <c r="B1592" s="12" t="s">
        <v>35</v>
      </c>
      <c r="C1592" s="12">
        <v>36.205238342285199</v>
      </c>
      <c r="D1592" s="12">
        <v>2016</v>
      </c>
    </row>
    <row r="1593" spans="1:4" ht="19.899999999999999" customHeight="1">
      <c r="A1593" s="11" t="s">
        <v>22</v>
      </c>
      <c r="B1593" s="12" t="s">
        <v>35</v>
      </c>
      <c r="C1593" s="12">
        <v>4.1380300521850604</v>
      </c>
      <c r="D1593" s="12">
        <v>2016</v>
      </c>
    </row>
    <row r="1594" spans="1:4" ht="19.899999999999999" customHeight="1">
      <c r="A1594" s="11" t="s">
        <v>23</v>
      </c>
      <c r="B1594" s="12" t="s">
        <v>35</v>
      </c>
      <c r="C1594" s="12"/>
      <c r="D1594" s="12">
        <v>2016</v>
      </c>
    </row>
    <row r="1595" spans="1:4" ht="19.899999999999999" customHeight="1">
      <c r="A1595" s="11" t="s">
        <v>24</v>
      </c>
      <c r="B1595" s="12" t="s">
        <v>35</v>
      </c>
      <c r="C1595" s="12">
        <v>0.91990000009536699</v>
      </c>
      <c r="D1595" s="12">
        <v>2016</v>
      </c>
    </row>
    <row r="1596" spans="1:4" ht="19.899999999999999" customHeight="1">
      <c r="A1596" s="11" t="s">
        <v>25</v>
      </c>
      <c r="B1596" s="12" t="s">
        <v>35</v>
      </c>
      <c r="C1596" s="12">
        <v>4.5274701118469203</v>
      </c>
      <c r="D1596" s="12">
        <v>2016</v>
      </c>
    </row>
    <row r="1597" spans="1:4" ht="19.899999999999999" customHeight="1">
      <c r="A1597" s="11" t="s">
        <v>26</v>
      </c>
      <c r="B1597" s="12" t="s">
        <v>35</v>
      </c>
      <c r="C1597" s="12"/>
      <c r="D1597" s="12">
        <v>2016</v>
      </c>
    </row>
    <row r="1598" spans="1:4" ht="19.899999999999999" customHeight="1">
      <c r="A1598" s="11" t="s">
        <v>27</v>
      </c>
      <c r="B1598" s="12" t="s">
        <v>35</v>
      </c>
      <c r="C1598" s="12"/>
      <c r="D1598" s="12">
        <v>2016</v>
      </c>
    </row>
    <row r="1599" spans="1:4" ht="19.899999999999999" customHeight="1">
      <c r="A1599" s="11" t="s">
        <v>28</v>
      </c>
      <c r="B1599" s="12" t="s">
        <v>35</v>
      </c>
      <c r="C1599" s="12"/>
      <c r="D1599" s="12">
        <v>2016</v>
      </c>
    </row>
    <row r="1600" spans="1:4" ht="19.899999999999999" customHeight="1">
      <c r="A1600" s="11" t="s">
        <v>29</v>
      </c>
      <c r="B1600" s="12" t="s">
        <v>35</v>
      </c>
      <c r="C1600" s="12"/>
      <c r="D1600" s="12">
        <v>2016</v>
      </c>
    </row>
    <row r="1601" spans="1:4" ht="19.899999999999999" customHeight="1">
      <c r="A1601" s="11" t="s">
        <v>4</v>
      </c>
      <c r="B1601" s="12" t="s">
        <v>35</v>
      </c>
      <c r="C1601" s="12"/>
      <c r="D1601" s="12">
        <v>2017</v>
      </c>
    </row>
    <row r="1602" spans="1:4" ht="19.899999999999999" customHeight="1">
      <c r="A1602" s="11" t="s">
        <v>5</v>
      </c>
      <c r="B1602" s="12" t="s">
        <v>35</v>
      </c>
      <c r="C1602" s="12"/>
      <c r="D1602" s="12">
        <v>2017</v>
      </c>
    </row>
    <row r="1603" spans="1:4" ht="19.899999999999999" customHeight="1">
      <c r="A1603" s="11" t="s">
        <v>6</v>
      </c>
      <c r="B1603" s="12" t="s">
        <v>35</v>
      </c>
      <c r="C1603" s="12"/>
      <c r="D1603" s="12">
        <v>2017</v>
      </c>
    </row>
    <row r="1604" spans="1:4" ht="19.899999999999999" customHeight="1">
      <c r="A1604" s="11" t="s">
        <v>7</v>
      </c>
      <c r="B1604" s="12" t="s">
        <v>35</v>
      </c>
      <c r="C1604" s="12"/>
      <c r="D1604" s="12">
        <v>2017</v>
      </c>
    </row>
    <row r="1605" spans="1:4" ht="19.899999999999999" customHeight="1">
      <c r="A1605" s="11" t="s">
        <v>8</v>
      </c>
      <c r="B1605" s="12" t="s">
        <v>35</v>
      </c>
      <c r="C1605" s="12">
        <v>40.927219390869098</v>
      </c>
      <c r="D1605" s="12">
        <v>2017</v>
      </c>
    </row>
    <row r="1606" spans="1:4" ht="19.899999999999999" customHeight="1">
      <c r="A1606" s="11" t="s">
        <v>1</v>
      </c>
      <c r="B1606" s="12" t="s">
        <v>35</v>
      </c>
      <c r="C1606" s="12"/>
      <c r="D1606" s="12">
        <v>2017</v>
      </c>
    </row>
    <row r="1607" spans="1:4" ht="19.899999999999999" customHeight="1">
      <c r="A1607" s="11" t="s">
        <v>9</v>
      </c>
      <c r="B1607" s="12" t="s">
        <v>35</v>
      </c>
      <c r="C1607" s="12"/>
      <c r="D1607" s="12">
        <v>2017</v>
      </c>
    </row>
    <row r="1608" spans="1:4" ht="19.899999999999999" customHeight="1">
      <c r="A1608" s="11" t="s">
        <v>10</v>
      </c>
      <c r="B1608" s="12" t="s">
        <v>35</v>
      </c>
      <c r="C1608" s="12"/>
      <c r="D1608" s="12">
        <v>2017</v>
      </c>
    </row>
    <row r="1609" spans="1:4" ht="19.899999999999999" customHeight="1">
      <c r="A1609" s="11" t="s">
        <v>11</v>
      </c>
      <c r="B1609" s="12" t="s">
        <v>35</v>
      </c>
      <c r="C1609" s="12"/>
      <c r="D1609" s="12">
        <v>2017</v>
      </c>
    </row>
    <row r="1610" spans="1:4" ht="19.899999999999999" customHeight="1">
      <c r="A1610" s="11" t="s">
        <v>38</v>
      </c>
      <c r="B1610" s="12" t="s">
        <v>35</v>
      </c>
      <c r="C1610" s="12"/>
      <c r="D1610" s="12">
        <v>2017</v>
      </c>
    </row>
    <row r="1611" spans="1:4" ht="19.899999999999999" customHeight="1">
      <c r="A1611" s="11" t="s">
        <v>12</v>
      </c>
      <c r="B1611" s="12" t="s">
        <v>35</v>
      </c>
      <c r="C1611" s="12"/>
      <c r="D1611" s="12">
        <v>2017</v>
      </c>
    </row>
    <row r="1612" spans="1:4" ht="19.899999999999999" customHeight="1">
      <c r="A1612" s="11" t="s">
        <v>13</v>
      </c>
      <c r="B1612" s="12" t="s">
        <v>35</v>
      </c>
      <c r="C1612" s="12"/>
      <c r="D1612" s="12">
        <v>2017</v>
      </c>
    </row>
    <row r="1613" spans="1:4" ht="19.899999999999999" customHeight="1">
      <c r="A1613" s="11" t="s">
        <v>14</v>
      </c>
      <c r="B1613" s="12" t="s">
        <v>35</v>
      </c>
      <c r="C1613" s="12"/>
      <c r="D1613" s="12">
        <v>2017</v>
      </c>
    </row>
    <row r="1614" spans="1:4" ht="19.899999999999999" customHeight="1">
      <c r="A1614" s="11" t="s">
        <v>15</v>
      </c>
      <c r="B1614" s="12" t="s">
        <v>35</v>
      </c>
      <c r="C1614" s="12"/>
      <c r="D1614" s="12">
        <v>2017</v>
      </c>
    </row>
    <row r="1615" spans="1:4" ht="19.899999999999999" customHeight="1">
      <c r="A1615" s="11" t="s">
        <v>16</v>
      </c>
      <c r="B1615" s="12" t="s">
        <v>35</v>
      </c>
      <c r="C1615" s="12"/>
      <c r="D1615" s="12">
        <v>2017</v>
      </c>
    </row>
    <row r="1616" spans="1:4" ht="19.899999999999999" customHeight="1">
      <c r="A1616" s="11" t="s">
        <v>17</v>
      </c>
      <c r="B1616" s="12" t="s">
        <v>35</v>
      </c>
      <c r="C1616" s="12"/>
      <c r="D1616" s="12">
        <v>2017</v>
      </c>
    </row>
    <row r="1617" spans="1:4" ht="19.899999999999999" customHeight="1">
      <c r="A1617" s="11" t="s">
        <v>18</v>
      </c>
      <c r="B1617" s="12" t="s">
        <v>35</v>
      </c>
      <c r="C1617" s="12">
        <v>0.45471000671386702</v>
      </c>
      <c r="D1617" s="12">
        <v>2017</v>
      </c>
    </row>
    <row r="1618" spans="1:4" ht="19.899999999999999" customHeight="1">
      <c r="A1618" s="11" t="s">
        <v>19</v>
      </c>
      <c r="B1618" s="12" t="s">
        <v>35</v>
      </c>
      <c r="C1618" s="12">
        <v>5.1637601852417001</v>
      </c>
      <c r="D1618" s="12">
        <v>2017</v>
      </c>
    </row>
    <row r="1619" spans="1:4" ht="19.899999999999999" customHeight="1">
      <c r="A1619" s="11" t="s">
        <v>20</v>
      </c>
      <c r="B1619" s="12" t="s">
        <v>35</v>
      </c>
      <c r="C1619" s="12"/>
      <c r="D1619" s="12">
        <v>2017</v>
      </c>
    </row>
    <row r="1620" spans="1:4" ht="19.899999999999999" customHeight="1">
      <c r="A1620" s="11" t="s">
        <v>21</v>
      </c>
      <c r="B1620" s="12" t="s">
        <v>35</v>
      </c>
      <c r="C1620" s="12"/>
      <c r="D1620" s="12">
        <v>2017</v>
      </c>
    </row>
    <row r="1621" spans="1:4" ht="19.899999999999999" customHeight="1">
      <c r="A1621" s="11" t="s">
        <v>22</v>
      </c>
      <c r="B1621" s="12" t="s">
        <v>35</v>
      </c>
      <c r="C1621" s="12"/>
      <c r="D1621" s="12">
        <v>2017</v>
      </c>
    </row>
    <row r="1622" spans="1:4" ht="19.899999999999999" customHeight="1">
      <c r="A1622" s="11" t="s">
        <v>23</v>
      </c>
      <c r="B1622" s="12" t="s">
        <v>35</v>
      </c>
      <c r="C1622" s="12">
        <v>3.0040600299835201</v>
      </c>
      <c r="D1622" s="12">
        <v>2017</v>
      </c>
    </row>
    <row r="1623" spans="1:4" ht="19.899999999999999" customHeight="1">
      <c r="A1623" s="11" t="s">
        <v>24</v>
      </c>
      <c r="B1623" s="12" t="s">
        <v>35</v>
      </c>
      <c r="C1623" s="12"/>
      <c r="D1623" s="12">
        <v>2017</v>
      </c>
    </row>
    <row r="1624" spans="1:4" ht="19.899999999999999" customHeight="1">
      <c r="A1624" s="11" t="s">
        <v>25</v>
      </c>
      <c r="B1624" s="12" t="s">
        <v>35</v>
      </c>
      <c r="C1624" s="12">
        <v>1.4653899669647199</v>
      </c>
      <c r="D1624" s="12">
        <v>2017</v>
      </c>
    </row>
    <row r="1625" spans="1:4" ht="19.899999999999999" customHeight="1">
      <c r="A1625" s="11" t="s">
        <v>26</v>
      </c>
      <c r="B1625" s="12" t="s">
        <v>35</v>
      </c>
      <c r="C1625" s="12"/>
      <c r="D1625" s="12">
        <v>2017</v>
      </c>
    </row>
    <row r="1626" spans="1:4" ht="19.899999999999999" customHeight="1">
      <c r="A1626" s="11" t="s">
        <v>27</v>
      </c>
      <c r="B1626" s="12" t="s">
        <v>35</v>
      </c>
      <c r="C1626" s="12"/>
      <c r="D1626" s="12">
        <v>2017</v>
      </c>
    </row>
    <row r="1627" spans="1:4" ht="19.899999999999999" customHeight="1">
      <c r="A1627" s="11" t="s">
        <v>28</v>
      </c>
      <c r="B1627" s="12" t="s">
        <v>35</v>
      </c>
      <c r="C1627" s="12"/>
      <c r="D1627" s="12">
        <v>2017</v>
      </c>
    </row>
    <row r="1628" spans="1:4" ht="19.899999999999999" customHeight="1">
      <c r="A1628" s="11" t="s">
        <v>29</v>
      </c>
      <c r="B1628" s="12" t="s">
        <v>35</v>
      </c>
      <c r="C1628" s="12"/>
      <c r="D1628" s="12">
        <v>2017</v>
      </c>
    </row>
  </sheetData>
  <mergeCells count="2">
    <mergeCell ref="G2:K2"/>
    <mergeCell ref="J4:K4"/>
  </mergeCells>
  <phoneticPr fontId="11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nlever">
                <anchor moveWithCells="1" sizeWithCells="1">
                  <from>
                    <xdr:col>5</xdr:col>
                    <xdr:colOff>0</xdr:colOff>
                    <xdr:row>6</xdr:row>
                    <xdr:rowOff>38100</xdr:rowOff>
                  </from>
                  <to>
                    <xdr:col>5</xdr:col>
                    <xdr:colOff>1009650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fficher">
                <anchor moveWithCells="1" sizeWithCells="1">
                  <from>
                    <xdr:col>5</xdr:col>
                    <xdr:colOff>0</xdr:colOff>
                    <xdr:row>3</xdr:row>
                    <xdr:rowOff>257175</xdr:rowOff>
                  </from>
                  <to>
                    <xdr:col>5</xdr:col>
                    <xdr:colOff>1009650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omite 5">
              <controlPr defaultSize="0" print="0" autoFill="0" autoPict="0" macro="[0]!SelectSheet">
                <anchor moveWithCells="1" sizeWithCells="1">
                  <from>
                    <xdr:col>4</xdr:col>
                    <xdr:colOff>819150</xdr:colOff>
                    <xdr:row>8</xdr:row>
                    <xdr:rowOff>95250</xdr:rowOff>
                  </from>
                  <to>
                    <xdr:col>5</xdr:col>
                    <xdr:colOff>1000125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2:K1628"/>
  <sheetViews>
    <sheetView showGridLines="0" topLeftCell="E19" zoomScale="80" zoomScaleNormal="80" workbookViewId="0">
      <selection activeCell="G2" sqref="G2:K2"/>
    </sheetView>
  </sheetViews>
  <sheetFormatPr baseColWidth="10" defaultColWidth="8" defaultRowHeight="19.899999999999999" customHeight="1"/>
  <cols>
    <col min="1" max="1" width="20.375" style="1" hidden="1" customWidth="1"/>
    <col min="2" max="2" width="52.125" style="1" hidden="1" customWidth="1"/>
    <col min="3" max="3" width="14.25" style="1" hidden="1" customWidth="1"/>
    <col min="4" max="4" width="0" style="1" hidden="1" customWidth="1"/>
    <col min="5" max="5" width="10.625" style="1" customWidth="1"/>
    <col min="6" max="6" width="14.5" style="1" customWidth="1"/>
    <col min="7" max="7" width="26.875" style="1" customWidth="1"/>
    <col min="8" max="8" width="78.5" style="1" customWidth="1"/>
    <col min="9" max="9" width="5.25" style="1" customWidth="1"/>
    <col min="10" max="10" width="13" style="1" bestFit="1" customWidth="1"/>
    <col min="11" max="11" width="16.625" style="1" bestFit="1" customWidth="1"/>
    <col min="12" max="38" width="16.375" style="1" customWidth="1"/>
    <col min="39" max="39" width="12.375" style="1" bestFit="1" customWidth="1"/>
    <col min="40" max="65" width="21" style="1" bestFit="1" customWidth="1"/>
    <col min="66" max="66" width="14.625" style="1" bestFit="1" customWidth="1"/>
    <col min="67" max="67" width="14.5" style="1" bestFit="1" customWidth="1"/>
    <col min="68" max="16384" width="8" style="1"/>
  </cols>
  <sheetData>
    <row r="2" spans="1:11" ht="25.15" customHeight="1">
      <c r="G2" s="30" t="s">
        <v>46</v>
      </c>
      <c r="H2" s="30"/>
      <c r="I2" s="30"/>
      <c r="J2" s="30"/>
      <c r="K2" s="30"/>
    </row>
    <row r="3" spans="1:11" ht="10.15" customHeight="1"/>
    <row r="4" spans="1:11" ht="22.15" customHeight="1" thickBot="1">
      <c r="A4" s="7" t="s">
        <v>30</v>
      </c>
      <c r="B4" s="7" t="s">
        <v>31</v>
      </c>
      <c r="C4" s="7" t="s">
        <v>32</v>
      </c>
      <c r="D4" s="7" t="s">
        <v>3</v>
      </c>
      <c r="H4" s="8" t="s">
        <v>33</v>
      </c>
      <c r="J4" s="34" t="s">
        <v>34</v>
      </c>
      <c r="K4" s="34"/>
    </row>
    <row r="5" spans="1:11" ht="24.75" thickTop="1">
      <c r="A5" s="9" t="s">
        <v>4</v>
      </c>
      <c r="B5" s="13" t="s">
        <v>40</v>
      </c>
      <c r="C5" s="10"/>
      <c r="D5" s="10">
        <v>1960</v>
      </c>
      <c r="J5" s="27" t="s">
        <v>36</v>
      </c>
      <c r="K5" s="27" t="s">
        <v>30</v>
      </c>
    </row>
    <row r="6" spans="1:11" ht="24">
      <c r="A6" s="9" t="s">
        <v>5</v>
      </c>
      <c r="B6" s="13" t="s">
        <v>41</v>
      </c>
      <c r="C6" s="10"/>
      <c r="D6" s="10">
        <v>1960</v>
      </c>
      <c r="J6" s="28" t="s">
        <v>3</v>
      </c>
      <c r="K6" s="28" t="s">
        <v>1</v>
      </c>
    </row>
    <row r="7" spans="1:11" ht="24">
      <c r="A7" s="9" t="s">
        <v>6</v>
      </c>
      <c r="B7" s="13" t="s">
        <v>41</v>
      </c>
      <c r="C7" s="10"/>
      <c r="D7" s="10">
        <v>1960</v>
      </c>
      <c r="J7" s="15">
        <v>1980</v>
      </c>
      <c r="K7" s="25">
        <v>12.3555402755737</v>
      </c>
    </row>
    <row r="8" spans="1:11" ht="24">
      <c r="A8" s="9" t="s">
        <v>7</v>
      </c>
      <c r="B8" s="13" t="s">
        <v>41</v>
      </c>
      <c r="C8" s="10"/>
      <c r="D8" s="10">
        <v>1960</v>
      </c>
      <c r="J8" s="15">
        <v>1981</v>
      </c>
      <c r="K8" s="25">
        <v>12.4869899749756</v>
      </c>
    </row>
    <row r="9" spans="1:11" ht="24">
      <c r="A9" s="9" t="s">
        <v>8</v>
      </c>
      <c r="B9" s="13" t="s">
        <v>41</v>
      </c>
      <c r="C9" s="10"/>
      <c r="D9" s="10">
        <v>1960</v>
      </c>
      <c r="J9" s="15">
        <v>1982</v>
      </c>
      <c r="K9" s="25">
        <v>12.178170204162599</v>
      </c>
    </row>
    <row r="10" spans="1:11" ht="24">
      <c r="A10" s="9" t="s">
        <v>1</v>
      </c>
      <c r="B10" s="13" t="s">
        <v>41</v>
      </c>
      <c r="C10" s="10"/>
      <c r="D10" s="10">
        <v>1960</v>
      </c>
      <c r="J10" s="15">
        <v>1983</v>
      </c>
      <c r="K10" s="25">
        <v>9.7013196945190394</v>
      </c>
    </row>
    <row r="11" spans="1:11" ht="24">
      <c r="A11" s="9" t="s">
        <v>9</v>
      </c>
      <c r="B11" s="13" t="s">
        <v>41</v>
      </c>
      <c r="C11" s="10"/>
      <c r="D11" s="10">
        <v>1960</v>
      </c>
      <c r="J11" s="15">
        <v>1984</v>
      </c>
      <c r="K11" s="25">
        <v>11.8201303482056</v>
      </c>
    </row>
    <row r="12" spans="1:11" ht="24">
      <c r="A12" s="9" t="s">
        <v>10</v>
      </c>
      <c r="B12" s="13" t="s">
        <v>41</v>
      </c>
      <c r="C12" s="10"/>
      <c r="D12" s="10">
        <v>1960</v>
      </c>
      <c r="J12" s="15">
        <v>1985</v>
      </c>
      <c r="K12" s="25">
        <v>10.0891304016113</v>
      </c>
    </row>
    <row r="13" spans="1:11" ht="24">
      <c r="A13" s="9" t="s">
        <v>11</v>
      </c>
      <c r="B13" s="13" t="s">
        <v>41</v>
      </c>
      <c r="C13" s="10"/>
      <c r="D13" s="10">
        <v>1960</v>
      </c>
      <c r="J13" s="15">
        <v>1986</v>
      </c>
      <c r="K13" s="25">
        <v>10.321749687194799</v>
      </c>
    </row>
    <row r="14" spans="1:11" ht="24">
      <c r="A14" s="9" t="s">
        <v>38</v>
      </c>
      <c r="B14" s="13" t="s">
        <v>41</v>
      </c>
      <c r="C14" s="10"/>
      <c r="D14" s="10">
        <v>1960</v>
      </c>
      <c r="J14" s="15">
        <v>1987</v>
      </c>
      <c r="K14" s="25"/>
    </row>
    <row r="15" spans="1:11" ht="24">
      <c r="A15" s="9" t="s">
        <v>12</v>
      </c>
      <c r="B15" s="13" t="s">
        <v>41</v>
      </c>
      <c r="C15" s="10"/>
      <c r="D15" s="10">
        <v>1960</v>
      </c>
      <c r="J15" s="15">
        <v>1988</v>
      </c>
      <c r="K15" s="25"/>
    </row>
    <row r="16" spans="1:11" ht="24">
      <c r="A16" s="9" t="s">
        <v>13</v>
      </c>
      <c r="B16" s="13" t="s">
        <v>41</v>
      </c>
      <c r="C16" s="10"/>
      <c r="D16" s="10">
        <v>1960</v>
      </c>
      <c r="J16" s="15">
        <v>1989</v>
      </c>
      <c r="K16" s="25"/>
    </row>
    <row r="17" spans="1:11" ht="24">
      <c r="A17" s="9" t="s">
        <v>14</v>
      </c>
      <c r="B17" s="13" t="s">
        <v>41</v>
      </c>
      <c r="C17" s="10"/>
      <c r="D17" s="10">
        <v>1960</v>
      </c>
      <c r="J17" s="15">
        <v>1990</v>
      </c>
      <c r="K17" s="25"/>
    </row>
    <row r="18" spans="1:11" ht="24">
      <c r="A18" s="9" t="s">
        <v>15</v>
      </c>
      <c r="B18" s="13" t="s">
        <v>41</v>
      </c>
      <c r="C18" s="10"/>
      <c r="D18" s="10">
        <v>1960</v>
      </c>
      <c r="J18" s="15">
        <v>1991</v>
      </c>
      <c r="K18" s="25"/>
    </row>
    <row r="19" spans="1:11" ht="24">
      <c r="A19" s="9" t="s">
        <v>16</v>
      </c>
      <c r="B19" s="13" t="s">
        <v>41</v>
      </c>
      <c r="C19" s="10"/>
      <c r="D19" s="10">
        <v>1960</v>
      </c>
      <c r="J19" s="15">
        <v>1992</v>
      </c>
      <c r="K19" s="25"/>
    </row>
    <row r="20" spans="1:11" ht="24">
      <c r="A20" s="9" t="s">
        <v>17</v>
      </c>
      <c r="B20" s="13" t="s">
        <v>41</v>
      </c>
      <c r="C20" s="10"/>
      <c r="D20" s="10">
        <v>1960</v>
      </c>
      <c r="H20" s="4" t="s">
        <v>39</v>
      </c>
      <c r="J20" s="15">
        <v>1993</v>
      </c>
      <c r="K20" s="25">
        <v>13.264840126037599</v>
      </c>
    </row>
    <row r="21" spans="1:11" ht="24">
      <c r="A21" s="9" t="s">
        <v>18</v>
      </c>
      <c r="B21" s="13" t="s">
        <v>41</v>
      </c>
      <c r="C21" s="10"/>
      <c r="D21" s="10">
        <v>1960</v>
      </c>
      <c r="J21" s="15">
        <v>1994</v>
      </c>
      <c r="K21" s="25"/>
    </row>
    <row r="22" spans="1:11" ht="24">
      <c r="A22" s="9" t="s">
        <v>19</v>
      </c>
      <c r="B22" s="13" t="s">
        <v>41</v>
      </c>
      <c r="C22" s="10"/>
      <c r="D22" s="10">
        <v>1960</v>
      </c>
      <c r="J22" s="15">
        <v>1995</v>
      </c>
      <c r="K22" s="25"/>
    </row>
    <row r="23" spans="1:11" ht="24">
      <c r="A23" s="9" t="s">
        <v>20</v>
      </c>
      <c r="B23" s="13" t="s">
        <v>41</v>
      </c>
      <c r="C23" s="10"/>
      <c r="D23" s="10">
        <v>1960</v>
      </c>
      <c r="J23" s="15">
        <v>1996</v>
      </c>
      <c r="K23" s="25">
        <v>13.044139862060501</v>
      </c>
    </row>
    <row r="24" spans="1:11" ht="24">
      <c r="A24" s="9" t="s">
        <v>21</v>
      </c>
      <c r="B24" s="13" t="s">
        <v>41</v>
      </c>
      <c r="C24" s="10"/>
      <c r="D24" s="10">
        <v>1960</v>
      </c>
      <c r="J24" s="15">
        <v>1997</v>
      </c>
      <c r="K24" s="25">
        <v>14.8699197769165</v>
      </c>
    </row>
    <row r="25" spans="1:11" ht="24">
      <c r="A25" s="9" t="s">
        <v>22</v>
      </c>
      <c r="B25" s="13" t="s">
        <v>41</v>
      </c>
      <c r="C25" s="10"/>
      <c r="D25" s="10">
        <v>1960</v>
      </c>
      <c r="J25" s="15">
        <v>1998</v>
      </c>
      <c r="K25" s="25"/>
    </row>
    <row r="26" spans="1:11" ht="24">
      <c r="A26" s="9" t="s">
        <v>23</v>
      </c>
      <c r="B26" s="13" t="s">
        <v>41</v>
      </c>
      <c r="C26" s="10"/>
      <c r="D26" s="10">
        <v>1960</v>
      </c>
      <c r="J26" s="15">
        <v>1999</v>
      </c>
      <c r="K26" s="25"/>
    </row>
    <row r="27" spans="1:11" ht="24">
      <c r="A27" s="9" t="s">
        <v>24</v>
      </c>
      <c r="B27" s="13" t="s">
        <v>41</v>
      </c>
      <c r="C27" s="10"/>
      <c r="D27" s="10">
        <v>1960</v>
      </c>
      <c r="J27" s="15">
        <v>2000</v>
      </c>
      <c r="K27" s="25">
        <v>14.9077301025391</v>
      </c>
    </row>
    <row r="28" spans="1:11" ht="24">
      <c r="A28" s="9" t="s">
        <v>25</v>
      </c>
      <c r="B28" s="13" t="s">
        <v>41</v>
      </c>
      <c r="C28" s="10"/>
      <c r="D28" s="10">
        <v>1960</v>
      </c>
      <c r="J28" s="15">
        <v>2001</v>
      </c>
      <c r="K28" s="25">
        <v>14.4617700576782</v>
      </c>
    </row>
    <row r="29" spans="1:11" ht="24">
      <c r="A29" s="9" t="s">
        <v>26</v>
      </c>
      <c r="B29" s="13" t="s">
        <v>41</v>
      </c>
      <c r="C29" s="10"/>
      <c r="D29" s="10">
        <v>1960</v>
      </c>
      <c r="J29" s="15">
        <v>2002</v>
      </c>
      <c r="K29" s="25">
        <v>16.187749862670799</v>
      </c>
    </row>
    <row r="30" spans="1:11" ht="24">
      <c r="A30" s="9" t="s">
        <v>27</v>
      </c>
      <c r="B30" s="13" t="s">
        <v>41</v>
      </c>
      <c r="C30" s="10"/>
      <c r="D30" s="10">
        <v>1960</v>
      </c>
      <c r="J30" s="15">
        <v>2003</v>
      </c>
      <c r="K30" s="25"/>
    </row>
    <row r="31" spans="1:11" ht="24">
      <c r="A31" s="9" t="s">
        <v>28</v>
      </c>
      <c r="B31" s="13" t="s">
        <v>41</v>
      </c>
      <c r="C31" s="10"/>
      <c r="D31" s="10">
        <v>1960</v>
      </c>
      <c r="J31" s="15">
        <v>2004</v>
      </c>
      <c r="K31" s="25"/>
    </row>
    <row r="32" spans="1:11" ht="24">
      <c r="A32" s="9" t="s">
        <v>29</v>
      </c>
      <c r="B32" s="13" t="s">
        <v>41</v>
      </c>
      <c r="C32" s="10"/>
      <c r="D32" s="10">
        <v>1960</v>
      </c>
      <c r="J32" s="15">
        <v>2005</v>
      </c>
      <c r="K32" s="25"/>
    </row>
    <row r="33" spans="1:11" ht="24">
      <c r="A33" s="11" t="s">
        <v>4</v>
      </c>
      <c r="B33" s="14" t="s">
        <v>41</v>
      </c>
      <c r="C33" s="12"/>
      <c r="D33" s="12">
        <v>1961</v>
      </c>
      <c r="J33" s="15">
        <v>2006</v>
      </c>
      <c r="K33" s="25">
        <v>23.975379943847699</v>
      </c>
    </row>
    <row r="34" spans="1:11" ht="24">
      <c r="A34" s="11" t="s">
        <v>5</v>
      </c>
      <c r="B34" s="14" t="s">
        <v>41</v>
      </c>
      <c r="C34" s="12"/>
      <c r="D34" s="12">
        <v>1961</v>
      </c>
      <c r="J34" s="15">
        <v>2007</v>
      </c>
      <c r="K34" s="25">
        <v>24.699449539184599</v>
      </c>
    </row>
    <row r="35" spans="1:11" ht="24">
      <c r="A35" s="11" t="s">
        <v>6</v>
      </c>
      <c r="B35" s="14" t="s">
        <v>41</v>
      </c>
      <c r="C35" s="12"/>
      <c r="D35" s="12">
        <v>1961</v>
      </c>
      <c r="J35" s="15">
        <v>2008</v>
      </c>
      <c r="K35" s="25">
        <v>26.355730056762699</v>
      </c>
    </row>
    <row r="36" spans="1:11" ht="24">
      <c r="A36" s="11" t="s">
        <v>7</v>
      </c>
      <c r="B36" s="14" t="s">
        <v>41</v>
      </c>
      <c r="C36" s="12"/>
      <c r="D36" s="12">
        <v>1961</v>
      </c>
      <c r="J36" s="15">
        <v>2009</v>
      </c>
      <c r="K36" s="25">
        <v>23.5837497711182</v>
      </c>
    </row>
    <row r="37" spans="1:11" ht="24">
      <c r="A37" s="11" t="s">
        <v>8</v>
      </c>
      <c r="B37" s="14" t="s">
        <v>41</v>
      </c>
      <c r="C37" s="12"/>
      <c r="D37" s="12">
        <v>1961</v>
      </c>
      <c r="J37" s="15">
        <v>2010</v>
      </c>
      <c r="K37" s="25">
        <v>26.304040908813501</v>
      </c>
    </row>
    <row r="38" spans="1:11" ht="24">
      <c r="A38" s="11" t="s">
        <v>1</v>
      </c>
      <c r="B38" s="14" t="s">
        <v>41</v>
      </c>
      <c r="C38" s="12"/>
      <c r="D38" s="12">
        <v>1961</v>
      </c>
      <c r="J38" s="15">
        <v>2011</v>
      </c>
      <c r="K38" s="25">
        <v>29.674430847168001</v>
      </c>
    </row>
    <row r="39" spans="1:11" ht="24">
      <c r="A39" s="11" t="s">
        <v>9</v>
      </c>
      <c r="B39" s="14" t="s">
        <v>41</v>
      </c>
      <c r="C39" s="12"/>
      <c r="D39" s="12">
        <v>1961</v>
      </c>
      <c r="J39" s="15">
        <v>2012</v>
      </c>
      <c r="K39" s="25">
        <v>30.5395393371582</v>
      </c>
    </row>
    <row r="40" spans="1:11" ht="24">
      <c r="A40" s="11" t="s">
        <v>10</v>
      </c>
      <c r="B40" s="14" t="s">
        <v>41</v>
      </c>
      <c r="C40" s="12"/>
      <c r="D40" s="12">
        <v>1961</v>
      </c>
      <c r="J40" s="15">
        <v>2013</v>
      </c>
      <c r="K40" s="25">
        <v>27.0210990905762</v>
      </c>
    </row>
    <row r="41" spans="1:11" ht="24">
      <c r="A41" s="11" t="s">
        <v>11</v>
      </c>
      <c r="B41" s="14" t="s">
        <v>41</v>
      </c>
      <c r="C41" s="12"/>
      <c r="D41" s="12">
        <v>1961</v>
      </c>
      <c r="J41" s="15">
        <v>2014</v>
      </c>
      <c r="K41" s="25"/>
    </row>
    <row r="42" spans="1:11" ht="24">
      <c r="A42" s="11" t="s">
        <v>38</v>
      </c>
      <c r="B42" s="14" t="s">
        <v>41</v>
      </c>
      <c r="C42" s="12"/>
      <c r="D42" s="12">
        <v>1961</v>
      </c>
      <c r="J42" s="15">
        <v>2015</v>
      </c>
      <c r="K42" s="25"/>
    </row>
    <row r="43" spans="1:11" ht="24">
      <c r="A43" s="11" t="s">
        <v>12</v>
      </c>
      <c r="B43" s="14" t="s">
        <v>41</v>
      </c>
      <c r="C43" s="12"/>
      <c r="D43" s="12">
        <v>1961</v>
      </c>
      <c r="J43" s="16">
        <v>2016</v>
      </c>
      <c r="K43" s="26"/>
    </row>
    <row r="44" spans="1:11" ht="19.899999999999999" customHeight="1">
      <c r="A44" s="11" t="s">
        <v>13</v>
      </c>
      <c r="B44" s="14" t="s">
        <v>41</v>
      </c>
      <c r="C44" s="12"/>
      <c r="D44" s="12">
        <v>1961</v>
      </c>
    </row>
    <row r="45" spans="1:11" ht="19.899999999999999" customHeight="1">
      <c r="A45" s="11" t="s">
        <v>14</v>
      </c>
      <c r="B45" s="14" t="s">
        <v>41</v>
      </c>
      <c r="C45" s="12"/>
      <c r="D45" s="12">
        <v>1961</v>
      </c>
    </row>
    <row r="46" spans="1:11" ht="19.899999999999999" customHeight="1">
      <c r="A46" s="11" t="s">
        <v>15</v>
      </c>
      <c r="B46" s="14" t="s">
        <v>41</v>
      </c>
      <c r="C46" s="12"/>
      <c r="D46" s="12">
        <v>1961</v>
      </c>
    </row>
    <row r="47" spans="1:11" ht="19.899999999999999" customHeight="1">
      <c r="A47" s="11" t="s">
        <v>16</v>
      </c>
      <c r="B47" s="14" t="s">
        <v>41</v>
      </c>
      <c r="C47" s="12"/>
      <c r="D47" s="12">
        <v>1961</v>
      </c>
    </row>
    <row r="48" spans="1:11" ht="19.899999999999999" customHeight="1">
      <c r="A48" s="11" t="s">
        <v>17</v>
      </c>
      <c r="B48" s="14" t="s">
        <v>41</v>
      </c>
      <c r="C48" s="12"/>
      <c r="D48" s="12">
        <v>1961</v>
      </c>
    </row>
    <row r="49" spans="1:4" ht="19.899999999999999" customHeight="1">
      <c r="A49" s="11" t="s">
        <v>18</v>
      </c>
      <c r="B49" s="14" t="s">
        <v>41</v>
      </c>
      <c r="C49" s="12"/>
      <c r="D49" s="12">
        <v>1961</v>
      </c>
    </row>
    <row r="50" spans="1:4" ht="19.899999999999999" customHeight="1">
      <c r="A50" s="11" t="s">
        <v>19</v>
      </c>
      <c r="B50" s="14" t="s">
        <v>41</v>
      </c>
      <c r="C50" s="12"/>
      <c r="D50" s="12">
        <v>1961</v>
      </c>
    </row>
    <row r="51" spans="1:4" ht="19.899999999999999" customHeight="1">
      <c r="A51" s="11" t="s">
        <v>20</v>
      </c>
      <c r="B51" s="14" t="s">
        <v>41</v>
      </c>
      <c r="C51" s="12"/>
      <c r="D51" s="12">
        <v>1961</v>
      </c>
    </row>
    <row r="52" spans="1:4" ht="19.899999999999999" customHeight="1">
      <c r="A52" s="11" t="s">
        <v>21</v>
      </c>
      <c r="B52" s="14" t="s">
        <v>41</v>
      </c>
      <c r="C52" s="12"/>
      <c r="D52" s="12">
        <v>1961</v>
      </c>
    </row>
    <row r="53" spans="1:4" ht="19.899999999999999" customHeight="1">
      <c r="A53" s="11" t="s">
        <v>22</v>
      </c>
      <c r="B53" s="14" t="s">
        <v>41</v>
      </c>
      <c r="C53" s="12"/>
      <c r="D53" s="12">
        <v>1961</v>
      </c>
    </row>
    <row r="54" spans="1:4" ht="19.899999999999999" customHeight="1">
      <c r="A54" s="11" t="s">
        <v>23</v>
      </c>
      <c r="B54" s="14" t="s">
        <v>41</v>
      </c>
      <c r="C54" s="12"/>
      <c r="D54" s="12">
        <v>1961</v>
      </c>
    </row>
    <row r="55" spans="1:4" ht="19.899999999999999" customHeight="1">
      <c r="A55" s="11" t="s">
        <v>24</v>
      </c>
      <c r="B55" s="14" t="s">
        <v>41</v>
      </c>
      <c r="C55" s="12"/>
      <c r="D55" s="12">
        <v>1961</v>
      </c>
    </row>
    <row r="56" spans="1:4" ht="19.899999999999999" customHeight="1">
      <c r="A56" s="11" t="s">
        <v>25</v>
      </c>
      <c r="B56" s="14" t="s">
        <v>41</v>
      </c>
      <c r="C56" s="12"/>
      <c r="D56" s="12">
        <v>1961</v>
      </c>
    </row>
    <row r="57" spans="1:4" ht="19.899999999999999" customHeight="1">
      <c r="A57" s="11" t="s">
        <v>26</v>
      </c>
      <c r="B57" s="14" t="s">
        <v>41</v>
      </c>
      <c r="C57" s="12"/>
      <c r="D57" s="12">
        <v>1961</v>
      </c>
    </row>
    <row r="58" spans="1:4" ht="19.899999999999999" customHeight="1">
      <c r="A58" s="11" t="s">
        <v>27</v>
      </c>
      <c r="B58" s="14" t="s">
        <v>41</v>
      </c>
      <c r="C58" s="12"/>
      <c r="D58" s="12">
        <v>1961</v>
      </c>
    </row>
    <row r="59" spans="1:4" ht="19.899999999999999" customHeight="1">
      <c r="A59" s="11" t="s">
        <v>28</v>
      </c>
      <c r="B59" s="14" t="s">
        <v>41</v>
      </c>
      <c r="C59" s="12"/>
      <c r="D59" s="12">
        <v>1961</v>
      </c>
    </row>
    <row r="60" spans="1:4" ht="19.899999999999999" customHeight="1">
      <c r="A60" s="11" t="s">
        <v>29</v>
      </c>
      <c r="B60" s="14" t="s">
        <v>41</v>
      </c>
      <c r="C60" s="12"/>
      <c r="D60" s="12">
        <v>1961</v>
      </c>
    </row>
    <row r="61" spans="1:4" ht="19.899999999999999" customHeight="1">
      <c r="A61" s="11" t="s">
        <v>4</v>
      </c>
      <c r="B61" s="14" t="s">
        <v>41</v>
      </c>
      <c r="C61" s="12"/>
      <c r="D61" s="12">
        <v>1962</v>
      </c>
    </row>
    <row r="62" spans="1:4" ht="19.899999999999999" customHeight="1">
      <c r="A62" s="11" t="s">
        <v>5</v>
      </c>
      <c r="B62" s="14" t="s">
        <v>41</v>
      </c>
      <c r="C62" s="12"/>
      <c r="D62" s="12">
        <v>1962</v>
      </c>
    </row>
    <row r="63" spans="1:4" ht="19.899999999999999" customHeight="1">
      <c r="A63" s="11" t="s">
        <v>6</v>
      </c>
      <c r="B63" s="14" t="s">
        <v>41</v>
      </c>
      <c r="C63" s="12"/>
      <c r="D63" s="12">
        <v>1962</v>
      </c>
    </row>
    <row r="64" spans="1:4" ht="19.899999999999999" customHeight="1">
      <c r="A64" s="11" t="s">
        <v>7</v>
      </c>
      <c r="B64" s="14" t="s">
        <v>41</v>
      </c>
      <c r="C64" s="12"/>
      <c r="D64" s="12">
        <v>1962</v>
      </c>
    </row>
    <row r="65" spans="1:4" ht="19.899999999999999" customHeight="1">
      <c r="A65" s="11" t="s">
        <v>8</v>
      </c>
      <c r="B65" s="14" t="s">
        <v>41</v>
      </c>
      <c r="C65" s="12"/>
      <c r="D65" s="12">
        <v>1962</v>
      </c>
    </row>
    <row r="66" spans="1:4" ht="19.899999999999999" customHeight="1">
      <c r="A66" s="11" t="s">
        <v>1</v>
      </c>
      <c r="B66" s="14" t="s">
        <v>41</v>
      </c>
      <c r="C66" s="12"/>
      <c r="D66" s="12">
        <v>1962</v>
      </c>
    </row>
    <row r="67" spans="1:4" ht="19.899999999999999" customHeight="1">
      <c r="A67" s="11" t="s">
        <v>9</v>
      </c>
      <c r="B67" s="14" t="s">
        <v>41</v>
      </c>
      <c r="C67" s="12"/>
      <c r="D67" s="12">
        <v>1962</v>
      </c>
    </row>
    <row r="68" spans="1:4" ht="19.899999999999999" customHeight="1">
      <c r="A68" s="11" t="s">
        <v>10</v>
      </c>
      <c r="B68" s="14" t="s">
        <v>41</v>
      </c>
      <c r="C68" s="12"/>
      <c r="D68" s="12">
        <v>1962</v>
      </c>
    </row>
    <row r="69" spans="1:4" ht="19.899999999999999" customHeight="1">
      <c r="A69" s="11" t="s">
        <v>11</v>
      </c>
      <c r="B69" s="14" t="s">
        <v>41</v>
      </c>
      <c r="C69" s="12"/>
      <c r="D69" s="12">
        <v>1962</v>
      </c>
    </row>
    <row r="70" spans="1:4" ht="19.899999999999999" customHeight="1">
      <c r="A70" s="11" t="s">
        <v>38</v>
      </c>
      <c r="B70" s="14" t="s">
        <v>41</v>
      </c>
      <c r="C70" s="12"/>
      <c r="D70" s="12">
        <v>1962</v>
      </c>
    </row>
    <row r="71" spans="1:4" ht="19.899999999999999" customHeight="1">
      <c r="A71" s="11" t="s">
        <v>12</v>
      </c>
      <c r="B71" s="14" t="s">
        <v>41</v>
      </c>
      <c r="C71" s="12"/>
      <c r="D71" s="12">
        <v>1962</v>
      </c>
    </row>
    <row r="72" spans="1:4" ht="19.899999999999999" customHeight="1">
      <c r="A72" s="11" t="s">
        <v>13</v>
      </c>
      <c r="B72" s="14" t="s">
        <v>41</v>
      </c>
      <c r="C72" s="12"/>
      <c r="D72" s="12">
        <v>1962</v>
      </c>
    </row>
    <row r="73" spans="1:4" ht="19.899999999999999" customHeight="1">
      <c r="A73" s="11" t="s">
        <v>14</v>
      </c>
      <c r="B73" s="14" t="s">
        <v>41</v>
      </c>
      <c r="C73" s="12"/>
      <c r="D73" s="12">
        <v>1962</v>
      </c>
    </row>
    <row r="74" spans="1:4" ht="19.899999999999999" customHeight="1">
      <c r="A74" s="11" t="s">
        <v>15</v>
      </c>
      <c r="B74" s="14" t="s">
        <v>41</v>
      </c>
      <c r="C74" s="12"/>
      <c r="D74" s="12">
        <v>1962</v>
      </c>
    </row>
    <row r="75" spans="1:4" ht="19.899999999999999" customHeight="1">
      <c r="A75" s="11" t="s">
        <v>16</v>
      </c>
      <c r="B75" s="14" t="s">
        <v>41</v>
      </c>
      <c r="C75" s="12"/>
      <c r="D75" s="12">
        <v>1962</v>
      </c>
    </row>
    <row r="76" spans="1:4" ht="19.899999999999999" customHeight="1">
      <c r="A76" s="11" t="s">
        <v>17</v>
      </c>
      <c r="B76" s="14" t="s">
        <v>41</v>
      </c>
      <c r="C76" s="12"/>
      <c r="D76" s="12">
        <v>1962</v>
      </c>
    </row>
    <row r="77" spans="1:4" ht="19.899999999999999" customHeight="1">
      <c r="A77" s="11" t="s">
        <v>18</v>
      </c>
      <c r="B77" s="14" t="s">
        <v>41</v>
      </c>
      <c r="C77" s="12"/>
      <c r="D77" s="12">
        <v>1962</v>
      </c>
    </row>
    <row r="78" spans="1:4" ht="19.899999999999999" customHeight="1">
      <c r="A78" s="11" t="s">
        <v>19</v>
      </c>
      <c r="B78" s="14" t="s">
        <v>41</v>
      </c>
      <c r="C78" s="12"/>
      <c r="D78" s="12">
        <v>1962</v>
      </c>
    </row>
    <row r="79" spans="1:4" ht="19.899999999999999" customHeight="1">
      <c r="A79" s="11" t="s">
        <v>20</v>
      </c>
      <c r="B79" s="14" t="s">
        <v>41</v>
      </c>
      <c r="C79" s="12"/>
      <c r="D79" s="12">
        <v>1962</v>
      </c>
    </row>
    <row r="80" spans="1:4" ht="19.899999999999999" customHeight="1">
      <c r="A80" s="11" t="s">
        <v>21</v>
      </c>
      <c r="B80" s="14" t="s">
        <v>41</v>
      </c>
      <c r="C80" s="12"/>
      <c r="D80" s="12">
        <v>1962</v>
      </c>
    </row>
    <row r="81" spans="1:4" ht="19.899999999999999" customHeight="1">
      <c r="A81" s="11" t="s">
        <v>22</v>
      </c>
      <c r="B81" s="14" t="s">
        <v>41</v>
      </c>
      <c r="C81" s="12"/>
      <c r="D81" s="12">
        <v>1962</v>
      </c>
    </row>
    <row r="82" spans="1:4" ht="19.899999999999999" customHeight="1">
      <c r="A82" s="11" t="s">
        <v>23</v>
      </c>
      <c r="B82" s="14" t="s">
        <v>41</v>
      </c>
      <c r="C82" s="12"/>
      <c r="D82" s="12">
        <v>1962</v>
      </c>
    </row>
    <row r="83" spans="1:4" ht="19.899999999999999" customHeight="1">
      <c r="A83" s="11" t="s">
        <v>24</v>
      </c>
      <c r="B83" s="14" t="s">
        <v>41</v>
      </c>
      <c r="C83" s="12"/>
      <c r="D83" s="12">
        <v>1962</v>
      </c>
    </row>
    <row r="84" spans="1:4" ht="19.899999999999999" customHeight="1">
      <c r="A84" s="11" t="s">
        <v>25</v>
      </c>
      <c r="B84" s="14" t="s">
        <v>41</v>
      </c>
      <c r="C84" s="12"/>
      <c r="D84" s="12">
        <v>1962</v>
      </c>
    </row>
    <row r="85" spans="1:4" ht="19.899999999999999" customHeight="1">
      <c r="A85" s="11" t="s">
        <v>26</v>
      </c>
      <c r="B85" s="14" t="s">
        <v>41</v>
      </c>
      <c r="C85" s="12"/>
      <c r="D85" s="12">
        <v>1962</v>
      </c>
    </row>
    <row r="86" spans="1:4" ht="19.899999999999999" customHeight="1">
      <c r="A86" s="11" t="s">
        <v>27</v>
      </c>
      <c r="B86" s="14" t="s">
        <v>41</v>
      </c>
      <c r="C86" s="12"/>
      <c r="D86" s="12">
        <v>1962</v>
      </c>
    </row>
    <row r="87" spans="1:4" ht="19.899999999999999" customHeight="1">
      <c r="A87" s="11" t="s">
        <v>28</v>
      </c>
      <c r="B87" s="14" t="s">
        <v>41</v>
      </c>
      <c r="C87" s="12"/>
      <c r="D87" s="12">
        <v>1962</v>
      </c>
    </row>
    <row r="88" spans="1:4" ht="19.899999999999999" customHeight="1">
      <c r="A88" s="11" t="s">
        <v>29</v>
      </c>
      <c r="B88" s="14" t="s">
        <v>41</v>
      </c>
      <c r="C88" s="12"/>
      <c r="D88" s="12">
        <v>1962</v>
      </c>
    </row>
    <row r="89" spans="1:4" ht="19.899999999999999" customHeight="1">
      <c r="A89" s="11" t="s">
        <v>4</v>
      </c>
      <c r="B89" s="14" t="s">
        <v>41</v>
      </c>
      <c r="C89" s="12"/>
      <c r="D89" s="12">
        <v>1963</v>
      </c>
    </row>
    <row r="90" spans="1:4" ht="19.899999999999999" customHeight="1">
      <c r="A90" s="11" t="s">
        <v>5</v>
      </c>
      <c r="B90" s="14" t="s">
        <v>41</v>
      </c>
      <c r="C90" s="12"/>
      <c r="D90" s="12">
        <v>1963</v>
      </c>
    </row>
    <row r="91" spans="1:4" ht="19.899999999999999" customHeight="1">
      <c r="A91" s="11" t="s">
        <v>6</v>
      </c>
      <c r="B91" s="14" t="s">
        <v>41</v>
      </c>
      <c r="C91" s="12"/>
      <c r="D91" s="12">
        <v>1963</v>
      </c>
    </row>
    <row r="92" spans="1:4" ht="19.899999999999999" customHeight="1">
      <c r="A92" s="11" t="s">
        <v>7</v>
      </c>
      <c r="B92" s="14" t="s">
        <v>41</v>
      </c>
      <c r="C92" s="12"/>
      <c r="D92" s="12">
        <v>1963</v>
      </c>
    </row>
    <row r="93" spans="1:4" ht="19.899999999999999" customHeight="1">
      <c r="A93" s="11" t="s">
        <v>8</v>
      </c>
      <c r="B93" s="14" t="s">
        <v>41</v>
      </c>
      <c r="C93" s="12"/>
      <c r="D93" s="12">
        <v>1963</v>
      </c>
    </row>
    <row r="94" spans="1:4" ht="19.899999999999999" customHeight="1">
      <c r="A94" s="11" t="s">
        <v>1</v>
      </c>
      <c r="B94" s="14" t="s">
        <v>41</v>
      </c>
      <c r="C94" s="12"/>
      <c r="D94" s="12">
        <v>1963</v>
      </c>
    </row>
    <row r="95" spans="1:4" ht="19.899999999999999" customHeight="1">
      <c r="A95" s="11" t="s">
        <v>9</v>
      </c>
      <c r="B95" s="14" t="s">
        <v>41</v>
      </c>
      <c r="C95" s="12"/>
      <c r="D95" s="12">
        <v>1963</v>
      </c>
    </row>
    <row r="96" spans="1:4" ht="19.899999999999999" customHeight="1">
      <c r="A96" s="11" t="s">
        <v>10</v>
      </c>
      <c r="B96" s="14" t="s">
        <v>41</v>
      </c>
      <c r="C96" s="12"/>
      <c r="D96" s="12">
        <v>1963</v>
      </c>
    </row>
    <row r="97" spans="1:4" ht="19.899999999999999" customHeight="1">
      <c r="A97" s="11" t="s">
        <v>11</v>
      </c>
      <c r="B97" s="14" t="s">
        <v>41</v>
      </c>
      <c r="C97" s="12"/>
      <c r="D97" s="12">
        <v>1963</v>
      </c>
    </row>
    <row r="98" spans="1:4" ht="19.899999999999999" customHeight="1">
      <c r="A98" s="11" t="s">
        <v>38</v>
      </c>
      <c r="B98" s="14" t="s">
        <v>41</v>
      </c>
      <c r="C98" s="12"/>
      <c r="D98" s="12">
        <v>1963</v>
      </c>
    </row>
    <row r="99" spans="1:4" ht="19.899999999999999" customHeight="1">
      <c r="A99" s="11" t="s">
        <v>12</v>
      </c>
      <c r="B99" s="14" t="s">
        <v>41</v>
      </c>
      <c r="C99" s="12"/>
      <c r="D99" s="12">
        <v>1963</v>
      </c>
    </row>
    <row r="100" spans="1:4" ht="19.899999999999999" customHeight="1">
      <c r="A100" s="11" t="s">
        <v>13</v>
      </c>
      <c r="B100" s="14" t="s">
        <v>41</v>
      </c>
      <c r="C100" s="12"/>
      <c r="D100" s="12">
        <v>1963</v>
      </c>
    </row>
    <row r="101" spans="1:4" ht="19.899999999999999" customHeight="1">
      <c r="A101" s="11" t="s">
        <v>14</v>
      </c>
      <c r="B101" s="14" t="s">
        <v>41</v>
      </c>
      <c r="C101" s="12"/>
      <c r="D101" s="12">
        <v>1963</v>
      </c>
    </row>
    <row r="102" spans="1:4" ht="19.899999999999999" customHeight="1">
      <c r="A102" s="11" t="s">
        <v>15</v>
      </c>
      <c r="B102" s="14" t="s">
        <v>41</v>
      </c>
      <c r="C102" s="12"/>
      <c r="D102" s="12">
        <v>1963</v>
      </c>
    </row>
    <row r="103" spans="1:4" ht="19.899999999999999" customHeight="1">
      <c r="A103" s="11" t="s">
        <v>16</v>
      </c>
      <c r="B103" s="14" t="s">
        <v>41</v>
      </c>
      <c r="C103" s="12"/>
      <c r="D103" s="12">
        <v>1963</v>
      </c>
    </row>
    <row r="104" spans="1:4" ht="19.899999999999999" customHeight="1">
      <c r="A104" s="11" t="s">
        <v>17</v>
      </c>
      <c r="B104" s="14" t="s">
        <v>41</v>
      </c>
      <c r="C104" s="12"/>
      <c r="D104" s="12">
        <v>1963</v>
      </c>
    </row>
    <row r="105" spans="1:4" ht="19.899999999999999" customHeight="1">
      <c r="A105" s="11" t="s">
        <v>18</v>
      </c>
      <c r="B105" s="14" t="s">
        <v>41</v>
      </c>
      <c r="C105" s="12"/>
      <c r="D105" s="12">
        <v>1963</v>
      </c>
    </row>
    <row r="106" spans="1:4" ht="19.899999999999999" customHeight="1">
      <c r="A106" s="11" t="s">
        <v>19</v>
      </c>
      <c r="B106" s="14" t="s">
        <v>41</v>
      </c>
      <c r="C106" s="12"/>
      <c r="D106" s="12">
        <v>1963</v>
      </c>
    </row>
    <row r="107" spans="1:4" ht="19.899999999999999" customHeight="1">
      <c r="A107" s="11" t="s">
        <v>20</v>
      </c>
      <c r="B107" s="14" t="s">
        <v>41</v>
      </c>
      <c r="C107" s="12"/>
      <c r="D107" s="12">
        <v>1963</v>
      </c>
    </row>
    <row r="108" spans="1:4" ht="19.899999999999999" customHeight="1">
      <c r="A108" s="11" t="s">
        <v>21</v>
      </c>
      <c r="B108" s="14" t="s">
        <v>41</v>
      </c>
      <c r="C108" s="12"/>
      <c r="D108" s="12">
        <v>1963</v>
      </c>
    </row>
    <row r="109" spans="1:4" ht="19.899999999999999" customHeight="1">
      <c r="A109" s="11" t="s">
        <v>22</v>
      </c>
      <c r="B109" s="14" t="s">
        <v>41</v>
      </c>
      <c r="C109" s="12"/>
      <c r="D109" s="12">
        <v>1963</v>
      </c>
    </row>
    <row r="110" spans="1:4" ht="19.899999999999999" customHeight="1">
      <c r="A110" s="11" t="s">
        <v>23</v>
      </c>
      <c r="B110" s="14" t="s">
        <v>41</v>
      </c>
      <c r="C110" s="12"/>
      <c r="D110" s="12">
        <v>1963</v>
      </c>
    </row>
    <row r="111" spans="1:4" ht="19.899999999999999" customHeight="1">
      <c r="A111" s="11" t="s">
        <v>24</v>
      </c>
      <c r="B111" s="14" t="s">
        <v>41</v>
      </c>
      <c r="C111" s="12"/>
      <c r="D111" s="12">
        <v>1963</v>
      </c>
    </row>
    <row r="112" spans="1:4" ht="19.899999999999999" customHeight="1">
      <c r="A112" s="11" t="s">
        <v>25</v>
      </c>
      <c r="B112" s="14" t="s">
        <v>41</v>
      </c>
      <c r="C112" s="12"/>
      <c r="D112" s="12">
        <v>1963</v>
      </c>
    </row>
    <row r="113" spans="1:4" ht="19.899999999999999" customHeight="1">
      <c r="A113" s="11" t="s">
        <v>26</v>
      </c>
      <c r="B113" s="14" t="s">
        <v>41</v>
      </c>
      <c r="C113" s="12"/>
      <c r="D113" s="12">
        <v>1963</v>
      </c>
    </row>
    <row r="114" spans="1:4" ht="19.899999999999999" customHeight="1">
      <c r="A114" s="11" t="s">
        <v>27</v>
      </c>
      <c r="B114" s="14" t="s">
        <v>41</v>
      </c>
      <c r="C114" s="12"/>
      <c r="D114" s="12">
        <v>1963</v>
      </c>
    </row>
    <row r="115" spans="1:4" ht="19.899999999999999" customHeight="1">
      <c r="A115" s="11" t="s">
        <v>28</v>
      </c>
      <c r="B115" s="14" t="s">
        <v>41</v>
      </c>
      <c r="C115" s="12"/>
      <c r="D115" s="12">
        <v>1963</v>
      </c>
    </row>
    <row r="116" spans="1:4" ht="19.899999999999999" customHeight="1">
      <c r="A116" s="11" t="s">
        <v>29</v>
      </c>
      <c r="B116" s="14" t="s">
        <v>41</v>
      </c>
      <c r="C116" s="12"/>
      <c r="D116" s="12">
        <v>1963</v>
      </c>
    </row>
    <row r="117" spans="1:4" ht="19.899999999999999" customHeight="1">
      <c r="A117" s="11" t="s">
        <v>4</v>
      </c>
      <c r="B117" s="14" t="s">
        <v>41</v>
      </c>
      <c r="C117" s="12"/>
      <c r="D117" s="12">
        <v>1964</v>
      </c>
    </row>
    <row r="118" spans="1:4" ht="19.899999999999999" customHeight="1">
      <c r="A118" s="11" t="s">
        <v>5</v>
      </c>
      <c r="B118" s="14" t="s">
        <v>41</v>
      </c>
      <c r="C118" s="12"/>
      <c r="D118" s="12">
        <v>1964</v>
      </c>
    </row>
    <row r="119" spans="1:4" ht="19.899999999999999" customHeight="1">
      <c r="A119" s="11" t="s">
        <v>6</v>
      </c>
      <c r="B119" s="14" t="s">
        <v>41</v>
      </c>
      <c r="C119" s="12"/>
      <c r="D119" s="12">
        <v>1964</v>
      </c>
    </row>
    <row r="120" spans="1:4" ht="19.899999999999999" customHeight="1">
      <c r="A120" s="11" t="s">
        <v>7</v>
      </c>
      <c r="B120" s="14" t="s">
        <v>41</v>
      </c>
      <c r="C120" s="12"/>
      <c r="D120" s="12">
        <v>1964</v>
      </c>
    </row>
    <row r="121" spans="1:4" ht="19.899999999999999" customHeight="1">
      <c r="A121" s="11" t="s">
        <v>8</v>
      </c>
      <c r="B121" s="14" t="s">
        <v>41</v>
      </c>
      <c r="C121" s="12"/>
      <c r="D121" s="12">
        <v>1964</v>
      </c>
    </row>
    <row r="122" spans="1:4" ht="19.899999999999999" customHeight="1">
      <c r="A122" s="11" t="s">
        <v>1</v>
      </c>
      <c r="B122" s="14" t="s">
        <v>41</v>
      </c>
      <c r="C122" s="12"/>
      <c r="D122" s="12">
        <v>1964</v>
      </c>
    </row>
    <row r="123" spans="1:4" ht="19.899999999999999" customHeight="1">
      <c r="A123" s="11" t="s">
        <v>9</v>
      </c>
      <c r="B123" s="14" t="s">
        <v>41</v>
      </c>
      <c r="C123" s="12"/>
      <c r="D123" s="12">
        <v>1964</v>
      </c>
    </row>
    <row r="124" spans="1:4" ht="19.899999999999999" customHeight="1">
      <c r="A124" s="11" t="s">
        <v>10</v>
      </c>
      <c r="B124" s="14" t="s">
        <v>41</v>
      </c>
      <c r="C124" s="12"/>
      <c r="D124" s="12">
        <v>1964</v>
      </c>
    </row>
    <row r="125" spans="1:4" ht="19.899999999999999" customHeight="1">
      <c r="A125" s="11" t="s">
        <v>11</v>
      </c>
      <c r="B125" s="14" t="s">
        <v>41</v>
      </c>
      <c r="C125" s="12"/>
      <c r="D125" s="12">
        <v>1964</v>
      </c>
    </row>
    <row r="126" spans="1:4" ht="19.899999999999999" customHeight="1">
      <c r="A126" s="11" t="s">
        <v>38</v>
      </c>
      <c r="B126" s="14" t="s">
        <v>41</v>
      </c>
      <c r="C126" s="12"/>
      <c r="D126" s="12">
        <v>1964</v>
      </c>
    </row>
    <row r="127" spans="1:4" ht="19.899999999999999" customHeight="1">
      <c r="A127" s="11" t="s">
        <v>12</v>
      </c>
      <c r="B127" s="14" t="s">
        <v>41</v>
      </c>
      <c r="C127" s="12"/>
      <c r="D127" s="12">
        <v>1964</v>
      </c>
    </row>
    <row r="128" spans="1:4" ht="19.899999999999999" customHeight="1">
      <c r="A128" s="11" t="s">
        <v>13</v>
      </c>
      <c r="B128" s="14" t="s">
        <v>41</v>
      </c>
      <c r="C128" s="12"/>
      <c r="D128" s="12">
        <v>1964</v>
      </c>
    </row>
    <row r="129" spans="1:4" ht="19.899999999999999" customHeight="1">
      <c r="A129" s="11" t="s">
        <v>14</v>
      </c>
      <c r="B129" s="14" t="s">
        <v>41</v>
      </c>
      <c r="C129" s="12"/>
      <c r="D129" s="12">
        <v>1964</v>
      </c>
    </row>
    <row r="130" spans="1:4" ht="19.899999999999999" customHeight="1">
      <c r="A130" s="11" t="s">
        <v>15</v>
      </c>
      <c r="B130" s="14" t="s">
        <v>41</v>
      </c>
      <c r="C130" s="12"/>
      <c r="D130" s="12">
        <v>1964</v>
      </c>
    </row>
    <row r="131" spans="1:4" ht="19.899999999999999" customHeight="1">
      <c r="A131" s="11" t="s">
        <v>16</v>
      </c>
      <c r="B131" s="14" t="s">
        <v>41</v>
      </c>
      <c r="C131" s="12"/>
      <c r="D131" s="12">
        <v>1964</v>
      </c>
    </row>
    <row r="132" spans="1:4" ht="19.899999999999999" customHeight="1">
      <c r="A132" s="11" t="s">
        <v>17</v>
      </c>
      <c r="B132" s="14" t="s">
        <v>41</v>
      </c>
      <c r="C132" s="12"/>
      <c r="D132" s="12">
        <v>1964</v>
      </c>
    </row>
    <row r="133" spans="1:4" ht="19.899999999999999" customHeight="1">
      <c r="A133" s="11" t="s">
        <v>18</v>
      </c>
      <c r="B133" s="14" t="s">
        <v>41</v>
      </c>
      <c r="C133" s="12"/>
      <c r="D133" s="12">
        <v>1964</v>
      </c>
    </row>
    <row r="134" spans="1:4" ht="19.899999999999999" customHeight="1">
      <c r="A134" s="11" t="s">
        <v>19</v>
      </c>
      <c r="B134" s="14" t="s">
        <v>41</v>
      </c>
      <c r="C134" s="12"/>
      <c r="D134" s="12">
        <v>1964</v>
      </c>
    </row>
    <row r="135" spans="1:4" ht="19.899999999999999" customHeight="1">
      <c r="A135" s="11" t="s">
        <v>20</v>
      </c>
      <c r="B135" s="14" t="s">
        <v>41</v>
      </c>
      <c r="C135" s="12"/>
      <c r="D135" s="12">
        <v>1964</v>
      </c>
    </row>
    <row r="136" spans="1:4" ht="19.899999999999999" customHeight="1">
      <c r="A136" s="11" t="s">
        <v>21</v>
      </c>
      <c r="B136" s="14" t="s">
        <v>41</v>
      </c>
      <c r="C136" s="12"/>
      <c r="D136" s="12">
        <v>1964</v>
      </c>
    </row>
    <row r="137" spans="1:4" ht="19.899999999999999" customHeight="1">
      <c r="A137" s="11" t="s">
        <v>22</v>
      </c>
      <c r="B137" s="14" t="s">
        <v>41</v>
      </c>
      <c r="C137" s="12"/>
      <c r="D137" s="12">
        <v>1964</v>
      </c>
    </row>
    <row r="138" spans="1:4" ht="19.899999999999999" customHeight="1">
      <c r="A138" s="11" t="s">
        <v>23</v>
      </c>
      <c r="B138" s="14" t="s">
        <v>41</v>
      </c>
      <c r="C138" s="12"/>
      <c r="D138" s="12">
        <v>1964</v>
      </c>
    </row>
    <row r="139" spans="1:4" ht="19.899999999999999" customHeight="1">
      <c r="A139" s="11" t="s">
        <v>24</v>
      </c>
      <c r="B139" s="14" t="s">
        <v>41</v>
      </c>
      <c r="C139" s="12"/>
      <c r="D139" s="12">
        <v>1964</v>
      </c>
    </row>
    <row r="140" spans="1:4" ht="19.899999999999999" customHeight="1">
      <c r="A140" s="11" t="s">
        <v>25</v>
      </c>
      <c r="B140" s="14" t="s">
        <v>41</v>
      </c>
      <c r="C140" s="12"/>
      <c r="D140" s="12">
        <v>1964</v>
      </c>
    </row>
    <row r="141" spans="1:4" ht="19.899999999999999" customHeight="1">
      <c r="A141" s="11" t="s">
        <v>26</v>
      </c>
      <c r="B141" s="14" t="s">
        <v>41</v>
      </c>
      <c r="C141" s="12"/>
      <c r="D141" s="12">
        <v>1964</v>
      </c>
    </row>
    <row r="142" spans="1:4" ht="19.899999999999999" customHeight="1">
      <c r="A142" s="11" t="s">
        <v>27</v>
      </c>
      <c r="B142" s="14" t="s">
        <v>41</v>
      </c>
      <c r="C142" s="12"/>
      <c r="D142" s="12">
        <v>1964</v>
      </c>
    </row>
    <row r="143" spans="1:4" ht="19.899999999999999" customHeight="1">
      <c r="A143" s="11" t="s">
        <v>28</v>
      </c>
      <c r="B143" s="14" t="s">
        <v>41</v>
      </c>
      <c r="C143" s="12"/>
      <c r="D143" s="12">
        <v>1964</v>
      </c>
    </row>
    <row r="144" spans="1:4" ht="19.899999999999999" customHeight="1">
      <c r="A144" s="11" t="s">
        <v>29</v>
      </c>
      <c r="B144" s="14" t="s">
        <v>41</v>
      </c>
      <c r="C144" s="12"/>
      <c r="D144" s="12">
        <v>1964</v>
      </c>
    </row>
    <row r="145" spans="1:4" ht="19.899999999999999" customHeight="1">
      <c r="A145" s="11" t="s">
        <v>4</v>
      </c>
      <c r="B145" s="14" t="s">
        <v>41</v>
      </c>
      <c r="C145" s="12"/>
      <c r="D145" s="12">
        <v>1965</v>
      </c>
    </row>
    <row r="146" spans="1:4" ht="19.899999999999999" customHeight="1">
      <c r="A146" s="11" t="s">
        <v>5</v>
      </c>
      <c r="B146" s="14" t="s">
        <v>41</v>
      </c>
      <c r="C146" s="12"/>
      <c r="D146" s="12">
        <v>1965</v>
      </c>
    </row>
    <row r="147" spans="1:4" ht="19.899999999999999" customHeight="1">
      <c r="A147" s="11" t="s">
        <v>6</v>
      </c>
      <c r="B147" s="14" t="s">
        <v>41</v>
      </c>
      <c r="C147" s="12"/>
      <c r="D147" s="12">
        <v>1965</v>
      </c>
    </row>
    <row r="148" spans="1:4" ht="19.899999999999999" customHeight="1">
      <c r="A148" s="11" t="s">
        <v>7</v>
      </c>
      <c r="B148" s="14" t="s">
        <v>41</v>
      </c>
      <c r="C148" s="12"/>
      <c r="D148" s="12">
        <v>1965</v>
      </c>
    </row>
    <row r="149" spans="1:4" ht="19.899999999999999" customHeight="1">
      <c r="A149" s="11" t="s">
        <v>8</v>
      </c>
      <c r="B149" s="14" t="s">
        <v>41</v>
      </c>
      <c r="C149" s="12"/>
      <c r="D149" s="12">
        <v>1965</v>
      </c>
    </row>
    <row r="150" spans="1:4" ht="19.899999999999999" customHeight="1">
      <c r="A150" s="11" t="s">
        <v>1</v>
      </c>
      <c r="B150" s="14" t="s">
        <v>41</v>
      </c>
      <c r="C150" s="12"/>
      <c r="D150" s="12">
        <v>1965</v>
      </c>
    </row>
    <row r="151" spans="1:4" ht="19.899999999999999" customHeight="1">
      <c r="A151" s="11" t="s">
        <v>9</v>
      </c>
      <c r="B151" s="14" t="s">
        <v>41</v>
      </c>
      <c r="C151" s="12"/>
      <c r="D151" s="12">
        <v>1965</v>
      </c>
    </row>
    <row r="152" spans="1:4" ht="19.899999999999999" customHeight="1">
      <c r="A152" s="11" t="s">
        <v>10</v>
      </c>
      <c r="B152" s="14" t="s">
        <v>41</v>
      </c>
      <c r="C152" s="12"/>
      <c r="D152" s="12">
        <v>1965</v>
      </c>
    </row>
    <row r="153" spans="1:4" ht="19.899999999999999" customHeight="1">
      <c r="A153" s="11" t="s">
        <v>11</v>
      </c>
      <c r="B153" s="14" t="s">
        <v>41</v>
      </c>
      <c r="C153" s="12"/>
      <c r="D153" s="12">
        <v>1965</v>
      </c>
    </row>
    <row r="154" spans="1:4" ht="19.899999999999999" customHeight="1">
      <c r="A154" s="11" t="s">
        <v>38</v>
      </c>
      <c r="B154" s="14" t="s">
        <v>41</v>
      </c>
      <c r="C154" s="12"/>
      <c r="D154" s="12">
        <v>1965</v>
      </c>
    </row>
    <row r="155" spans="1:4" ht="19.899999999999999" customHeight="1">
      <c r="A155" s="11" t="s">
        <v>12</v>
      </c>
      <c r="B155" s="14" t="s">
        <v>41</v>
      </c>
      <c r="C155" s="12"/>
      <c r="D155" s="12">
        <v>1965</v>
      </c>
    </row>
    <row r="156" spans="1:4" ht="19.899999999999999" customHeight="1">
      <c r="A156" s="11" t="s">
        <v>13</v>
      </c>
      <c r="B156" s="14" t="s">
        <v>41</v>
      </c>
      <c r="C156" s="12"/>
      <c r="D156" s="12">
        <v>1965</v>
      </c>
    </row>
    <row r="157" spans="1:4" ht="19.899999999999999" customHeight="1">
      <c r="A157" s="11" t="s">
        <v>14</v>
      </c>
      <c r="B157" s="14" t="s">
        <v>41</v>
      </c>
      <c r="C157" s="12"/>
      <c r="D157" s="12">
        <v>1965</v>
      </c>
    </row>
    <row r="158" spans="1:4" ht="19.899999999999999" customHeight="1">
      <c r="A158" s="11" t="s">
        <v>15</v>
      </c>
      <c r="B158" s="14" t="s">
        <v>41</v>
      </c>
      <c r="C158" s="12"/>
      <c r="D158" s="12">
        <v>1965</v>
      </c>
    </row>
    <row r="159" spans="1:4" ht="19.899999999999999" customHeight="1">
      <c r="A159" s="11" t="s">
        <v>16</v>
      </c>
      <c r="B159" s="14" t="s">
        <v>41</v>
      </c>
      <c r="C159" s="12"/>
      <c r="D159" s="12">
        <v>1965</v>
      </c>
    </row>
    <row r="160" spans="1:4" ht="19.899999999999999" customHeight="1">
      <c r="A160" s="11" t="s">
        <v>17</v>
      </c>
      <c r="B160" s="14" t="s">
        <v>41</v>
      </c>
      <c r="C160" s="12"/>
      <c r="D160" s="12">
        <v>1965</v>
      </c>
    </row>
    <row r="161" spans="1:4" ht="19.899999999999999" customHeight="1">
      <c r="A161" s="11" t="s">
        <v>18</v>
      </c>
      <c r="B161" s="14" t="s">
        <v>41</v>
      </c>
      <c r="C161" s="12"/>
      <c r="D161" s="12">
        <v>1965</v>
      </c>
    </row>
    <row r="162" spans="1:4" ht="19.899999999999999" customHeight="1">
      <c r="A162" s="11" t="s">
        <v>19</v>
      </c>
      <c r="B162" s="14" t="s">
        <v>41</v>
      </c>
      <c r="C162" s="12"/>
      <c r="D162" s="12">
        <v>1965</v>
      </c>
    </row>
    <row r="163" spans="1:4" ht="19.899999999999999" customHeight="1">
      <c r="A163" s="11" t="s">
        <v>20</v>
      </c>
      <c r="B163" s="14" t="s">
        <v>41</v>
      </c>
      <c r="C163" s="12"/>
      <c r="D163" s="12">
        <v>1965</v>
      </c>
    </row>
    <row r="164" spans="1:4" ht="19.899999999999999" customHeight="1">
      <c r="A164" s="11" t="s">
        <v>21</v>
      </c>
      <c r="B164" s="14" t="s">
        <v>41</v>
      </c>
      <c r="C164" s="12"/>
      <c r="D164" s="12">
        <v>1965</v>
      </c>
    </row>
    <row r="165" spans="1:4" ht="19.899999999999999" customHeight="1">
      <c r="A165" s="11" t="s">
        <v>22</v>
      </c>
      <c r="B165" s="14" t="s">
        <v>41</v>
      </c>
      <c r="C165" s="12"/>
      <c r="D165" s="12">
        <v>1965</v>
      </c>
    </row>
    <row r="166" spans="1:4" ht="19.899999999999999" customHeight="1">
      <c r="A166" s="11" t="s">
        <v>23</v>
      </c>
      <c r="B166" s="14" t="s">
        <v>41</v>
      </c>
      <c r="C166" s="12"/>
      <c r="D166" s="12">
        <v>1965</v>
      </c>
    </row>
    <row r="167" spans="1:4" ht="19.899999999999999" customHeight="1">
      <c r="A167" s="11" t="s">
        <v>24</v>
      </c>
      <c r="B167" s="14" t="s">
        <v>41</v>
      </c>
      <c r="C167" s="12"/>
      <c r="D167" s="12">
        <v>1965</v>
      </c>
    </row>
    <row r="168" spans="1:4" ht="19.899999999999999" customHeight="1">
      <c r="A168" s="11" t="s">
        <v>25</v>
      </c>
      <c r="B168" s="14" t="s">
        <v>41</v>
      </c>
      <c r="C168" s="12"/>
      <c r="D168" s="12">
        <v>1965</v>
      </c>
    </row>
    <row r="169" spans="1:4" ht="19.899999999999999" customHeight="1">
      <c r="A169" s="11" t="s">
        <v>26</v>
      </c>
      <c r="B169" s="14" t="s">
        <v>41</v>
      </c>
      <c r="C169" s="12"/>
      <c r="D169" s="12">
        <v>1965</v>
      </c>
    </row>
    <row r="170" spans="1:4" ht="19.899999999999999" customHeight="1">
      <c r="A170" s="11" t="s">
        <v>27</v>
      </c>
      <c r="B170" s="14" t="s">
        <v>41</v>
      </c>
      <c r="C170" s="12"/>
      <c r="D170" s="12">
        <v>1965</v>
      </c>
    </row>
    <row r="171" spans="1:4" ht="19.899999999999999" customHeight="1">
      <c r="A171" s="11" t="s">
        <v>28</v>
      </c>
      <c r="B171" s="14" t="s">
        <v>41</v>
      </c>
      <c r="C171" s="12"/>
      <c r="D171" s="12">
        <v>1965</v>
      </c>
    </row>
    <row r="172" spans="1:4" ht="19.899999999999999" customHeight="1">
      <c r="A172" s="11" t="s">
        <v>29</v>
      </c>
      <c r="B172" s="14" t="s">
        <v>41</v>
      </c>
      <c r="C172" s="12"/>
      <c r="D172" s="12">
        <v>1965</v>
      </c>
    </row>
    <row r="173" spans="1:4" ht="19.899999999999999" customHeight="1">
      <c r="A173" s="11" t="s">
        <v>4</v>
      </c>
      <c r="B173" s="14" t="s">
        <v>41</v>
      </c>
      <c r="C173" s="12"/>
      <c r="D173" s="12">
        <v>1966</v>
      </c>
    </row>
    <row r="174" spans="1:4" ht="19.899999999999999" customHeight="1">
      <c r="A174" s="11" t="s">
        <v>5</v>
      </c>
      <c r="B174" s="14" t="s">
        <v>41</v>
      </c>
      <c r="C174" s="12"/>
      <c r="D174" s="12">
        <v>1966</v>
      </c>
    </row>
    <row r="175" spans="1:4" ht="19.899999999999999" customHeight="1">
      <c r="A175" s="11" t="s">
        <v>6</v>
      </c>
      <c r="B175" s="14" t="s">
        <v>41</v>
      </c>
      <c r="C175" s="12"/>
      <c r="D175" s="12">
        <v>1966</v>
      </c>
    </row>
    <row r="176" spans="1:4" ht="19.899999999999999" customHeight="1">
      <c r="A176" s="11" t="s">
        <v>7</v>
      </c>
      <c r="B176" s="14" t="s">
        <v>41</v>
      </c>
      <c r="C176" s="12"/>
      <c r="D176" s="12">
        <v>1966</v>
      </c>
    </row>
    <row r="177" spans="1:4" ht="19.899999999999999" customHeight="1">
      <c r="A177" s="11" t="s">
        <v>8</v>
      </c>
      <c r="B177" s="14" t="s">
        <v>41</v>
      </c>
      <c r="C177" s="12"/>
      <c r="D177" s="12">
        <v>1966</v>
      </c>
    </row>
    <row r="178" spans="1:4" ht="19.899999999999999" customHeight="1">
      <c r="A178" s="11" t="s">
        <v>1</v>
      </c>
      <c r="B178" s="14" t="s">
        <v>41</v>
      </c>
      <c r="C178" s="12"/>
      <c r="D178" s="12">
        <v>1966</v>
      </c>
    </row>
    <row r="179" spans="1:4" ht="19.899999999999999" customHeight="1">
      <c r="A179" s="11" t="s">
        <v>9</v>
      </c>
      <c r="B179" s="14" t="s">
        <v>41</v>
      </c>
      <c r="C179" s="12"/>
      <c r="D179" s="12">
        <v>1966</v>
      </c>
    </row>
    <row r="180" spans="1:4" ht="19.899999999999999" customHeight="1">
      <c r="A180" s="11" t="s">
        <v>10</v>
      </c>
      <c r="B180" s="14" t="s">
        <v>41</v>
      </c>
      <c r="C180" s="12"/>
      <c r="D180" s="12">
        <v>1966</v>
      </c>
    </row>
    <row r="181" spans="1:4" ht="19.899999999999999" customHeight="1">
      <c r="A181" s="11" t="s">
        <v>11</v>
      </c>
      <c r="B181" s="14" t="s">
        <v>41</v>
      </c>
      <c r="C181" s="12"/>
      <c r="D181" s="12">
        <v>1966</v>
      </c>
    </row>
    <row r="182" spans="1:4" ht="19.899999999999999" customHeight="1">
      <c r="A182" s="11" t="s">
        <v>38</v>
      </c>
      <c r="B182" s="14" t="s">
        <v>41</v>
      </c>
      <c r="C182" s="12"/>
      <c r="D182" s="12">
        <v>1966</v>
      </c>
    </row>
    <row r="183" spans="1:4" ht="19.899999999999999" customHeight="1">
      <c r="A183" s="11" t="s">
        <v>12</v>
      </c>
      <c r="B183" s="14" t="s">
        <v>41</v>
      </c>
      <c r="C183" s="12"/>
      <c r="D183" s="12">
        <v>1966</v>
      </c>
    </row>
    <row r="184" spans="1:4" ht="19.899999999999999" customHeight="1">
      <c r="A184" s="11" t="s">
        <v>13</v>
      </c>
      <c r="B184" s="14" t="s">
        <v>41</v>
      </c>
      <c r="C184" s="12"/>
      <c r="D184" s="12">
        <v>1966</v>
      </c>
    </row>
    <row r="185" spans="1:4" ht="19.899999999999999" customHeight="1">
      <c r="A185" s="11" t="s">
        <v>14</v>
      </c>
      <c r="B185" s="14" t="s">
        <v>41</v>
      </c>
      <c r="C185" s="12"/>
      <c r="D185" s="12">
        <v>1966</v>
      </c>
    </row>
    <row r="186" spans="1:4" ht="19.899999999999999" customHeight="1">
      <c r="A186" s="11" t="s">
        <v>15</v>
      </c>
      <c r="B186" s="14" t="s">
        <v>41</v>
      </c>
      <c r="C186" s="12"/>
      <c r="D186" s="12">
        <v>1966</v>
      </c>
    </row>
    <row r="187" spans="1:4" ht="19.899999999999999" customHeight="1">
      <c r="A187" s="11" t="s">
        <v>16</v>
      </c>
      <c r="B187" s="14" t="s">
        <v>41</v>
      </c>
      <c r="C187" s="12"/>
      <c r="D187" s="12">
        <v>1966</v>
      </c>
    </row>
    <row r="188" spans="1:4" ht="19.899999999999999" customHeight="1">
      <c r="A188" s="11" t="s">
        <v>17</v>
      </c>
      <c r="B188" s="14" t="s">
        <v>41</v>
      </c>
      <c r="C188" s="12"/>
      <c r="D188" s="12">
        <v>1966</v>
      </c>
    </row>
    <row r="189" spans="1:4" ht="19.899999999999999" customHeight="1">
      <c r="A189" s="11" t="s">
        <v>18</v>
      </c>
      <c r="B189" s="14" t="s">
        <v>41</v>
      </c>
      <c r="C189" s="12"/>
      <c r="D189" s="12">
        <v>1966</v>
      </c>
    </row>
    <row r="190" spans="1:4" ht="19.899999999999999" customHeight="1">
      <c r="A190" s="11" t="s">
        <v>19</v>
      </c>
      <c r="B190" s="14" t="s">
        <v>41</v>
      </c>
      <c r="C190" s="12"/>
      <c r="D190" s="12">
        <v>1966</v>
      </c>
    </row>
    <row r="191" spans="1:4" ht="19.899999999999999" customHeight="1">
      <c r="A191" s="11" t="s">
        <v>20</v>
      </c>
      <c r="B191" s="14" t="s">
        <v>41</v>
      </c>
      <c r="C191" s="12"/>
      <c r="D191" s="12">
        <v>1966</v>
      </c>
    </row>
    <row r="192" spans="1:4" ht="19.899999999999999" customHeight="1">
      <c r="A192" s="11" t="s">
        <v>21</v>
      </c>
      <c r="B192" s="14" t="s">
        <v>41</v>
      </c>
      <c r="C192" s="12"/>
      <c r="D192" s="12">
        <v>1966</v>
      </c>
    </row>
    <row r="193" spans="1:4" ht="19.899999999999999" customHeight="1">
      <c r="A193" s="11" t="s">
        <v>22</v>
      </c>
      <c r="B193" s="14" t="s">
        <v>41</v>
      </c>
      <c r="C193" s="12"/>
      <c r="D193" s="12">
        <v>1966</v>
      </c>
    </row>
    <row r="194" spans="1:4" ht="19.899999999999999" customHeight="1">
      <c r="A194" s="11" t="s">
        <v>23</v>
      </c>
      <c r="B194" s="14" t="s">
        <v>41</v>
      </c>
      <c r="C194" s="12"/>
      <c r="D194" s="12">
        <v>1966</v>
      </c>
    </row>
    <row r="195" spans="1:4" ht="19.899999999999999" customHeight="1">
      <c r="A195" s="11" t="s">
        <v>24</v>
      </c>
      <c r="B195" s="14" t="s">
        <v>41</v>
      </c>
      <c r="C195" s="12"/>
      <c r="D195" s="12">
        <v>1966</v>
      </c>
    </row>
    <row r="196" spans="1:4" ht="19.899999999999999" customHeight="1">
      <c r="A196" s="11" t="s">
        <v>25</v>
      </c>
      <c r="B196" s="14" t="s">
        <v>41</v>
      </c>
      <c r="C196" s="12"/>
      <c r="D196" s="12">
        <v>1966</v>
      </c>
    </row>
    <row r="197" spans="1:4" ht="19.899999999999999" customHeight="1">
      <c r="A197" s="11" t="s">
        <v>26</v>
      </c>
      <c r="B197" s="14" t="s">
        <v>41</v>
      </c>
      <c r="C197" s="12"/>
      <c r="D197" s="12">
        <v>1966</v>
      </c>
    </row>
    <row r="198" spans="1:4" ht="19.899999999999999" customHeight="1">
      <c r="A198" s="11" t="s">
        <v>27</v>
      </c>
      <c r="B198" s="14" t="s">
        <v>41</v>
      </c>
      <c r="C198" s="12"/>
      <c r="D198" s="12">
        <v>1966</v>
      </c>
    </row>
    <row r="199" spans="1:4" ht="19.899999999999999" customHeight="1">
      <c r="A199" s="11" t="s">
        <v>28</v>
      </c>
      <c r="B199" s="14" t="s">
        <v>41</v>
      </c>
      <c r="C199" s="12"/>
      <c r="D199" s="12">
        <v>1966</v>
      </c>
    </row>
    <row r="200" spans="1:4" ht="19.899999999999999" customHeight="1">
      <c r="A200" s="11" t="s">
        <v>29</v>
      </c>
      <c r="B200" s="14" t="s">
        <v>41</v>
      </c>
      <c r="C200" s="12"/>
      <c r="D200" s="12">
        <v>1966</v>
      </c>
    </row>
    <row r="201" spans="1:4" ht="19.899999999999999" customHeight="1">
      <c r="A201" s="11" t="s">
        <v>4</v>
      </c>
      <c r="B201" s="14" t="s">
        <v>41</v>
      </c>
      <c r="C201" s="12"/>
      <c r="D201" s="12">
        <v>1967</v>
      </c>
    </row>
    <row r="202" spans="1:4" ht="19.899999999999999" customHeight="1">
      <c r="A202" s="11" t="s">
        <v>5</v>
      </c>
      <c r="B202" s="14" t="s">
        <v>41</v>
      </c>
      <c r="C202" s="12"/>
      <c r="D202" s="12">
        <v>1967</v>
      </c>
    </row>
    <row r="203" spans="1:4" ht="19.899999999999999" customHeight="1">
      <c r="A203" s="11" t="s">
        <v>6</v>
      </c>
      <c r="B203" s="14" t="s">
        <v>41</v>
      </c>
      <c r="C203" s="12"/>
      <c r="D203" s="12">
        <v>1967</v>
      </c>
    </row>
    <row r="204" spans="1:4" ht="19.899999999999999" customHeight="1">
      <c r="A204" s="11" t="s">
        <v>7</v>
      </c>
      <c r="B204" s="14" t="s">
        <v>41</v>
      </c>
      <c r="C204" s="12"/>
      <c r="D204" s="12">
        <v>1967</v>
      </c>
    </row>
    <row r="205" spans="1:4" ht="19.899999999999999" customHeight="1">
      <c r="A205" s="11" t="s">
        <v>8</v>
      </c>
      <c r="B205" s="14" t="s">
        <v>41</v>
      </c>
      <c r="C205" s="12"/>
      <c r="D205" s="12">
        <v>1967</v>
      </c>
    </row>
    <row r="206" spans="1:4" ht="19.899999999999999" customHeight="1">
      <c r="A206" s="11" t="s">
        <v>1</v>
      </c>
      <c r="B206" s="14" t="s">
        <v>41</v>
      </c>
      <c r="C206" s="12"/>
      <c r="D206" s="12">
        <v>1967</v>
      </c>
    </row>
    <row r="207" spans="1:4" ht="19.899999999999999" customHeight="1">
      <c r="A207" s="11" t="s">
        <v>9</v>
      </c>
      <c r="B207" s="14" t="s">
        <v>41</v>
      </c>
      <c r="C207" s="12"/>
      <c r="D207" s="12">
        <v>1967</v>
      </c>
    </row>
    <row r="208" spans="1:4" ht="19.899999999999999" customHeight="1">
      <c r="A208" s="11" t="s">
        <v>10</v>
      </c>
      <c r="B208" s="14" t="s">
        <v>41</v>
      </c>
      <c r="C208" s="12"/>
      <c r="D208" s="12">
        <v>1967</v>
      </c>
    </row>
    <row r="209" spans="1:4" ht="19.899999999999999" customHeight="1">
      <c r="A209" s="11" t="s">
        <v>11</v>
      </c>
      <c r="B209" s="14" t="s">
        <v>41</v>
      </c>
      <c r="C209" s="12"/>
      <c r="D209" s="12">
        <v>1967</v>
      </c>
    </row>
    <row r="210" spans="1:4" ht="19.899999999999999" customHeight="1">
      <c r="A210" s="11" t="s">
        <v>38</v>
      </c>
      <c r="B210" s="14" t="s">
        <v>41</v>
      </c>
      <c r="C210" s="12"/>
      <c r="D210" s="12">
        <v>1967</v>
      </c>
    </row>
    <row r="211" spans="1:4" ht="19.899999999999999" customHeight="1">
      <c r="A211" s="11" t="s">
        <v>12</v>
      </c>
      <c r="B211" s="14" t="s">
        <v>41</v>
      </c>
      <c r="C211" s="12"/>
      <c r="D211" s="12">
        <v>1967</v>
      </c>
    </row>
    <row r="212" spans="1:4" ht="19.899999999999999" customHeight="1">
      <c r="A212" s="11" t="s">
        <v>13</v>
      </c>
      <c r="B212" s="14" t="s">
        <v>41</v>
      </c>
      <c r="C212" s="12"/>
      <c r="D212" s="12">
        <v>1967</v>
      </c>
    </row>
    <row r="213" spans="1:4" ht="19.899999999999999" customHeight="1">
      <c r="A213" s="11" t="s">
        <v>14</v>
      </c>
      <c r="B213" s="14" t="s">
        <v>41</v>
      </c>
      <c r="C213" s="12"/>
      <c r="D213" s="12">
        <v>1967</v>
      </c>
    </row>
    <row r="214" spans="1:4" ht="19.899999999999999" customHeight="1">
      <c r="A214" s="11" t="s">
        <v>15</v>
      </c>
      <c r="B214" s="14" t="s">
        <v>41</v>
      </c>
      <c r="C214" s="12"/>
      <c r="D214" s="12">
        <v>1967</v>
      </c>
    </row>
    <row r="215" spans="1:4" ht="19.899999999999999" customHeight="1">
      <c r="A215" s="11" t="s">
        <v>16</v>
      </c>
      <c r="B215" s="14" t="s">
        <v>41</v>
      </c>
      <c r="C215" s="12"/>
      <c r="D215" s="12">
        <v>1967</v>
      </c>
    </row>
    <row r="216" spans="1:4" ht="19.899999999999999" customHeight="1">
      <c r="A216" s="11" t="s">
        <v>17</v>
      </c>
      <c r="B216" s="14" t="s">
        <v>41</v>
      </c>
      <c r="C216" s="12"/>
      <c r="D216" s="12">
        <v>1967</v>
      </c>
    </row>
    <row r="217" spans="1:4" ht="19.899999999999999" customHeight="1">
      <c r="A217" s="11" t="s">
        <v>18</v>
      </c>
      <c r="B217" s="14" t="s">
        <v>41</v>
      </c>
      <c r="C217" s="12"/>
      <c r="D217" s="12">
        <v>1967</v>
      </c>
    </row>
    <row r="218" spans="1:4" ht="19.899999999999999" customHeight="1">
      <c r="A218" s="11" t="s">
        <v>19</v>
      </c>
      <c r="B218" s="14" t="s">
        <v>41</v>
      </c>
      <c r="C218" s="12"/>
      <c r="D218" s="12">
        <v>1967</v>
      </c>
    </row>
    <row r="219" spans="1:4" ht="19.899999999999999" customHeight="1">
      <c r="A219" s="11" t="s">
        <v>20</v>
      </c>
      <c r="B219" s="14" t="s">
        <v>41</v>
      </c>
      <c r="C219" s="12"/>
      <c r="D219" s="12">
        <v>1967</v>
      </c>
    </row>
    <row r="220" spans="1:4" ht="19.899999999999999" customHeight="1">
      <c r="A220" s="11" t="s">
        <v>21</v>
      </c>
      <c r="B220" s="14" t="s">
        <v>41</v>
      </c>
      <c r="C220" s="12"/>
      <c r="D220" s="12">
        <v>1967</v>
      </c>
    </row>
    <row r="221" spans="1:4" ht="19.899999999999999" customHeight="1">
      <c r="A221" s="11" t="s">
        <v>22</v>
      </c>
      <c r="B221" s="14" t="s">
        <v>41</v>
      </c>
      <c r="C221" s="12"/>
      <c r="D221" s="12">
        <v>1967</v>
      </c>
    </row>
    <row r="222" spans="1:4" ht="19.899999999999999" customHeight="1">
      <c r="A222" s="11" t="s">
        <v>23</v>
      </c>
      <c r="B222" s="14" t="s">
        <v>41</v>
      </c>
      <c r="C222" s="12"/>
      <c r="D222" s="12">
        <v>1967</v>
      </c>
    </row>
    <row r="223" spans="1:4" ht="19.899999999999999" customHeight="1">
      <c r="A223" s="11" t="s">
        <v>24</v>
      </c>
      <c r="B223" s="14" t="s">
        <v>41</v>
      </c>
      <c r="C223" s="12"/>
      <c r="D223" s="12">
        <v>1967</v>
      </c>
    </row>
    <row r="224" spans="1:4" ht="19.899999999999999" customHeight="1">
      <c r="A224" s="11" t="s">
        <v>25</v>
      </c>
      <c r="B224" s="14" t="s">
        <v>41</v>
      </c>
      <c r="C224" s="12"/>
      <c r="D224" s="12">
        <v>1967</v>
      </c>
    </row>
    <row r="225" spans="1:4" ht="19.899999999999999" customHeight="1">
      <c r="A225" s="11" t="s">
        <v>26</v>
      </c>
      <c r="B225" s="14" t="s">
        <v>41</v>
      </c>
      <c r="C225" s="12"/>
      <c r="D225" s="12">
        <v>1967</v>
      </c>
    </row>
    <row r="226" spans="1:4" ht="19.899999999999999" customHeight="1">
      <c r="A226" s="11" t="s">
        <v>27</v>
      </c>
      <c r="B226" s="14" t="s">
        <v>41</v>
      </c>
      <c r="C226" s="12"/>
      <c r="D226" s="12">
        <v>1967</v>
      </c>
    </row>
    <row r="227" spans="1:4" ht="19.899999999999999" customHeight="1">
      <c r="A227" s="11" t="s">
        <v>28</v>
      </c>
      <c r="B227" s="14" t="s">
        <v>41</v>
      </c>
      <c r="C227" s="12"/>
      <c r="D227" s="12">
        <v>1967</v>
      </c>
    </row>
    <row r="228" spans="1:4" ht="19.899999999999999" customHeight="1">
      <c r="A228" s="11" t="s">
        <v>29</v>
      </c>
      <c r="B228" s="14" t="s">
        <v>41</v>
      </c>
      <c r="C228" s="12"/>
      <c r="D228" s="12">
        <v>1967</v>
      </c>
    </row>
    <row r="229" spans="1:4" ht="19.899999999999999" customHeight="1">
      <c r="A229" s="11" t="s">
        <v>4</v>
      </c>
      <c r="B229" s="14" t="s">
        <v>41</v>
      </c>
      <c r="C229" s="12"/>
      <c r="D229" s="12">
        <v>1968</v>
      </c>
    </row>
    <row r="230" spans="1:4" ht="19.899999999999999" customHeight="1">
      <c r="A230" s="11" t="s">
        <v>5</v>
      </c>
      <c r="B230" s="14" t="s">
        <v>41</v>
      </c>
      <c r="C230" s="12"/>
      <c r="D230" s="12">
        <v>1968</v>
      </c>
    </row>
    <row r="231" spans="1:4" ht="19.899999999999999" customHeight="1">
      <c r="A231" s="11" t="s">
        <v>6</v>
      </c>
      <c r="B231" s="14" t="s">
        <v>41</v>
      </c>
      <c r="C231" s="12"/>
      <c r="D231" s="12">
        <v>1968</v>
      </c>
    </row>
    <row r="232" spans="1:4" ht="19.899999999999999" customHeight="1">
      <c r="A232" s="11" t="s">
        <v>7</v>
      </c>
      <c r="B232" s="14" t="s">
        <v>41</v>
      </c>
      <c r="C232" s="12"/>
      <c r="D232" s="12">
        <v>1968</v>
      </c>
    </row>
    <row r="233" spans="1:4" ht="19.899999999999999" customHeight="1">
      <c r="A233" s="11" t="s">
        <v>8</v>
      </c>
      <c r="B233" s="14" t="s">
        <v>41</v>
      </c>
      <c r="C233" s="12"/>
      <c r="D233" s="12">
        <v>1968</v>
      </c>
    </row>
    <row r="234" spans="1:4" ht="19.899999999999999" customHeight="1">
      <c r="A234" s="11" t="s">
        <v>1</v>
      </c>
      <c r="B234" s="14" t="s">
        <v>41</v>
      </c>
      <c r="C234" s="12"/>
      <c r="D234" s="12">
        <v>1968</v>
      </c>
    </row>
    <row r="235" spans="1:4" ht="19.899999999999999" customHeight="1">
      <c r="A235" s="11" t="s">
        <v>9</v>
      </c>
      <c r="B235" s="14" t="s">
        <v>41</v>
      </c>
      <c r="C235" s="12"/>
      <c r="D235" s="12">
        <v>1968</v>
      </c>
    </row>
    <row r="236" spans="1:4" ht="19.899999999999999" customHeight="1">
      <c r="A236" s="11" t="s">
        <v>10</v>
      </c>
      <c r="B236" s="14" t="s">
        <v>41</v>
      </c>
      <c r="C236" s="12"/>
      <c r="D236" s="12">
        <v>1968</v>
      </c>
    </row>
    <row r="237" spans="1:4" ht="19.899999999999999" customHeight="1">
      <c r="A237" s="11" t="s">
        <v>11</v>
      </c>
      <c r="B237" s="14" t="s">
        <v>41</v>
      </c>
      <c r="C237" s="12"/>
      <c r="D237" s="12">
        <v>1968</v>
      </c>
    </row>
    <row r="238" spans="1:4" ht="19.899999999999999" customHeight="1">
      <c r="A238" s="11" t="s">
        <v>38</v>
      </c>
      <c r="B238" s="14" t="s">
        <v>41</v>
      </c>
      <c r="C238" s="12"/>
      <c r="D238" s="12">
        <v>1968</v>
      </c>
    </row>
    <row r="239" spans="1:4" ht="19.899999999999999" customHeight="1">
      <c r="A239" s="11" t="s">
        <v>12</v>
      </c>
      <c r="B239" s="14" t="s">
        <v>41</v>
      </c>
      <c r="C239" s="12"/>
      <c r="D239" s="12">
        <v>1968</v>
      </c>
    </row>
    <row r="240" spans="1:4" ht="19.899999999999999" customHeight="1">
      <c r="A240" s="11" t="s">
        <v>13</v>
      </c>
      <c r="B240" s="14" t="s">
        <v>41</v>
      </c>
      <c r="C240" s="12"/>
      <c r="D240" s="12">
        <v>1968</v>
      </c>
    </row>
    <row r="241" spans="1:4" ht="19.899999999999999" customHeight="1">
      <c r="A241" s="11" t="s">
        <v>14</v>
      </c>
      <c r="B241" s="14" t="s">
        <v>41</v>
      </c>
      <c r="C241" s="12"/>
      <c r="D241" s="12">
        <v>1968</v>
      </c>
    </row>
    <row r="242" spans="1:4" ht="19.899999999999999" customHeight="1">
      <c r="A242" s="11" t="s">
        <v>15</v>
      </c>
      <c r="B242" s="14" t="s">
        <v>41</v>
      </c>
      <c r="C242" s="12"/>
      <c r="D242" s="12">
        <v>1968</v>
      </c>
    </row>
    <row r="243" spans="1:4" ht="19.899999999999999" customHeight="1">
      <c r="A243" s="11" t="s">
        <v>16</v>
      </c>
      <c r="B243" s="14" t="s">
        <v>41</v>
      </c>
      <c r="C243" s="12"/>
      <c r="D243" s="12">
        <v>1968</v>
      </c>
    </row>
    <row r="244" spans="1:4" ht="19.899999999999999" customHeight="1">
      <c r="A244" s="11" t="s">
        <v>17</v>
      </c>
      <c r="B244" s="14" t="s">
        <v>41</v>
      </c>
      <c r="C244" s="12"/>
      <c r="D244" s="12">
        <v>1968</v>
      </c>
    </row>
    <row r="245" spans="1:4" ht="19.899999999999999" customHeight="1">
      <c r="A245" s="11" t="s">
        <v>18</v>
      </c>
      <c r="B245" s="14" t="s">
        <v>41</v>
      </c>
      <c r="C245" s="12"/>
      <c r="D245" s="12">
        <v>1968</v>
      </c>
    </row>
    <row r="246" spans="1:4" ht="19.899999999999999" customHeight="1">
      <c r="A246" s="11" t="s">
        <v>19</v>
      </c>
      <c r="B246" s="14" t="s">
        <v>41</v>
      </c>
      <c r="C246" s="12"/>
      <c r="D246" s="12">
        <v>1968</v>
      </c>
    </row>
    <row r="247" spans="1:4" ht="19.899999999999999" customHeight="1">
      <c r="A247" s="11" t="s">
        <v>20</v>
      </c>
      <c r="B247" s="14" t="s">
        <v>41</v>
      </c>
      <c r="C247" s="12"/>
      <c r="D247" s="12">
        <v>1968</v>
      </c>
    </row>
    <row r="248" spans="1:4" ht="19.899999999999999" customHeight="1">
      <c r="A248" s="11" t="s">
        <v>21</v>
      </c>
      <c r="B248" s="14" t="s">
        <v>41</v>
      </c>
      <c r="C248" s="12"/>
      <c r="D248" s="12">
        <v>1968</v>
      </c>
    </row>
    <row r="249" spans="1:4" ht="19.899999999999999" customHeight="1">
      <c r="A249" s="11" t="s">
        <v>22</v>
      </c>
      <c r="B249" s="14" t="s">
        <v>41</v>
      </c>
      <c r="C249" s="12"/>
      <c r="D249" s="12">
        <v>1968</v>
      </c>
    </row>
    <row r="250" spans="1:4" ht="19.899999999999999" customHeight="1">
      <c r="A250" s="11" t="s">
        <v>23</v>
      </c>
      <c r="B250" s="14" t="s">
        <v>41</v>
      </c>
      <c r="C250" s="12"/>
      <c r="D250" s="12">
        <v>1968</v>
      </c>
    </row>
    <row r="251" spans="1:4" ht="19.899999999999999" customHeight="1">
      <c r="A251" s="11" t="s">
        <v>24</v>
      </c>
      <c r="B251" s="14" t="s">
        <v>41</v>
      </c>
      <c r="C251" s="12"/>
      <c r="D251" s="12">
        <v>1968</v>
      </c>
    </row>
    <row r="252" spans="1:4" ht="19.899999999999999" customHeight="1">
      <c r="A252" s="11" t="s">
        <v>25</v>
      </c>
      <c r="B252" s="14" t="s">
        <v>41</v>
      </c>
      <c r="C252" s="12"/>
      <c r="D252" s="12">
        <v>1968</v>
      </c>
    </row>
    <row r="253" spans="1:4" ht="19.899999999999999" customHeight="1">
      <c r="A253" s="11" t="s">
        <v>26</v>
      </c>
      <c r="B253" s="14" t="s">
        <v>41</v>
      </c>
      <c r="C253" s="12"/>
      <c r="D253" s="12">
        <v>1968</v>
      </c>
    </row>
    <row r="254" spans="1:4" ht="19.899999999999999" customHeight="1">
      <c r="A254" s="11" t="s">
        <v>27</v>
      </c>
      <c r="B254" s="14" t="s">
        <v>41</v>
      </c>
      <c r="C254" s="12"/>
      <c r="D254" s="12">
        <v>1968</v>
      </c>
    </row>
    <row r="255" spans="1:4" ht="19.899999999999999" customHeight="1">
      <c r="A255" s="11" t="s">
        <v>28</v>
      </c>
      <c r="B255" s="14" t="s">
        <v>41</v>
      </c>
      <c r="C255" s="12"/>
      <c r="D255" s="12">
        <v>1968</v>
      </c>
    </row>
    <row r="256" spans="1:4" ht="19.899999999999999" customHeight="1">
      <c r="A256" s="11" t="s">
        <v>29</v>
      </c>
      <c r="B256" s="14" t="s">
        <v>41</v>
      </c>
      <c r="C256" s="12"/>
      <c r="D256" s="12">
        <v>1968</v>
      </c>
    </row>
    <row r="257" spans="1:4" ht="19.899999999999999" customHeight="1">
      <c r="A257" s="11" t="s">
        <v>4</v>
      </c>
      <c r="B257" s="14" t="s">
        <v>41</v>
      </c>
      <c r="C257" s="12"/>
      <c r="D257" s="12">
        <v>1969</v>
      </c>
    </row>
    <row r="258" spans="1:4" ht="19.899999999999999" customHeight="1">
      <c r="A258" s="11" t="s">
        <v>5</v>
      </c>
      <c r="B258" s="14" t="s">
        <v>41</v>
      </c>
      <c r="C258" s="12"/>
      <c r="D258" s="12">
        <v>1969</v>
      </c>
    </row>
    <row r="259" spans="1:4" ht="19.899999999999999" customHeight="1">
      <c r="A259" s="11" t="s">
        <v>6</v>
      </c>
      <c r="B259" s="14" t="s">
        <v>41</v>
      </c>
      <c r="C259" s="12"/>
      <c r="D259" s="12">
        <v>1969</v>
      </c>
    </row>
    <row r="260" spans="1:4" ht="19.899999999999999" customHeight="1">
      <c r="A260" s="11" t="s">
        <v>7</v>
      </c>
      <c r="B260" s="14" t="s">
        <v>41</v>
      </c>
      <c r="C260" s="12"/>
      <c r="D260" s="12">
        <v>1969</v>
      </c>
    </row>
    <row r="261" spans="1:4" ht="19.899999999999999" customHeight="1">
      <c r="A261" s="11" t="s">
        <v>8</v>
      </c>
      <c r="B261" s="14" t="s">
        <v>41</v>
      </c>
      <c r="C261" s="12"/>
      <c r="D261" s="12">
        <v>1969</v>
      </c>
    </row>
    <row r="262" spans="1:4" ht="19.899999999999999" customHeight="1">
      <c r="A262" s="11" t="s">
        <v>1</v>
      </c>
      <c r="B262" s="14" t="s">
        <v>41</v>
      </c>
      <c r="C262" s="12"/>
      <c r="D262" s="12">
        <v>1969</v>
      </c>
    </row>
    <row r="263" spans="1:4" ht="19.899999999999999" customHeight="1">
      <c r="A263" s="11" t="s">
        <v>9</v>
      </c>
      <c r="B263" s="14" t="s">
        <v>41</v>
      </c>
      <c r="C263" s="12"/>
      <c r="D263" s="12">
        <v>1969</v>
      </c>
    </row>
    <row r="264" spans="1:4" ht="19.899999999999999" customHeight="1">
      <c r="A264" s="11" t="s">
        <v>10</v>
      </c>
      <c r="B264" s="14" t="s">
        <v>41</v>
      </c>
      <c r="C264" s="12"/>
      <c r="D264" s="12">
        <v>1969</v>
      </c>
    </row>
    <row r="265" spans="1:4" ht="19.899999999999999" customHeight="1">
      <c r="A265" s="11" t="s">
        <v>11</v>
      </c>
      <c r="B265" s="14" t="s">
        <v>41</v>
      </c>
      <c r="C265" s="12"/>
      <c r="D265" s="12">
        <v>1969</v>
      </c>
    </row>
    <row r="266" spans="1:4" ht="19.899999999999999" customHeight="1">
      <c r="A266" s="11" t="s">
        <v>38</v>
      </c>
      <c r="B266" s="14" t="s">
        <v>41</v>
      </c>
      <c r="C266" s="12"/>
      <c r="D266" s="12">
        <v>1969</v>
      </c>
    </row>
    <row r="267" spans="1:4" ht="19.899999999999999" customHeight="1">
      <c r="A267" s="11" t="s">
        <v>12</v>
      </c>
      <c r="B267" s="14" t="s">
        <v>41</v>
      </c>
      <c r="C267" s="12"/>
      <c r="D267" s="12">
        <v>1969</v>
      </c>
    </row>
    <row r="268" spans="1:4" ht="19.899999999999999" customHeight="1">
      <c r="A268" s="11" t="s">
        <v>13</v>
      </c>
      <c r="B268" s="14" t="s">
        <v>41</v>
      </c>
      <c r="C268" s="12"/>
      <c r="D268" s="12">
        <v>1969</v>
      </c>
    </row>
    <row r="269" spans="1:4" ht="19.899999999999999" customHeight="1">
      <c r="A269" s="11" t="s">
        <v>14</v>
      </c>
      <c r="B269" s="14" t="s">
        <v>41</v>
      </c>
      <c r="C269" s="12"/>
      <c r="D269" s="12">
        <v>1969</v>
      </c>
    </row>
    <row r="270" spans="1:4" ht="19.899999999999999" customHeight="1">
      <c r="A270" s="11" t="s">
        <v>15</v>
      </c>
      <c r="B270" s="14" t="s">
        <v>41</v>
      </c>
      <c r="C270" s="12"/>
      <c r="D270" s="12">
        <v>1969</v>
      </c>
    </row>
    <row r="271" spans="1:4" ht="19.899999999999999" customHeight="1">
      <c r="A271" s="11" t="s">
        <v>16</v>
      </c>
      <c r="B271" s="14" t="s">
        <v>41</v>
      </c>
      <c r="C271" s="12"/>
      <c r="D271" s="12">
        <v>1969</v>
      </c>
    </row>
    <row r="272" spans="1:4" ht="19.899999999999999" customHeight="1">
      <c r="A272" s="11" t="s">
        <v>17</v>
      </c>
      <c r="B272" s="14" t="s">
        <v>41</v>
      </c>
      <c r="C272" s="12"/>
      <c r="D272" s="12">
        <v>1969</v>
      </c>
    </row>
    <row r="273" spans="1:4" ht="19.899999999999999" customHeight="1">
      <c r="A273" s="11" t="s">
        <v>18</v>
      </c>
      <c r="B273" s="14" t="s">
        <v>41</v>
      </c>
      <c r="C273" s="12"/>
      <c r="D273" s="12">
        <v>1969</v>
      </c>
    </row>
    <row r="274" spans="1:4" ht="19.899999999999999" customHeight="1">
      <c r="A274" s="11" t="s">
        <v>19</v>
      </c>
      <c r="B274" s="14" t="s">
        <v>41</v>
      </c>
      <c r="C274" s="12"/>
      <c r="D274" s="12">
        <v>1969</v>
      </c>
    </row>
    <row r="275" spans="1:4" ht="19.899999999999999" customHeight="1">
      <c r="A275" s="11" t="s">
        <v>20</v>
      </c>
      <c r="B275" s="14" t="s">
        <v>41</v>
      </c>
      <c r="C275" s="12"/>
      <c r="D275" s="12">
        <v>1969</v>
      </c>
    </row>
    <row r="276" spans="1:4" ht="19.899999999999999" customHeight="1">
      <c r="A276" s="11" t="s">
        <v>21</v>
      </c>
      <c r="B276" s="14" t="s">
        <v>41</v>
      </c>
      <c r="C276" s="12"/>
      <c r="D276" s="12">
        <v>1969</v>
      </c>
    </row>
    <row r="277" spans="1:4" ht="19.899999999999999" customHeight="1">
      <c r="A277" s="11" t="s">
        <v>22</v>
      </c>
      <c r="B277" s="14" t="s">
        <v>41</v>
      </c>
      <c r="C277" s="12"/>
      <c r="D277" s="12">
        <v>1969</v>
      </c>
    </row>
    <row r="278" spans="1:4" ht="19.899999999999999" customHeight="1">
      <c r="A278" s="11" t="s">
        <v>23</v>
      </c>
      <c r="B278" s="14" t="s">
        <v>41</v>
      </c>
      <c r="C278" s="12"/>
      <c r="D278" s="12">
        <v>1969</v>
      </c>
    </row>
    <row r="279" spans="1:4" ht="19.899999999999999" customHeight="1">
      <c r="A279" s="11" t="s">
        <v>24</v>
      </c>
      <c r="B279" s="14" t="s">
        <v>41</v>
      </c>
      <c r="C279" s="12"/>
      <c r="D279" s="12">
        <v>1969</v>
      </c>
    </row>
    <row r="280" spans="1:4" ht="19.899999999999999" customHeight="1">
      <c r="A280" s="11" t="s">
        <v>25</v>
      </c>
      <c r="B280" s="14" t="s">
        <v>41</v>
      </c>
      <c r="C280" s="12"/>
      <c r="D280" s="12">
        <v>1969</v>
      </c>
    </row>
    <row r="281" spans="1:4" ht="19.899999999999999" customHeight="1">
      <c r="A281" s="11" t="s">
        <v>26</v>
      </c>
      <c r="B281" s="14" t="s">
        <v>41</v>
      </c>
      <c r="C281" s="12"/>
      <c r="D281" s="12">
        <v>1969</v>
      </c>
    </row>
    <row r="282" spans="1:4" ht="19.899999999999999" customHeight="1">
      <c r="A282" s="11" t="s">
        <v>27</v>
      </c>
      <c r="B282" s="14" t="s">
        <v>41</v>
      </c>
      <c r="C282" s="12"/>
      <c r="D282" s="12">
        <v>1969</v>
      </c>
    </row>
    <row r="283" spans="1:4" ht="19.899999999999999" customHeight="1">
      <c r="A283" s="11" t="s">
        <v>28</v>
      </c>
      <c r="B283" s="14" t="s">
        <v>41</v>
      </c>
      <c r="C283" s="12"/>
      <c r="D283" s="12">
        <v>1969</v>
      </c>
    </row>
    <row r="284" spans="1:4" ht="19.899999999999999" customHeight="1">
      <c r="A284" s="11" t="s">
        <v>29</v>
      </c>
      <c r="B284" s="14" t="s">
        <v>41</v>
      </c>
      <c r="C284" s="12"/>
      <c r="D284" s="12">
        <v>1969</v>
      </c>
    </row>
    <row r="285" spans="1:4" ht="19.899999999999999" customHeight="1">
      <c r="A285" s="11" t="s">
        <v>4</v>
      </c>
      <c r="B285" s="14" t="s">
        <v>41</v>
      </c>
      <c r="C285" s="12"/>
      <c r="D285" s="12">
        <v>1970</v>
      </c>
    </row>
    <row r="286" spans="1:4" ht="19.899999999999999" customHeight="1">
      <c r="A286" s="11" t="s">
        <v>5</v>
      </c>
      <c r="B286" s="14" t="s">
        <v>41</v>
      </c>
      <c r="C286" s="12"/>
      <c r="D286" s="12">
        <v>1970</v>
      </c>
    </row>
    <row r="287" spans="1:4" ht="19.899999999999999" customHeight="1">
      <c r="A287" s="11" t="s">
        <v>6</v>
      </c>
      <c r="B287" s="14" t="s">
        <v>41</v>
      </c>
      <c r="C287" s="12"/>
      <c r="D287" s="12">
        <v>1970</v>
      </c>
    </row>
    <row r="288" spans="1:4" ht="19.899999999999999" customHeight="1">
      <c r="A288" s="11" t="s">
        <v>7</v>
      </c>
      <c r="B288" s="14" t="s">
        <v>41</v>
      </c>
      <c r="C288" s="12"/>
      <c r="D288" s="12">
        <v>1970</v>
      </c>
    </row>
    <row r="289" spans="1:4" ht="19.899999999999999" customHeight="1">
      <c r="A289" s="11" t="s">
        <v>8</v>
      </c>
      <c r="B289" s="14" t="s">
        <v>41</v>
      </c>
      <c r="C289" s="12"/>
      <c r="D289" s="12">
        <v>1970</v>
      </c>
    </row>
    <row r="290" spans="1:4" ht="19.899999999999999" customHeight="1">
      <c r="A290" s="11" t="s">
        <v>1</v>
      </c>
      <c r="B290" s="14" t="s">
        <v>41</v>
      </c>
      <c r="C290" s="12"/>
      <c r="D290" s="12">
        <v>1970</v>
      </c>
    </row>
    <row r="291" spans="1:4" ht="19.899999999999999" customHeight="1">
      <c r="A291" s="11" t="s">
        <v>9</v>
      </c>
      <c r="B291" s="14" t="s">
        <v>41</v>
      </c>
      <c r="C291" s="12"/>
      <c r="D291" s="12">
        <v>1970</v>
      </c>
    </row>
    <row r="292" spans="1:4" ht="19.899999999999999" customHeight="1">
      <c r="A292" s="11" t="s">
        <v>10</v>
      </c>
      <c r="B292" s="14" t="s">
        <v>41</v>
      </c>
      <c r="C292" s="12"/>
      <c r="D292" s="12">
        <v>1970</v>
      </c>
    </row>
    <row r="293" spans="1:4" ht="19.899999999999999" customHeight="1">
      <c r="A293" s="11" t="s">
        <v>11</v>
      </c>
      <c r="B293" s="14" t="s">
        <v>41</v>
      </c>
      <c r="C293" s="12"/>
      <c r="D293" s="12">
        <v>1970</v>
      </c>
    </row>
    <row r="294" spans="1:4" ht="19.899999999999999" customHeight="1">
      <c r="A294" s="11" t="s">
        <v>38</v>
      </c>
      <c r="B294" s="14" t="s">
        <v>41</v>
      </c>
      <c r="C294" s="12"/>
      <c r="D294" s="12">
        <v>1970</v>
      </c>
    </row>
    <row r="295" spans="1:4" ht="19.899999999999999" customHeight="1">
      <c r="A295" s="11" t="s">
        <v>12</v>
      </c>
      <c r="B295" s="14" t="s">
        <v>41</v>
      </c>
      <c r="C295" s="12"/>
      <c r="D295" s="12">
        <v>1970</v>
      </c>
    </row>
    <row r="296" spans="1:4" ht="19.899999999999999" customHeight="1">
      <c r="A296" s="11" t="s">
        <v>13</v>
      </c>
      <c r="B296" s="14" t="s">
        <v>41</v>
      </c>
      <c r="C296" s="12"/>
      <c r="D296" s="12">
        <v>1970</v>
      </c>
    </row>
    <row r="297" spans="1:4" ht="19.899999999999999" customHeight="1">
      <c r="A297" s="11" t="s">
        <v>14</v>
      </c>
      <c r="B297" s="14" t="s">
        <v>41</v>
      </c>
      <c r="C297" s="12"/>
      <c r="D297" s="12">
        <v>1970</v>
      </c>
    </row>
    <row r="298" spans="1:4" ht="19.899999999999999" customHeight="1">
      <c r="A298" s="11" t="s">
        <v>15</v>
      </c>
      <c r="B298" s="14" t="s">
        <v>41</v>
      </c>
      <c r="C298" s="12"/>
      <c r="D298" s="12">
        <v>1970</v>
      </c>
    </row>
    <row r="299" spans="1:4" ht="19.899999999999999" customHeight="1">
      <c r="A299" s="11" t="s">
        <v>16</v>
      </c>
      <c r="B299" s="14" t="s">
        <v>41</v>
      </c>
      <c r="C299" s="12"/>
      <c r="D299" s="12">
        <v>1970</v>
      </c>
    </row>
    <row r="300" spans="1:4" ht="19.899999999999999" customHeight="1">
      <c r="A300" s="11" t="s">
        <v>17</v>
      </c>
      <c r="B300" s="14" t="s">
        <v>41</v>
      </c>
      <c r="C300" s="12"/>
      <c r="D300" s="12">
        <v>1970</v>
      </c>
    </row>
    <row r="301" spans="1:4" ht="19.899999999999999" customHeight="1">
      <c r="A301" s="11" t="s">
        <v>18</v>
      </c>
      <c r="B301" s="14" t="s">
        <v>41</v>
      </c>
      <c r="C301" s="12"/>
      <c r="D301" s="12">
        <v>1970</v>
      </c>
    </row>
    <row r="302" spans="1:4" ht="19.899999999999999" customHeight="1">
      <c r="A302" s="11" t="s">
        <v>19</v>
      </c>
      <c r="B302" s="14" t="s">
        <v>41</v>
      </c>
      <c r="C302" s="12"/>
      <c r="D302" s="12">
        <v>1970</v>
      </c>
    </row>
    <row r="303" spans="1:4" ht="19.899999999999999" customHeight="1">
      <c r="A303" s="11" t="s">
        <v>20</v>
      </c>
      <c r="B303" s="14" t="s">
        <v>41</v>
      </c>
      <c r="C303" s="12"/>
      <c r="D303" s="12">
        <v>1970</v>
      </c>
    </row>
    <row r="304" spans="1:4" ht="19.899999999999999" customHeight="1">
      <c r="A304" s="11" t="s">
        <v>21</v>
      </c>
      <c r="B304" s="14" t="s">
        <v>41</v>
      </c>
      <c r="C304" s="12"/>
      <c r="D304" s="12">
        <v>1970</v>
      </c>
    </row>
    <row r="305" spans="1:4" ht="19.899999999999999" customHeight="1">
      <c r="A305" s="11" t="s">
        <v>22</v>
      </c>
      <c r="B305" s="14" t="s">
        <v>41</v>
      </c>
      <c r="C305" s="12"/>
      <c r="D305" s="12">
        <v>1970</v>
      </c>
    </row>
    <row r="306" spans="1:4" ht="19.899999999999999" customHeight="1">
      <c r="A306" s="11" t="s">
        <v>23</v>
      </c>
      <c r="B306" s="14" t="s">
        <v>41</v>
      </c>
      <c r="C306" s="12"/>
      <c r="D306" s="12">
        <v>1970</v>
      </c>
    </row>
    <row r="307" spans="1:4" ht="19.899999999999999" customHeight="1">
      <c r="A307" s="11" t="s">
        <v>24</v>
      </c>
      <c r="B307" s="14" t="s">
        <v>41</v>
      </c>
      <c r="C307" s="12"/>
      <c r="D307" s="12">
        <v>1970</v>
      </c>
    </row>
    <row r="308" spans="1:4" ht="19.899999999999999" customHeight="1">
      <c r="A308" s="11" t="s">
        <v>25</v>
      </c>
      <c r="B308" s="14" t="s">
        <v>41</v>
      </c>
      <c r="C308" s="12"/>
      <c r="D308" s="12">
        <v>1970</v>
      </c>
    </row>
    <row r="309" spans="1:4" ht="19.899999999999999" customHeight="1">
      <c r="A309" s="11" t="s">
        <v>26</v>
      </c>
      <c r="B309" s="14" t="s">
        <v>41</v>
      </c>
      <c r="C309" s="12"/>
      <c r="D309" s="12">
        <v>1970</v>
      </c>
    </row>
    <row r="310" spans="1:4" ht="19.899999999999999" customHeight="1">
      <c r="A310" s="11" t="s">
        <v>27</v>
      </c>
      <c r="B310" s="14" t="s">
        <v>41</v>
      </c>
      <c r="C310" s="12"/>
      <c r="D310" s="12">
        <v>1970</v>
      </c>
    </row>
    <row r="311" spans="1:4" ht="19.899999999999999" customHeight="1">
      <c r="A311" s="11" t="s">
        <v>28</v>
      </c>
      <c r="B311" s="14" t="s">
        <v>41</v>
      </c>
      <c r="C311" s="12"/>
      <c r="D311" s="12">
        <v>1970</v>
      </c>
    </row>
    <row r="312" spans="1:4" ht="19.899999999999999" customHeight="1">
      <c r="A312" s="11" t="s">
        <v>29</v>
      </c>
      <c r="B312" s="14" t="s">
        <v>41</v>
      </c>
      <c r="C312" s="12"/>
      <c r="D312" s="12">
        <v>1970</v>
      </c>
    </row>
    <row r="313" spans="1:4" ht="19.899999999999999" customHeight="1">
      <c r="A313" s="11" t="s">
        <v>4</v>
      </c>
      <c r="B313" s="14" t="s">
        <v>41</v>
      </c>
      <c r="C313" s="12"/>
      <c r="D313" s="12">
        <v>1971</v>
      </c>
    </row>
    <row r="314" spans="1:4" ht="19.899999999999999" customHeight="1">
      <c r="A314" s="11" t="s">
        <v>5</v>
      </c>
      <c r="B314" s="14" t="s">
        <v>41</v>
      </c>
      <c r="C314" s="12"/>
      <c r="D314" s="12">
        <v>1971</v>
      </c>
    </row>
    <row r="315" spans="1:4" ht="19.899999999999999" customHeight="1">
      <c r="A315" s="11" t="s">
        <v>6</v>
      </c>
      <c r="B315" s="14" t="s">
        <v>41</v>
      </c>
      <c r="C315" s="12"/>
      <c r="D315" s="12">
        <v>1971</v>
      </c>
    </row>
    <row r="316" spans="1:4" ht="19.899999999999999" customHeight="1">
      <c r="A316" s="11" t="s">
        <v>7</v>
      </c>
      <c r="B316" s="14" t="s">
        <v>41</v>
      </c>
      <c r="C316" s="12"/>
      <c r="D316" s="12">
        <v>1971</v>
      </c>
    </row>
    <row r="317" spans="1:4" ht="19.899999999999999" customHeight="1">
      <c r="A317" s="11" t="s">
        <v>8</v>
      </c>
      <c r="B317" s="14" t="s">
        <v>41</v>
      </c>
      <c r="C317" s="12"/>
      <c r="D317" s="12">
        <v>1971</v>
      </c>
    </row>
    <row r="318" spans="1:4" ht="19.899999999999999" customHeight="1">
      <c r="A318" s="11" t="s">
        <v>1</v>
      </c>
      <c r="B318" s="14" t="s">
        <v>41</v>
      </c>
      <c r="C318" s="12"/>
      <c r="D318" s="12">
        <v>1971</v>
      </c>
    </row>
    <row r="319" spans="1:4" ht="19.899999999999999" customHeight="1">
      <c r="A319" s="11" t="s">
        <v>9</v>
      </c>
      <c r="B319" s="14" t="s">
        <v>41</v>
      </c>
      <c r="C319" s="12"/>
      <c r="D319" s="12">
        <v>1971</v>
      </c>
    </row>
    <row r="320" spans="1:4" ht="19.899999999999999" customHeight="1">
      <c r="A320" s="11" t="s">
        <v>10</v>
      </c>
      <c r="B320" s="14" t="s">
        <v>41</v>
      </c>
      <c r="C320" s="12"/>
      <c r="D320" s="12">
        <v>1971</v>
      </c>
    </row>
    <row r="321" spans="1:4" ht="19.899999999999999" customHeight="1">
      <c r="A321" s="11" t="s">
        <v>11</v>
      </c>
      <c r="B321" s="14" t="s">
        <v>41</v>
      </c>
      <c r="C321" s="12"/>
      <c r="D321" s="12">
        <v>1971</v>
      </c>
    </row>
    <row r="322" spans="1:4" ht="19.899999999999999" customHeight="1">
      <c r="A322" s="11" t="s">
        <v>38</v>
      </c>
      <c r="B322" s="14" t="s">
        <v>41</v>
      </c>
      <c r="C322" s="12"/>
      <c r="D322" s="12">
        <v>1971</v>
      </c>
    </row>
    <row r="323" spans="1:4" ht="19.899999999999999" customHeight="1">
      <c r="A323" s="11" t="s">
        <v>12</v>
      </c>
      <c r="B323" s="14" t="s">
        <v>41</v>
      </c>
      <c r="C323" s="12"/>
      <c r="D323" s="12">
        <v>1971</v>
      </c>
    </row>
    <row r="324" spans="1:4" ht="19.899999999999999" customHeight="1">
      <c r="A324" s="11" t="s">
        <v>13</v>
      </c>
      <c r="B324" s="14" t="s">
        <v>41</v>
      </c>
      <c r="C324" s="12"/>
      <c r="D324" s="12">
        <v>1971</v>
      </c>
    </row>
    <row r="325" spans="1:4" ht="19.899999999999999" customHeight="1">
      <c r="A325" s="11" t="s">
        <v>14</v>
      </c>
      <c r="B325" s="14" t="s">
        <v>41</v>
      </c>
      <c r="C325" s="12"/>
      <c r="D325" s="12">
        <v>1971</v>
      </c>
    </row>
    <row r="326" spans="1:4" ht="19.899999999999999" customHeight="1">
      <c r="A326" s="11" t="s">
        <v>15</v>
      </c>
      <c r="B326" s="14" t="s">
        <v>41</v>
      </c>
      <c r="C326" s="12"/>
      <c r="D326" s="12">
        <v>1971</v>
      </c>
    </row>
    <row r="327" spans="1:4" ht="19.899999999999999" customHeight="1">
      <c r="A327" s="11" t="s">
        <v>16</v>
      </c>
      <c r="B327" s="14" t="s">
        <v>41</v>
      </c>
      <c r="C327" s="12"/>
      <c r="D327" s="12">
        <v>1971</v>
      </c>
    </row>
    <row r="328" spans="1:4" ht="19.899999999999999" customHeight="1">
      <c r="A328" s="11" t="s">
        <v>17</v>
      </c>
      <c r="B328" s="14" t="s">
        <v>41</v>
      </c>
      <c r="C328" s="12"/>
      <c r="D328" s="12">
        <v>1971</v>
      </c>
    </row>
    <row r="329" spans="1:4" ht="19.899999999999999" customHeight="1">
      <c r="A329" s="11" t="s">
        <v>18</v>
      </c>
      <c r="B329" s="14" t="s">
        <v>41</v>
      </c>
      <c r="C329" s="12"/>
      <c r="D329" s="12">
        <v>1971</v>
      </c>
    </row>
    <row r="330" spans="1:4" ht="19.899999999999999" customHeight="1">
      <c r="A330" s="11" t="s">
        <v>19</v>
      </c>
      <c r="B330" s="14" t="s">
        <v>41</v>
      </c>
      <c r="C330" s="12"/>
      <c r="D330" s="12">
        <v>1971</v>
      </c>
    </row>
    <row r="331" spans="1:4" ht="19.899999999999999" customHeight="1">
      <c r="A331" s="11" t="s">
        <v>20</v>
      </c>
      <c r="B331" s="14" t="s">
        <v>41</v>
      </c>
      <c r="C331" s="12"/>
      <c r="D331" s="12">
        <v>1971</v>
      </c>
    </row>
    <row r="332" spans="1:4" ht="19.899999999999999" customHeight="1">
      <c r="A332" s="11" t="s">
        <v>21</v>
      </c>
      <c r="B332" s="14" t="s">
        <v>41</v>
      </c>
      <c r="C332" s="12"/>
      <c r="D332" s="12">
        <v>1971</v>
      </c>
    </row>
    <row r="333" spans="1:4" ht="19.899999999999999" customHeight="1">
      <c r="A333" s="11" t="s">
        <v>22</v>
      </c>
      <c r="B333" s="14" t="s">
        <v>41</v>
      </c>
      <c r="C333" s="12"/>
      <c r="D333" s="12">
        <v>1971</v>
      </c>
    </row>
    <row r="334" spans="1:4" ht="19.899999999999999" customHeight="1">
      <c r="A334" s="11" t="s">
        <v>23</v>
      </c>
      <c r="B334" s="14" t="s">
        <v>41</v>
      </c>
      <c r="C334" s="12"/>
      <c r="D334" s="12">
        <v>1971</v>
      </c>
    </row>
    <row r="335" spans="1:4" ht="19.899999999999999" customHeight="1">
      <c r="A335" s="11" t="s">
        <v>24</v>
      </c>
      <c r="B335" s="14" t="s">
        <v>41</v>
      </c>
      <c r="C335" s="12"/>
      <c r="D335" s="12">
        <v>1971</v>
      </c>
    </row>
    <row r="336" spans="1:4" ht="19.899999999999999" customHeight="1">
      <c r="A336" s="11" t="s">
        <v>25</v>
      </c>
      <c r="B336" s="14" t="s">
        <v>41</v>
      </c>
      <c r="C336" s="12"/>
      <c r="D336" s="12">
        <v>1971</v>
      </c>
    </row>
    <row r="337" spans="1:4" ht="19.899999999999999" customHeight="1">
      <c r="A337" s="11" t="s">
        <v>26</v>
      </c>
      <c r="B337" s="14" t="s">
        <v>41</v>
      </c>
      <c r="C337" s="12"/>
      <c r="D337" s="12">
        <v>1971</v>
      </c>
    </row>
    <row r="338" spans="1:4" ht="19.899999999999999" customHeight="1">
      <c r="A338" s="11" t="s">
        <v>27</v>
      </c>
      <c r="B338" s="14" t="s">
        <v>41</v>
      </c>
      <c r="C338" s="12"/>
      <c r="D338" s="12">
        <v>1971</v>
      </c>
    </row>
    <row r="339" spans="1:4" ht="19.899999999999999" customHeight="1">
      <c r="A339" s="11" t="s">
        <v>28</v>
      </c>
      <c r="B339" s="14" t="s">
        <v>41</v>
      </c>
      <c r="C339" s="12"/>
      <c r="D339" s="12">
        <v>1971</v>
      </c>
    </row>
    <row r="340" spans="1:4" ht="19.899999999999999" customHeight="1">
      <c r="A340" s="11" t="s">
        <v>29</v>
      </c>
      <c r="B340" s="14" t="s">
        <v>41</v>
      </c>
      <c r="C340" s="12"/>
      <c r="D340" s="12">
        <v>1971</v>
      </c>
    </row>
    <row r="341" spans="1:4" ht="19.899999999999999" customHeight="1">
      <c r="A341" s="11" t="s">
        <v>4</v>
      </c>
      <c r="B341" s="14" t="s">
        <v>41</v>
      </c>
      <c r="C341" s="12"/>
      <c r="D341" s="12">
        <v>1972</v>
      </c>
    </row>
    <row r="342" spans="1:4" ht="19.899999999999999" customHeight="1">
      <c r="A342" s="11" t="s">
        <v>5</v>
      </c>
      <c r="B342" s="14" t="s">
        <v>41</v>
      </c>
      <c r="C342" s="12"/>
      <c r="D342" s="12">
        <v>1972</v>
      </c>
    </row>
    <row r="343" spans="1:4" ht="19.899999999999999" customHeight="1">
      <c r="A343" s="11" t="s">
        <v>6</v>
      </c>
      <c r="B343" s="14" t="s">
        <v>41</v>
      </c>
      <c r="C343" s="12"/>
      <c r="D343" s="12">
        <v>1972</v>
      </c>
    </row>
    <row r="344" spans="1:4" ht="19.899999999999999" customHeight="1">
      <c r="A344" s="11" t="s">
        <v>7</v>
      </c>
      <c r="B344" s="14" t="s">
        <v>41</v>
      </c>
      <c r="C344" s="12"/>
      <c r="D344" s="12">
        <v>1972</v>
      </c>
    </row>
    <row r="345" spans="1:4" ht="19.899999999999999" customHeight="1">
      <c r="A345" s="11" t="s">
        <v>8</v>
      </c>
      <c r="B345" s="14" t="s">
        <v>41</v>
      </c>
      <c r="C345" s="12"/>
      <c r="D345" s="12">
        <v>1972</v>
      </c>
    </row>
    <row r="346" spans="1:4" ht="19.899999999999999" customHeight="1">
      <c r="A346" s="11" t="s">
        <v>1</v>
      </c>
      <c r="B346" s="14" t="s">
        <v>41</v>
      </c>
      <c r="C346" s="12"/>
      <c r="D346" s="12">
        <v>1972</v>
      </c>
    </row>
    <row r="347" spans="1:4" ht="19.899999999999999" customHeight="1">
      <c r="A347" s="11" t="s">
        <v>9</v>
      </c>
      <c r="B347" s="14" t="s">
        <v>41</v>
      </c>
      <c r="C347" s="12"/>
      <c r="D347" s="12">
        <v>1972</v>
      </c>
    </row>
    <row r="348" spans="1:4" ht="19.899999999999999" customHeight="1">
      <c r="A348" s="11" t="s">
        <v>10</v>
      </c>
      <c r="B348" s="14" t="s">
        <v>41</v>
      </c>
      <c r="C348" s="12"/>
      <c r="D348" s="12">
        <v>1972</v>
      </c>
    </row>
    <row r="349" spans="1:4" ht="19.899999999999999" customHeight="1">
      <c r="A349" s="11" t="s">
        <v>11</v>
      </c>
      <c r="B349" s="14" t="s">
        <v>41</v>
      </c>
      <c r="C349" s="12"/>
      <c r="D349" s="12">
        <v>1972</v>
      </c>
    </row>
    <row r="350" spans="1:4" ht="19.899999999999999" customHeight="1">
      <c r="A350" s="11" t="s">
        <v>38</v>
      </c>
      <c r="B350" s="14" t="s">
        <v>41</v>
      </c>
      <c r="C350" s="12"/>
      <c r="D350" s="12">
        <v>1972</v>
      </c>
    </row>
    <row r="351" spans="1:4" ht="19.899999999999999" customHeight="1">
      <c r="A351" s="11" t="s">
        <v>12</v>
      </c>
      <c r="B351" s="14" t="s">
        <v>41</v>
      </c>
      <c r="C351" s="12"/>
      <c r="D351" s="12">
        <v>1972</v>
      </c>
    </row>
    <row r="352" spans="1:4" ht="19.899999999999999" customHeight="1">
      <c r="A352" s="11" t="s">
        <v>13</v>
      </c>
      <c r="B352" s="14" t="s">
        <v>41</v>
      </c>
      <c r="C352" s="12"/>
      <c r="D352" s="12">
        <v>1972</v>
      </c>
    </row>
    <row r="353" spans="1:4" ht="19.899999999999999" customHeight="1">
      <c r="A353" s="11" t="s">
        <v>14</v>
      </c>
      <c r="B353" s="14" t="s">
        <v>41</v>
      </c>
      <c r="C353" s="12"/>
      <c r="D353" s="12">
        <v>1972</v>
      </c>
    </row>
    <row r="354" spans="1:4" ht="19.899999999999999" customHeight="1">
      <c r="A354" s="11" t="s">
        <v>15</v>
      </c>
      <c r="B354" s="14" t="s">
        <v>41</v>
      </c>
      <c r="C354" s="12"/>
      <c r="D354" s="12">
        <v>1972</v>
      </c>
    </row>
    <row r="355" spans="1:4" ht="19.899999999999999" customHeight="1">
      <c r="A355" s="11" t="s">
        <v>16</v>
      </c>
      <c r="B355" s="14" t="s">
        <v>41</v>
      </c>
      <c r="C355" s="12"/>
      <c r="D355" s="12">
        <v>1972</v>
      </c>
    </row>
    <row r="356" spans="1:4" ht="19.899999999999999" customHeight="1">
      <c r="A356" s="11" t="s">
        <v>17</v>
      </c>
      <c r="B356" s="14" t="s">
        <v>41</v>
      </c>
      <c r="C356" s="12"/>
      <c r="D356" s="12">
        <v>1972</v>
      </c>
    </row>
    <row r="357" spans="1:4" ht="19.899999999999999" customHeight="1">
      <c r="A357" s="11" t="s">
        <v>18</v>
      </c>
      <c r="B357" s="14" t="s">
        <v>41</v>
      </c>
      <c r="C357" s="12"/>
      <c r="D357" s="12">
        <v>1972</v>
      </c>
    </row>
    <row r="358" spans="1:4" ht="19.899999999999999" customHeight="1">
      <c r="A358" s="11" t="s">
        <v>19</v>
      </c>
      <c r="B358" s="14" t="s">
        <v>41</v>
      </c>
      <c r="C358" s="12"/>
      <c r="D358" s="12">
        <v>1972</v>
      </c>
    </row>
    <row r="359" spans="1:4" ht="19.899999999999999" customHeight="1">
      <c r="A359" s="11" t="s">
        <v>20</v>
      </c>
      <c r="B359" s="14" t="s">
        <v>41</v>
      </c>
      <c r="C359" s="12"/>
      <c r="D359" s="12">
        <v>1972</v>
      </c>
    </row>
    <row r="360" spans="1:4" ht="19.899999999999999" customHeight="1">
      <c r="A360" s="11" t="s">
        <v>21</v>
      </c>
      <c r="B360" s="14" t="s">
        <v>41</v>
      </c>
      <c r="C360" s="12"/>
      <c r="D360" s="12">
        <v>1972</v>
      </c>
    </row>
    <row r="361" spans="1:4" ht="19.899999999999999" customHeight="1">
      <c r="A361" s="11" t="s">
        <v>22</v>
      </c>
      <c r="B361" s="14" t="s">
        <v>41</v>
      </c>
      <c r="C361" s="12"/>
      <c r="D361" s="12">
        <v>1972</v>
      </c>
    </row>
    <row r="362" spans="1:4" ht="19.899999999999999" customHeight="1">
      <c r="A362" s="11" t="s">
        <v>23</v>
      </c>
      <c r="B362" s="14" t="s">
        <v>41</v>
      </c>
      <c r="C362" s="12"/>
      <c r="D362" s="12">
        <v>1972</v>
      </c>
    </row>
    <row r="363" spans="1:4" ht="19.899999999999999" customHeight="1">
      <c r="A363" s="11" t="s">
        <v>24</v>
      </c>
      <c r="B363" s="14" t="s">
        <v>41</v>
      </c>
      <c r="C363" s="12"/>
      <c r="D363" s="12">
        <v>1972</v>
      </c>
    </row>
    <row r="364" spans="1:4" ht="19.899999999999999" customHeight="1">
      <c r="A364" s="11" t="s">
        <v>25</v>
      </c>
      <c r="B364" s="14" t="s">
        <v>41</v>
      </c>
      <c r="C364" s="12"/>
      <c r="D364" s="12">
        <v>1972</v>
      </c>
    </row>
    <row r="365" spans="1:4" ht="19.899999999999999" customHeight="1">
      <c r="A365" s="11" t="s">
        <v>26</v>
      </c>
      <c r="B365" s="14" t="s">
        <v>41</v>
      </c>
      <c r="C365" s="12"/>
      <c r="D365" s="12">
        <v>1972</v>
      </c>
    </row>
    <row r="366" spans="1:4" ht="19.899999999999999" customHeight="1">
      <c r="A366" s="11" t="s">
        <v>27</v>
      </c>
      <c r="B366" s="14" t="s">
        <v>41</v>
      </c>
      <c r="C366" s="12"/>
      <c r="D366" s="12">
        <v>1972</v>
      </c>
    </row>
    <row r="367" spans="1:4" ht="19.899999999999999" customHeight="1">
      <c r="A367" s="11" t="s">
        <v>28</v>
      </c>
      <c r="B367" s="14" t="s">
        <v>41</v>
      </c>
      <c r="C367" s="12"/>
      <c r="D367" s="12">
        <v>1972</v>
      </c>
    </row>
    <row r="368" spans="1:4" ht="19.899999999999999" customHeight="1">
      <c r="A368" s="11" t="s">
        <v>29</v>
      </c>
      <c r="B368" s="14" t="s">
        <v>41</v>
      </c>
      <c r="C368" s="12"/>
      <c r="D368" s="12">
        <v>1972</v>
      </c>
    </row>
    <row r="369" spans="1:4" ht="19.899999999999999" customHeight="1">
      <c r="A369" s="11" t="s">
        <v>4</v>
      </c>
      <c r="B369" s="14" t="s">
        <v>41</v>
      </c>
      <c r="C369" s="12"/>
      <c r="D369" s="12">
        <v>1973</v>
      </c>
    </row>
    <row r="370" spans="1:4" ht="19.899999999999999" customHeight="1">
      <c r="A370" s="11" t="s">
        <v>5</v>
      </c>
      <c r="B370" s="14" t="s">
        <v>41</v>
      </c>
      <c r="C370" s="12"/>
      <c r="D370" s="12">
        <v>1973</v>
      </c>
    </row>
    <row r="371" spans="1:4" ht="19.899999999999999" customHeight="1">
      <c r="A371" s="11" t="s">
        <v>6</v>
      </c>
      <c r="B371" s="14" t="s">
        <v>41</v>
      </c>
      <c r="C371" s="12"/>
      <c r="D371" s="12">
        <v>1973</v>
      </c>
    </row>
    <row r="372" spans="1:4" ht="19.899999999999999" customHeight="1">
      <c r="A372" s="11" t="s">
        <v>7</v>
      </c>
      <c r="B372" s="14" t="s">
        <v>41</v>
      </c>
      <c r="C372" s="12"/>
      <c r="D372" s="12">
        <v>1973</v>
      </c>
    </row>
    <row r="373" spans="1:4" ht="19.899999999999999" customHeight="1">
      <c r="A373" s="11" t="s">
        <v>8</v>
      </c>
      <c r="B373" s="14" t="s">
        <v>41</v>
      </c>
      <c r="C373" s="12"/>
      <c r="D373" s="12">
        <v>1973</v>
      </c>
    </row>
    <row r="374" spans="1:4" ht="19.899999999999999" customHeight="1">
      <c r="A374" s="11" t="s">
        <v>1</v>
      </c>
      <c r="B374" s="14" t="s">
        <v>41</v>
      </c>
      <c r="C374" s="12"/>
      <c r="D374" s="12">
        <v>1973</v>
      </c>
    </row>
    <row r="375" spans="1:4" ht="19.899999999999999" customHeight="1">
      <c r="A375" s="11" t="s">
        <v>9</v>
      </c>
      <c r="B375" s="14" t="s">
        <v>41</v>
      </c>
      <c r="C375" s="12"/>
      <c r="D375" s="12">
        <v>1973</v>
      </c>
    </row>
    <row r="376" spans="1:4" ht="19.899999999999999" customHeight="1">
      <c r="A376" s="11" t="s">
        <v>10</v>
      </c>
      <c r="B376" s="14" t="s">
        <v>41</v>
      </c>
      <c r="C376" s="12"/>
      <c r="D376" s="12">
        <v>1973</v>
      </c>
    </row>
    <row r="377" spans="1:4" ht="19.899999999999999" customHeight="1">
      <c r="A377" s="11" t="s">
        <v>11</v>
      </c>
      <c r="B377" s="14" t="s">
        <v>41</v>
      </c>
      <c r="C377" s="12"/>
      <c r="D377" s="12">
        <v>1973</v>
      </c>
    </row>
    <row r="378" spans="1:4" ht="19.899999999999999" customHeight="1">
      <c r="A378" s="11" t="s">
        <v>38</v>
      </c>
      <c r="B378" s="14" t="s">
        <v>41</v>
      </c>
      <c r="C378" s="12"/>
      <c r="D378" s="12">
        <v>1973</v>
      </c>
    </row>
    <row r="379" spans="1:4" ht="19.899999999999999" customHeight="1">
      <c r="A379" s="11" t="s">
        <v>12</v>
      </c>
      <c r="B379" s="14" t="s">
        <v>41</v>
      </c>
      <c r="C379" s="12"/>
      <c r="D379" s="12">
        <v>1973</v>
      </c>
    </row>
    <row r="380" spans="1:4" ht="19.899999999999999" customHeight="1">
      <c r="A380" s="11" t="s">
        <v>13</v>
      </c>
      <c r="B380" s="14" t="s">
        <v>41</v>
      </c>
      <c r="C380" s="12"/>
      <c r="D380" s="12">
        <v>1973</v>
      </c>
    </row>
    <row r="381" spans="1:4" ht="19.899999999999999" customHeight="1">
      <c r="A381" s="11" t="s">
        <v>14</v>
      </c>
      <c r="B381" s="14" t="s">
        <v>41</v>
      </c>
      <c r="C381" s="12"/>
      <c r="D381" s="12">
        <v>1973</v>
      </c>
    </row>
    <row r="382" spans="1:4" ht="19.899999999999999" customHeight="1">
      <c r="A382" s="11" t="s">
        <v>15</v>
      </c>
      <c r="B382" s="14" t="s">
        <v>41</v>
      </c>
      <c r="C382" s="12"/>
      <c r="D382" s="12">
        <v>1973</v>
      </c>
    </row>
    <row r="383" spans="1:4" ht="19.899999999999999" customHeight="1">
      <c r="A383" s="11" t="s">
        <v>16</v>
      </c>
      <c r="B383" s="14" t="s">
        <v>41</v>
      </c>
      <c r="C383" s="12"/>
      <c r="D383" s="12">
        <v>1973</v>
      </c>
    </row>
    <row r="384" spans="1:4" ht="19.899999999999999" customHeight="1">
      <c r="A384" s="11" t="s">
        <v>17</v>
      </c>
      <c r="B384" s="14" t="s">
        <v>41</v>
      </c>
      <c r="C384" s="12"/>
      <c r="D384" s="12">
        <v>1973</v>
      </c>
    </row>
    <row r="385" spans="1:4" ht="19.899999999999999" customHeight="1">
      <c r="A385" s="11" t="s">
        <v>18</v>
      </c>
      <c r="B385" s="14" t="s">
        <v>41</v>
      </c>
      <c r="C385" s="12"/>
      <c r="D385" s="12">
        <v>1973</v>
      </c>
    </row>
    <row r="386" spans="1:4" ht="19.899999999999999" customHeight="1">
      <c r="A386" s="11" t="s">
        <v>19</v>
      </c>
      <c r="B386" s="14" t="s">
        <v>41</v>
      </c>
      <c r="C386" s="12"/>
      <c r="D386" s="12">
        <v>1973</v>
      </c>
    </row>
    <row r="387" spans="1:4" ht="19.899999999999999" customHeight="1">
      <c r="A387" s="11" t="s">
        <v>20</v>
      </c>
      <c r="B387" s="14" t="s">
        <v>41</v>
      </c>
      <c r="C387" s="12"/>
      <c r="D387" s="12">
        <v>1973</v>
      </c>
    </row>
    <row r="388" spans="1:4" ht="19.899999999999999" customHeight="1">
      <c r="A388" s="11" t="s">
        <v>21</v>
      </c>
      <c r="B388" s="14" t="s">
        <v>41</v>
      </c>
      <c r="C388" s="12"/>
      <c r="D388" s="12">
        <v>1973</v>
      </c>
    </row>
    <row r="389" spans="1:4" ht="19.899999999999999" customHeight="1">
      <c r="A389" s="11" t="s">
        <v>22</v>
      </c>
      <c r="B389" s="14" t="s">
        <v>41</v>
      </c>
      <c r="C389" s="12"/>
      <c r="D389" s="12">
        <v>1973</v>
      </c>
    </row>
    <row r="390" spans="1:4" ht="19.899999999999999" customHeight="1">
      <c r="A390" s="11" t="s">
        <v>23</v>
      </c>
      <c r="B390" s="14" t="s">
        <v>41</v>
      </c>
      <c r="C390" s="12"/>
      <c r="D390" s="12">
        <v>1973</v>
      </c>
    </row>
    <row r="391" spans="1:4" ht="19.899999999999999" customHeight="1">
      <c r="A391" s="11" t="s">
        <v>24</v>
      </c>
      <c r="B391" s="14" t="s">
        <v>41</v>
      </c>
      <c r="C391" s="12"/>
      <c r="D391" s="12">
        <v>1973</v>
      </c>
    </row>
    <row r="392" spans="1:4" ht="19.899999999999999" customHeight="1">
      <c r="A392" s="11" t="s">
        <v>25</v>
      </c>
      <c r="B392" s="14" t="s">
        <v>41</v>
      </c>
      <c r="C392" s="12"/>
      <c r="D392" s="12">
        <v>1973</v>
      </c>
    </row>
    <row r="393" spans="1:4" ht="19.899999999999999" customHeight="1">
      <c r="A393" s="11" t="s">
        <v>26</v>
      </c>
      <c r="B393" s="14" t="s">
        <v>41</v>
      </c>
      <c r="C393" s="12"/>
      <c r="D393" s="12">
        <v>1973</v>
      </c>
    </row>
    <row r="394" spans="1:4" ht="19.899999999999999" customHeight="1">
      <c r="A394" s="11" t="s">
        <v>27</v>
      </c>
      <c r="B394" s="14" t="s">
        <v>41</v>
      </c>
      <c r="C394" s="12"/>
      <c r="D394" s="12">
        <v>1973</v>
      </c>
    </row>
    <row r="395" spans="1:4" ht="19.899999999999999" customHeight="1">
      <c r="A395" s="11" t="s">
        <v>28</v>
      </c>
      <c r="B395" s="14" t="s">
        <v>41</v>
      </c>
      <c r="C395" s="12"/>
      <c r="D395" s="12">
        <v>1973</v>
      </c>
    </row>
    <row r="396" spans="1:4" ht="19.899999999999999" customHeight="1">
      <c r="A396" s="11" t="s">
        <v>29</v>
      </c>
      <c r="B396" s="14" t="s">
        <v>41</v>
      </c>
      <c r="C396" s="12"/>
      <c r="D396" s="12">
        <v>1973</v>
      </c>
    </row>
    <row r="397" spans="1:4" ht="19.899999999999999" customHeight="1">
      <c r="A397" s="11" t="s">
        <v>4</v>
      </c>
      <c r="B397" s="14" t="s">
        <v>41</v>
      </c>
      <c r="C397" s="12"/>
      <c r="D397" s="12">
        <v>1974</v>
      </c>
    </row>
    <row r="398" spans="1:4" ht="19.899999999999999" customHeight="1">
      <c r="A398" s="11" t="s">
        <v>5</v>
      </c>
      <c r="B398" s="14" t="s">
        <v>41</v>
      </c>
      <c r="C398" s="12"/>
      <c r="D398" s="12">
        <v>1974</v>
      </c>
    </row>
    <row r="399" spans="1:4" ht="19.899999999999999" customHeight="1">
      <c r="A399" s="11" t="s">
        <v>6</v>
      </c>
      <c r="B399" s="14" t="s">
        <v>41</v>
      </c>
      <c r="C399" s="12"/>
      <c r="D399" s="12">
        <v>1974</v>
      </c>
    </row>
    <row r="400" spans="1:4" ht="19.899999999999999" customHeight="1">
      <c r="A400" s="11" t="s">
        <v>7</v>
      </c>
      <c r="B400" s="14" t="s">
        <v>41</v>
      </c>
      <c r="C400" s="12"/>
      <c r="D400" s="12">
        <v>1974</v>
      </c>
    </row>
    <row r="401" spans="1:4" ht="19.899999999999999" customHeight="1">
      <c r="A401" s="11" t="s">
        <v>8</v>
      </c>
      <c r="B401" s="14" t="s">
        <v>41</v>
      </c>
      <c r="C401" s="12"/>
      <c r="D401" s="12">
        <v>1974</v>
      </c>
    </row>
    <row r="402" spans="1:4" ht="19.899999999999999" customHeight="1">
      <c r="A402" s="11" t="s">
        <v>1</v>
      </c>
      <c r="B402" s="14" t="s">
        <v>41</v>
      </c>
      <c r="C402" s="12"/>
      <c r="D402" s="12">
        <v>1974</v>
      </c>
    </row>
    <row r="403" spans="1:4" ht="19.899999999999999" customHeight="1">
      <c r="A403" s="11" t="s">
        <v>9</v>
      </c>
      <c r="B403" s="14" t="s">
        <v>41</v>
      </c>
      <c r="C403" s="12"/>
      <c r="D403" s="12">
        <v>1974</v>
      </c>
    </row>
    <row r="404" spans="1:4" ht="19.899999999999999" customHeight="1">
      <c r="A404" s="11" t="s">
        <v>10</v>
      </c>
      <c r="B404" s="14" t="s">
        <v>41</v>
      </c>
      <c r="C404" s="12"/>
      <c r="D404" s="12">
        <v>1974</v>
      </c>
    </row>
    <row r="405" spans="1:4" ht="19.899999999999999" customHeight="1">
      <c r="A405" s="11" t="s">
        <v>11</v>
      </c>
      <c r="B405" s="14" t="s">
        <v>41</v>
      </c>
      <c r="C405" s="12"/>
      <c r="D405" s="12">
        <v>1974</v>
      </c>
    </row>
    <row r="406" spans="1:4" ht="19.899999999999999" customHeight="1">
      <c r="A406" s="11" t="s">
        <v>38</v>
      </c>
      <c r="B406" s="14" t="s">
        <v>41</v>
      </c>
      <c r="C406" s="12"/>
      <c r="D406" s="12">
        <v>1974</v>
      </c>
    </row>
    <row r="407" spans="1:4" ht="19.899999999999999" customHeight="1">
      <c r="A407" s="11" t="s">
        <v>12</v>
      </c>
      <c r="B407" s="14" t="s">
        <v>41</v>
      </c>
      <c r="C407" s="12"/>
      <c r="D407" s="12">
        <v>1974</v>
      </c>
    </row>
    <row r="408" spans="1:4" ht="19.899999999999999" customHeight="1">
      <c r="A408" s="11" t="s">
        <v>13</v>
      </c>
      <c r="B408" s="14" t="s">
        <v>41</v>
      </c>
      <c r="C408" s="12"/>
      <c r="D408" s="12">
        <v>1974</v>
      </c>
    </row>
    <row r="409" spans="1:4" ht="19.899999999999999" customHeight="1">
      <c r="A409" s="11" t="s">
        <v>14</v>
      </c>
      <c r="B409" s="14" t="s">
        <v>41</v>
      </c>
      <c r="C409" s="12"/>
      <c r="D409" s="12">
        <v>1974</v>
      </c>
    </row>
    <row r="410" spans="1:4" ht="19.899999999999999" customHeight="1">
      <c r="A410" s="11" t="s">
        <v>15</v>
      </c>
      <c r="B410" s="14" t="s">
        <v>41</v>
      </c>
      <c r="C410" s="12"/>
      <c r="D410" s="12">
        <v>1974</v>
      </c>
    </row>
    <row r="411" spans="1:4" ht="19.899999999999999" customHeight="1">
      <c r="A411" s="11" t="s">
        <v>16</v>
      </c>
      <c r="B411" s="14" t="s">
        <v>41</v>
      </c>
      <c r="C411" s="12"/>
      <c r="D411" s="12">
        <v>1974</v>
      </c>
    </row>
    <row r="412" spans="1:4" ht="19.899999999999999" customHeight="1">
      <c r="A412" s="11" t="s">
        <v>17</v>
      </c>
      <c r="B412" s="14" t="s">
        <v>41</v>
      </c>
      <c r="C412" s="12"/>
      <c r="D412" s="12">
        <v>1974</v>
      </c>
    </row>
    <row r="413" spans="1:4" ht="19.899999999999999" customHeight="1">
      <c r="A413" s="11" t="s">
        <v>18</v>
      </c>
      <c r="B413" s="14" t="s">
        <v>41</v>
      </c>
      <c r="C413" s="12"/>
      <c r="D413" s="12">
        <v>1974</v>
      </c>
    </row>
    <row r="414" spans="1:4" ht="19.899999999999999" customHeight="1">
      <c r="A414" s="11" t="s">
        <v>19</v>
      </c>
      <c r="B414" s="14" t="s">
        <v>41</v>
      </c>
      <c r="C414" s="12"/>
      <c r="D414" s="12">
        <v>1974</v>
      </c>
    </row>
    <row r="415" spans="1:4" ht="19.899999999999999" customHeight="1">
      <c r="A415" s="11" t="s">
        <v>20</v>
      </c>
      <c r="B415" s="14" t="s">
        <v>41</v>
      </c>
      <c r="C415" s="12"/>
      <c r="D415" s="12">
        <v>1974</v>
      </c>
    </row>
    <row r="416" spans="1:4" ht="19.899999999999999" customHeight="1">
      <c r="A416" s="11" t="s">
        <v>21</v>
      </c>
      <c r="B416" s="14" t="s">
        <v>41</v>
      </c>
      <c r="C416" s="12"/>
      <c r="D416" s="12">
        <v>1974</v>
      </c>
    </row>
    <row r="417" spans="1:4" ht="19.899999999999999" customHeight="1">
      <c r="A417" s="11" t="s">
        <v>22</v>
      </c>
      <c r="B417" s="14" t="s">
        <v>41</v>
      </c>
      <c r="C417" s="12"/>
      <c r="D417" s="12">
        <v>1974</v>
      </c>
    </row>
    <row r="418" spans="1:4" ht="19.899999999999999" customHeight="1">
      <c r="A418" s="11" t="s">
        <v>23</v>
      </c>
      <c r="B418" s="14" t="s">
        <v>41</v>
      </c>
      <c r="C418" s="12"/>
      <c r="D418" s="12">
        <v>1974</v>
      </c>
    </row>
    <row r="419" spans="1:4" ht="19.899999999999999" customHeight="1">
      <c r="A419" s="11" t="s">
        <v>24</v>
      </c>
      <c r="B419" s="14" t="s">
        <v>41</v>
      </c>
      <c r="C419" s="12"/>
      <c r="D419" s="12">
        <v>1974</v>
      </c>
    </row>
    <row r="420" spans="1:4" ht="19.899999999999999" customHeight="1">
      <c r="A420" s="11" t="s">
        <v>25</v>
      </c>
      <c r="B420" s="14" t="s">
        <v>41</v>
      </c>
      <c r="C420" s="12"/>
      <c r="D420" s="12">
        <v>1974</v>
      </c>
    </row>
    <row r="421" spans="1:4" ht="19.899999999999999" customHeight="1">
      <c r="A421" s="11" t="s">
        <v>26</v>
      </c>
      <c r="B421" s="14" t="s">
        <v>41</v>
      </c>
      <c r="C421" s="12"/>
      <c r="D421" s="12">
        <v>1974</v>
      </c>
    </row>
    <row r="422" spans="1:4" ht="19.899999999999999" customHeight="1">
      <c r="A422" s="11" t="s">
        <v>27</v>
      </c>
      <c r="B422" s="14" t="s">
        <v>41</v>
      </c>
      <c r="C422" s="12"/>
      <c r="D422" s="12">
        <v>1974</v>
      </c>
    </row>
    <row r="423" spans="1:4" ht="19.899999999999999" customHeight="1">
      <c r="A423" s="11" t="s">
        <v>28</v>
      </c>
      <c r="B423" s="14" t="s">
        <v>41</v>
      </c>
      <c r="C423" s="12"/>
      <c r="D423" s="12">
        <v>1974</v>
      </c>
    </row>
    <row r="424" spans="1:4" ht="19.899999999999999" customHeight="1">
      <c r="A424" s="11" t="s">
        <v>29</v>
      </c>
      <c r="B424" s="14" t="s">
        <v>41</v>
      </c>
      <c r="C424" s="12"/>
      <c r="D424" s="12">
        <v>1974</v>
      </c>
    </row>
    <row r="425" spans="1:4" ht="19.899999999999999" customHeight="1">
      <c r="A425" s="11" t="s">
        <v>4</v>
      </c>
      <c r="B425" s="14" t="s">
        <v>41</v>
      </c>
      <c r="C425" s="12"/>
      <c r="D425" s="12">
        <v>1975</v>
      </c>
    </row>
    <row r="426" spans="1:4" ht="19.899999999999999" customHeight="1">
      <c r="A426" s="11" t="s">
        <v>5</v>
      </c>
      <c r="B426" s="14" t="s">
        <v>41</v>
      </c>
      <c r="C426" s="12"/>
      <c r="D426" s="12">
        <v>1975</v>
      </c>
    </row>
    <row r="427" spans="1:4" ht="19.899999999999999" customHeight="1">
      <c r="A427" s="11" t="s">
        <v>6</v>
      </c>
      <c r="B427" s="14" t="s">
        <v>41</v>
      </c>
      <c r="C427" s="12"/>
      <c r="D427" s="12">
        <v>1975</v>
      </c>
    </row>
    <row r="428" spans="1:4" ht="19.899999999999999" customHeight="1">
      <c r="A428" s="11" t="s">
        <v>7</v>
      </c>
      <c r="B428" s="14" t="s">
        <v>41</v>
      </c>
      <c r="C428" s="12"/>
      <c r="D428" s="12">
        <v>1975</v>
      </c>
    </row>
    <row r="429" spans="1:4" ht="19.899999999999999" customHeight="1">
      <c r="A429" s="11" t="s">
        <v>8</v>
      </c>
      <c r="B429" s="14" t="s">
        <v>41</v>
      </c>
      <c r="C429" s="12"/>
      <c r="D429" s="12">
        <v>1975</v>
      </c>
    </row>
    <row r="430" spans="1:4" ht="19.899999999999999" customHeight="1">
      <c r="A430" s="11" t="s">
        <v>1</v>
      </c>
      <c r="B430" s="14" t="s">
        <v>41</v>
      </c>
      <c r="C430" s="12"/>
      <c r="D430" s="12">
        <v>1975</v>
      </c>
    </row>
    <row r="431" spans="1:4" ht="19.899999999999999" customHeight="1">
      <c r="A431" s="11" t="s">
        <v>9</v>
      </c>
      <c r="B431" s="14" t="s">
        <v>41</v>
      </c>
      <c r="C431" s="12"/>
      <c r="D431" s="12">
        <v>1975</v>
      </c>
    </row>
    <row r="432" spans="1:4" ht="19.899999999999999" customHeight="1">
      <c r="A432" s="11" t="s">
        <v>10</v>
      </c>
      <c r="B432" s="14" t="s">
        <v>41</v>
      </c>
      <c r="C432" s="12"/>
      <c r="D432" s="12">
        <v>1975</v>
      </c>
    </row>
    <row r="433" spans="1:4" ht="19.899999999999999" customHeight="1">
      <c r="A433" s="11" t="s">
        <v>11</v>
      </c>
      <c r="B433" s="14" t="s">
        <v>41</v>
      </c>
      <c r="C433" s="12"/>
      <c r="D433" s="12">
        <v>1975</v>
      </c>
    </row>
    <row r="434" spans="1:4" ht="19.899999999999999" customHeight="1">
      <c r="A434" s="11" t="s">
        <v>38</v>
      </c>
      <c r="B434" s="14" t="s">
        <v>41</v>
      </c>
      <c r="C434" s="12"/>
      <c r="D434" s="12">
        <v>1975</v>
      </c>
    </row>
    <row r="435" spans="1:4" ht="19.899999999999999" customHeight="1">
      <c r="A435" s="11" t="s">
        <v>12</v>
      </c>
      <c r="B435" s="14" t="s">
        <v>41</v>
      </c>
      <c r="C435" s="12"/>
      <c r="D435" s="12">
        <v>1975</v>
      </c>
    </row>
    <row r="436" spans="1:4" ht="19.899999999999999" customHeight="1">
      <c r="A436" s="11" t="s">
        <v>13</v>
      </c>
      <c r="B436" s="14" t="s">
        <v>41</v>
      </c>
      <c r="C436" s="12"/>
      <c r="D436" s="12">
        <v>1975</v>
      </c>
    </row>
    <row r="437" spans="1:4" ht="19.899999999999999" customHeight="1">
      <c r="A437" s="11" t="s">
        <v>14</v>
      </c>
      <c r="B437" s="14" t="s">
        <v>41</v>
      </c>
      <c r="C437" s="12"/>
      <c r="D437" s="12">
        <v>1975</v>
      </c>
    </row>
    <row r="438" spans="1:4" ht="19.899999999999999" customHeight="1">
      <c r="A438" s="11" t="s">
        <v>15</v>
      </c>
      <c r="B438" s="14" t="s">
        <v>41</v>
      </c>
      <c r="C438" s="12"/>
      <c r="D438" s="12">
        <v>1975</v>
      </c>
    </row>
    <row r="439" spans="1:4" ht="19.899999999999999" customHeight="1">
      <c r="A439" s="11" t="s">
        <v>16</v>
      </c>
      <c r="B439" s="14" t="s">
        <v>41</v>
      </c>
      <c r="C439" s="12"/>
      <c r="D439" s="12">
        <v>1975</v>
      </c>
    </row>
    <row r="440" spans="1:4" ht="19.899999999999999" customHeight="1">
      <c r="A440" s="11" t="s">
        <v>17</v>
      </c>
      <c r="B440" s="14" t="s">
        <v>41</v>
      </c>
      <c r="C440" s="12"/>
      <c r="D440" s="12">
        <v>1975</v>
      </c>
    </row>
    <row r="441" spans="1:4" ht="19.899999999999999" customHeight="1">
      <c r="A441" s="11" t="s">
        <v>18</v>
      </c>
      <c r="B441" s="14" t="s">
        <v>41</v>
      </c>
      <c r="C441" s="12"/>
      <c r="D441" s="12">
        <v>1975</v>
      </c>
    </row>
    <row r="442" spans="1:4" ht="19.899999999999999" customHeight="1">
      <c r="A442" s="11" t="s">
        <v>19</v>
      </c>
      <c r="B442" s="14" t="s">
        <v>41</v>
      </c>
      <c r="C442" s="12"/>
      <c r="D442" s="12">
        <v>1975</v>
      </c>
    </row>
    <row r="443" spans="1:4" ht="19.899999999999999" customHeight="1">
      <c r="A443" s="11" t="s">
        <v>20</v>
      </c>
      <c r="B443" s="14" t="s">
        <v>41</v>
      </c>
      <c r="C443" s="12"/>
      <c r="D443" s="12">
        <v>1975</v>
      </c>
    </row>
    <row r="444" spans="1:4" ht="19.899999999999999" customHeight="1">
      <c r="A444" s="11" t="s">
        <v>21</v>
      </c>
      <c r="B444" s="14" t="s">
        <v>41</v>
      </c>
      <c r="C444" s="12"/>
      <c r="D444" s="12">
        <v>1975</v>
      </c>
    </row>
    <row r="445" spans="1:4" ht="19.899999999999999" customHeight="1">
      <c r="A445" s="11" t="s">
        <v>22</v>
      </c>
      <c r="B445" s="14" t="s">
        <v>41</v>
      </c>
      <c r="C445" s="12"/>
      <c r="D445" s="12">
        <v>1975</v>
      </c>
    </row>
    <row r="446" spans="1:4" ht="19.899999999999999" customHeight="1">
      <c r="A446" s="11" t="s">
        <v>23</v>
      </c>
      <c r="B446" s="14" t="s">
        <v>41</v>
      </c>
      <c r="C446" s="12"/>
      <c r="D446" s="12">
        <v>1975</v>
      </c>
    </row>
    <row r="447" spans="1:4" ht="19.899999999999999" customHeight="1">
      <c r="A447" s="11" t="s">
        <v>24</v>
      </c>
      <c r="B447" s="14" t="s">
        <v>41</v>
      </c>
      <c r="C447" s="12"/>
      <c r="D447" s="12">
        <v>1975</v>
      </c>
    </row>
    <row r="448" spans="1:4" ht="19.899999999999999" customHeight="1">
      <c r="A448" s="11" t="s">
        <v>25</v>
      </c>
      <c r="B448" s="14" t="s">
        <v>41</v>
      </c>
      <c r="C448" s="12"/>
      <c r="D448" s="12">
        <v>1975</v>
      </c>
    </row>
    <row r="449" spans="1:4" ht="19.899999999999999" customHeight="1">
      <c r="A449" s="11" t="s">
        <v>26</v>
      </c>
      <c r="B449" s="14" t="s">
        <v>41</v>
      </c>
      <c r="C449" s="12"/>
      <c r="D449" s="12">
        <v>1975</v>
      </c>
    </row>
    <row r="450" spans="1:4" ht="19.899999999999999" customHeight="1">
      <c r="A450" s="11" t="s">
        <v>27</v>
      </c>
      <c r="B450" s="14" t="s">
        <v>41</v>
      </c>
      <c r="C450" s="12"/>
      <c r="D450" s="12">
        <v>1975</v>
      </c>
    </row>
    <row r="451" spans="1:4" ht="19.899999999999999" customHeight="1">
      <c r="A451" s="11" t="s">
        <v>28</v>
      </c>
      <c r="B451" s="14" t="s">
        <v>41</v>
      </c>
      <c r="C451" s="12"/>
      <c r="D451" s="12">
        <v>1975</v>
      </c>
    </row>
    <row r="452" spans="1:4" ht="19.899999999999999" customHeight="1">
      <c r="A452" s="11" t="s">
        <v>29</v>
      </c>
      <c r="B452" s="14" t="s">
        <v>41</v>
      </c>
      <c r="C452" s="12"/>
      <c r="D452" s="12">
        <v>1975</v>
      </c>
    </row>
    <row r="453" spans="1:4" ht="19.899999999999999" customHeight="1">
      <c r="A453" s="11" t="s">
        <v>4</v>
      </c>
      <c r="B453" s="14" t="s">
        <v>41</v>
      </c>
      <c r="C453" s="12"/>
      <c r="D453" s="12">
        <v>1976</v>
      </c>
    </row>
    <row r="454" spans="1:4" ht="19.899999999999999" customHeight="1">
      <c r="A454" s="11" t="s">
        <v>5</v>
      </c>
      <c r="B454" s="14" t="s">
        <v>41</v>
      </c>
      <c r="C454" s="12"/>
      <c r="D454" s="12">
        <v>1976</v>
      </c>
    </row>
    <row r="455" spans="1:4" ht="19.899999999999999" customHeight="1">
      <c r="A455" s="11" t="s">
        <v>6</v>
      </c>
      <c r="B455" s="14" t="s">
        <v>41</v>
      </c>
      <c r="C455" s="12"/>
      <c r="D455" s="12">
        <v>1976</v>
      </c>
    </row>
    <row r="456" spans="1:4" ht="19.899999999999999" customHeight="1">
      <c r="A456" s="11" t="s">
        <v>7</v>
      </c>
      <c r="B456" s="14" t="s">
        <v>41</v>
      </c>
      <c r="C456" s="12"/>
      <c r="D456" s="12">
        <v>1976</v>
      </c>
    </row>
    <row r="457" spans="1:4" ht="19.899999999999999" customHeight="1">
      <c r="A457" s="11" t="s">
        <v>8</v>
      </c>
      <c r="B457" s="14" t="s">
        <v>41</v>
      </c>
      <c r="C457" s="12"/>
      <c r="D457" s="12">
        <v>1976</v>
      </c>
    </row>
    <row r="458" spans="1:4" ht="19.899999999999999" customHeight="1">
      <c r="A458" s="11" t="s">
        <v>1</v>
      </c>
      <c r="B458" s="14" t="s">
        <v>41</v>
      </c>
      <c r="C458" s="12"/>
      <c r="D458" s="12">
        <v>1976</v>
      </c>
    </row>
    <row r="459" spans="1:4" ht="19.899999999999999" customHeight="1">
      <c r="A459" s="11" t="s">
        <v>9</v>
      </c>
      <c r="B459" s="14" t="s">
        <v>41</v>
      </c>
      <c r="C459" s="12"/>
      <c r="D459" s="12">
        <v>1976</v>
      </c>
    </row>
    <row r="460" spans="1:4" ht="19.899999999999999" customHeight="1">
      <c r="A460" s="11" t="s">
        <v>10</v>
      </c>
      <c r="B460" s="14" t="s">
        <v>41</v>
      </c>
      <c r="C460" s="12"/>
      <c r="D460" s="12">
        <v>1976</v>
      </c>
    </row>
    <row r="461" spans="1:4" ht="19.899999999999999" customHeight="1">
      <c r="A461" s="11" t="s">
        <v>11</v>
      </c>
      <c r="B461" s="14" t="s">
        <v>41</v>
      </c>
      <c r="C461" s="12"/>
      <c r="D461" s="12">
        <v>1976</v>
      </c>
    </row>
    <row r="462" spans="1:4" ht="19.899999999999999" customHeight="1">
      <c r="A462" s="11" t="s">
        <v>38</v>
      </c>
      <c r="B462" s="14" t="s">
        <v>41</v>
      </c>
      <c r="C462" s="12"/>
      <c r="D462" s="12">
        <v>1976</v>
      </c>
    </row>
    <row r="463" spans="1:4" ht="19.899999999999999" customHeight="1">
      <c r="A463" s="11" t="s">
        <v>12</v>
      </c>
      <c r="B463" s="14" t="s">
        <v>41</v>
      </c>
      <c r="C463" s="12"/>
      <c r="D463" s="12">
        <v>1976</v>
      </c>
    </row>
    <row r="464" spans="1:4" ht="19.899999999999999" customHeight="1">
      <c r="A464" s="11" t="s">
        <v>13</v>
      </c>
      <c r="B464" s="14" t="s">
        <v>41</v>
      </c>
      <c r="C464" s="12"/>
      <c r="D464" s="12">
        <v>1976</v>
      </c>
    </row>
    <row r="465" spans="1:4" ht="19.899999999999999" customHeight="1">
      <c r="A465" s="11" t="s">
        <v>14</v>
      </c>
      <c r="B465" s="14" t="s">
        <v>41</v>
      </c>
      <c r="C465" s="12"/>
      <c r="D465" s="12">
        <v>1976</v>
      </c>
    </row>
    <row r="466" spans="1:4" ht="19.899999999999999" customHeight="1">
      <c r="A466" s="11" t="s">
        <v>15</v>
      </c>
      <c r="B466" s="14" t="s">
        <v>41</v>
      </c>
      <c r="C466" s="12"/>
      <c r="D466" s="12">
        <v>1976</v>
      </c>
    </row>
    <row r="467" spans="1:4" ht="19.899999999999999" customHeight="1">
      <c r="A467" s="11" t="s">
        <v>16</v>
      </c>
      <c r="B467" s="14" t="s">
        <v>41</v>
      </c>
      <c r="C467" s="12"/>
      <c r="D467" s="12">
        <v>1976</v>
      </c>
    </row>
    <row r="468" spans="1:4" ht="19.899999999999999" customHeight="1">
      <c r="A468" s="11" t="s">
        <v>17</v>
      </c>
      <c r="B468" s="14" t="s">
        <v>41</v>
      </c>
      <c r="C468" s="12"/>
      <c r="D468" s="12">
        <v>1976</v>
      </c>
    </row>
    <row r="469" spans="1:4" ht="19.899999999999999" customHeight="1">
      <c r="A469" s="11" t="s">
        <v>18</v>
      </c>
      <c r="B469" s="14" t="s">
        <v>41</v>
      </c>
      <c r="C469" s="12"/>
      <c r="D469" s="12">
        <v>1976</v>
      </c>
    </row>
    <row r="470" spans="1:4" ht="19.899999999999999" customHeight="1">
      <c r="A470" s="11" t="s">
        <v>19</v>
      </c>
      <c r="B470" s="14" t="s">
        <v>41</v>
      </c>
      <c r="C470" s="12"/>
      <c r="D470" s="12">
        <v>1976</v>
      </c>
    </row>
    <row r="471" spans="1:4" ht="19.899999999999999" customHeight="1">
      <c r="A471" s="11" t="s">
        <v>20</v>
      </c>
      <c r="B471" s="14" t="s">
        <v>41</v>
      </c>
      <c r="C471" s="12"/>
      <c r="D471" s="12">
        <v>1976</v>
      </c>
    </row>
    <row r="472" spans="1:4" ht="19.899999999999999" customHeight="1">
      <c r="A472" s="11" t="s">
        <v>21</v>
      </c>
      <c r="B472" s="14" t="s">
        <v>41</v>
      </c>
      <c r="C472" s="12"/>
      <c r="D472" s="12">
        <v>1976</v>
      </c>
    </row>
    <row r="473" spans="1:4" ht="19.899999999999999" customHeight="1">
      <c r="A473" s="11" t="s">
        <v>22</v>
      </c>
      <c r="B473" s="14" t="s">
        <v>41</v>
      </c>
      <c r="C473" s="12"/>
      <c r="D473" s="12">
        <v>1976</v>
      </c>
    </row>
    <row r="474" spans="1:4" ht="19.899999999999999" customHeight="1">
      <c r="A474" s="11" t="s">
        <v>23</v>
      </c>
      <c r="B474" s="14" t="s">
        <v>41</v>
      </c>
      <c r="C474" s="12"/>
      <c r="D474" s="12">
        <v>1976</v>
      </c>
    </row>
    <row r="475" spans="1:4" ht="19.899999999999999" customHeight="1">
      <c r="A475" s="11" t="s">
        <v>24</v>
      </c>
      <c r="B475" s="14" t="s">
        <v>41</v>
      </c>
      <c r="C475" s="12"/>
      <c r="D475" s="12">
        <v>1976</v>
      </c>
    </row>
    <row r="476" spans="1:4" ht="19.899999999999999" customHeight="1">
      <c r="A476" s="11" t="s">
        <v>25</v>
      </c>
      <c r="B476" s="14" t="s">
        <v>41</v>
      </c>
      <c r="C476" s="12"/>
      <c r="D476" s="12">
        <v>1976</v>
      </c>
    </row>
    <row r="477" spans="1:4" ht="19.899999999999999" customHeight="1">
      <c r="A477" s="11" t="s">
        <v>26</v>
      </c>
      <c r="B477" s="14" t="s">
        <v>41</v>
      </c>
      <c r="C477" s="12"/>
      <c r="D477" s="12">
        <v>1976</v>
      </c>
    </row>
    <row r="478" spans="1:4" ht="19.899999999999999" customHeight="1">
      <c r="A478" s="11" t="s">
        <v>27</v>
      </c>
      <c r="B478" s="14" t="s">
        <v>41</v>
      </c>
      <c r="C478" s="12"/>
      <c r="D478" s="12">
        <v>1976</v>
      </c>
    </row>
    <row r="479" spans="1:4" ht="19.899999999999999" customHeight="1">
      <c r="A479" s="11" t="s">
        <v>28</v>
      </c>
      <c r="B479" s="14" t="s">
        <v>41</v>
      </c>
      <c r="C479" s="12"/>
      <c r="D479" s="12">
        <v>1976</v>
      </c>
    </row>
    <row r="480" spans="1:4" ht="19.899999999999999" customHeight="1">
      <c r="A480" s="11" t="s">
        <v>29</v>
      </c>
      <c r="B480" s="14" t="s">
        <v>41</v>
      </c>
      <c r="C480" s="12"/>
      <c r="D480" s="12">
        <v>1976</v>
      </c>
    </row>
    <row r="481" spans="1:4" ht="19.899999999999999" customHeight="1">
      <c r="A481" s="11" t="s">
        <v>4</v>
      </c>
      <c r="B481" s="14" t="s">
        <v>41</v>
      </c>
      <c r="C481" s="12"/>
      <c r="D481" s="12">
        <v>1977</v>
      </c>
    </row>
    <row r="482" spans="1:4" ht="19.899999999999999" customHeight="1">
      <c r="A482" s="11" t="s">
        <v>5</v>
      </c>
      <c r="B482" s="14" t="s">
        <v>41</v>
      </c>
      <c r="C482" s="12"/>
      <c r="D482" s="12">
        <v>1977</v>
      </c>
    </row>
    <row r="483" spans="1:4" ht="19.899999999999999" customHeight="1">
      <c r="A483" s="11" t="s">
        <v>6</v>
      </c>
      <c r="B483" s="14" t="s">
        <v>41</v>
      </c>
      <c r="C483" s="12"/>
      <c r="D483" s="12">
        <v>1977</v>
      </c>
    </row>
    <row r="484" spans="1:4" ht="19.899999999999999" customHeight="1">
      <c r="A484" s="11" t="s">
        <v>7</v>
      </c>
      <c r="B484" s="14" t="s">
        <v>41</v>
      </c>
      <c r="C484" s="12"/>
      <c r="D484" s="12">
        <v>1977</v>
      </c>
    </row>
    <row r="485" spans="1:4" ht="19.899999999999999" customHeight="1">
      <c r="A485" s="11" t="s">
        <v>8</v>
      </c>
      <c r="B485" s="14" t="s">
        <v>41</v>
      </c>
      <c r="C485" s="12"/>
      <c r="D485" s="12">
        <v>1977</v>
      </c>
    </row>
    <row r="486" spans="1:4" ht="19.899999999999999" customHeight="1">
      <c r="A486" s="11" t="s">
        <v>1</v>
      </c>
      <c r="B486" s="14" t="s">
        <v>41</v>
      </c>
      <c r="C486" s="12"/>
      <c r="D486" s="12">
        <v>1977</v>
      </c>
    </row>
    <row r="487" spans="1:4" ht="19.899999999999999" customHeight="1">
      <c r="A487" s="11" t="s">
        <v>9</v>
      </c>
      <c r="B487" s="14" t="s">
        <v>41</v>
      </c>
      <c r="C487" s="12"/>
      <c r="D487" s="12">
        <v>1977</v>
      </c>
    </row>
    <row r="488" spans="1:4" ht="19.899999999999999" customHeight="1">
      <c r="A488" s="11" t="s">
        <v>10</v>
      </c>
      <c r="B488" s="14" t="s">
        <v>41</v>
      </c>
      <c r="C488" s="12"/>
      <c r="D488" s="12">
        <v>1977</v>
      </c>
    </row>
    <row r="489" spans="1:4" ht="19.899999999999999" customHeight="1">
      <c r="A489" s="11" t="s">
        <v>11</v>
      </c>
      <c r="B489" s="14" t="s">
        <v>41</v>
      </c>
      <c r="C489" s="12"/>
      <c r="D489" s="12">
        <v>1977</v>
      </c>
    </row>
    <row r="490" spans="1:4" ht="19.899999999999999" customHeight="1">
      <c r="A490" s="11" t="s">
        <v>38</v>
      </c>
      <c r="B490" s="14" t="s">
        <v>41</v>
      </c>
      <c r="C490" s="12"/>
      <c r="D490" s="12">
        <v>1977</v>
      </c>
    </row>
    <row r="491" spans="1:4" ht="19.899999999999999" customHeight="1">
      <c r="A491" s="11" t="s">
        <v>12</v>
      </c>
      <c r="B491" s="14" t="s">
        <v>41</v>
      </c>
      <c r="C491" s="12"/>
      <c r="D491" s="12">
        <v>1977</v>
      </c>
    </row>
    <row r="492" spans="1:4" ht="19.899999999999999" customHeight="1">
      <c r="A492" s="11" t="s">
        <v>13</v>
      </c>
      <c r="B492" s="14" t="s">
        <v>41</v>
      </c>
      <c r="C492" s="12"/>
      <c r="D492" s="12">
        <v>1977</v>
      </c>
    </row>
    <row r="493" spans="1:4" ht="19.899999999999999" customHeight="1">
      <c r="A493" s="11" t="s">
        <v>14</v>
      </c>
      <c r="B493" s="14" t="s">
        <v>41</v>
      </c>
      <c r="C493" s="12"/>
      <c r="D493" s="12">
        <v>1977</v>
      </c>
    </row>
    <row r="494" spans="1:4" ht="19.899999999999999" customHeight="1">
      <c r="A494" s="11" t="s">
        <v>15</v>
      </c>
      <c r="B494" s="14" t="s">
        <v>41</v>
      </c>
      <c r="C494" s="12"/>
      <c r="D494" s="12">
        <v>1977</v>
      </c>
    </row>
    <row r="495" spans="1:4" ht="19.899999999999999" customHeight="1">
      <c r="A495" s="11" t="s">
        <v>16</v>
      </c>
      <c r="B495" s="14" t="s">
        <v>41</v>
      </c>
      <c r="C495" s="12"/>
      <c r="D495" s="12">
        <v>1977</v>
      </c>
    </row>
    <row r="496" spans="1:4" ht="19.899999999999999" customHeight="1">
      <c r="A496" s="11" t="s">
        <v>17</v>
      </c>
      <c r="B496" s="14" t="s">
        <v>41</v>
      </c>
      <c r="C496" s="12"/>
      <c r="D496" s="12">
        <v>1977</v>
      </c>
    </row>
    <row r="497" spans="1:4" ht="19.899999999999999" customHeight="1">
      <c r="A497" s="11" t="s">
        <v>18</v>
      </c>
      <c r="B497" s="14" t="s">
        <v>41</v>
      </c>
      <c r="C497" s="12"/>
      <c r="D497" s="12">
        <v>1977</v>
      </c>
    </row>
    <row r="498" spans="1:4" ht="19.899999999999999" customHeight="1">
      <c r="A498" s="11" t="s">
        <v>19</v>
      </c>
      <c r="B498" s="14" t="s">
        <v>41</v>
      </c>
      <c r="C498" s="12"/>
      <c r="D498" s="12">
        <v>1977</v>
      </c>
    </row>
    <row r="499" spans="1:4" ht="19.899999999999999" customHeight="1">
      <c r="A499" s="11" t="s">
        <v>20</v>
      </c>
      <c r="B499" s="14" t="s">
        <v>41</v>
      </c>
      <c r="C499" s="12"/>
      <c r="D499" s="12">
        <v>1977</v>
      </c>
    </row>
    <row r="500" spans="1:4" ht="19.899999999999999" customHeight="1">
      <c r="A500" s="11" t="s">
        <v>21</v>
      </c>
      <c r="B500" s="14" t="s">
        <v>41</v>
      </c>
      <c r="C500" s="12"/>
      <c r="D500" s="12">
        <v>1977</v>
      </c>
    </row>
    <row r="501" spans="1:4" ht="19.899999999999999" customHeight="1">
      <c r="A501" s="11" t="s">
        <v>22</v>
      </c>
      <c r="B501" s="14" t="s">
        <v>41</v>
      </c>
      <c r="C501" s="12"/>
      <c r="D501" s="12">
        <v>1977</v>
      </c>
    </row>
    <row r="502" spans="1:4" ht="19.899999999999999" customHeight="1">
      <c r="A502" s="11" t="s">
        <v>23</v>
      </c>
      <c r="B502" s="14" t="s">
        <v>41</v>
      </c>
      <c r="C502" s="12"/>
      <c r="D502" s="12">
        <v>1977</v>
      </c>
    </row>
    <row r="503" spans="1:4" ht="19.899999999999999" customHeight="1">
      <c r="A503" s="11" t="s">
        <v>24</v>
      </c>
      <c r="B503" s="14" t="s">
        <v>41</v>
      </c>
      <c r="C503" s="12"/>
      <c r="D503" s="12">
        <v>1977</v>
      </c>
    </row>
    <row r="504" spans="1:4" ht="19.899999999999999" customHeight="1">
      <c r="A504" s="11" t="s">
        <v>25</v>
      </c>
      <c r="B504" s="14" t="s">
        <v>41</v>
      </c>
      <c r="C504" s="12"/>
      <c r="D504" s="12">
        <v>1977</v>
      </c>
    </row>
    <row r="505" spans="1:4" ht="19.899999999999999" customHeight="1">
      <c r="A505" s="11" t="s">
        <v>26</v>
      </c>
      <c r="B505" s="14" t="s">
        <v>41</v>
      </c>
      <c r="C505" s="12"/>
      <c r="D505" s="12">
        <v>1977</v>
      </c>
    </row>
    <row r="506" spans="1:4" ht="19.899999999999999" customHeight="1">
      <c r="A506" s="11" t="s">
        <v>27</v>
      </c>
      <c r="B506" s="14" t="s">
        <v>41</v>
      </c>
      <c r="C506" s="12"/>
      <c r="D506" s="12">
        <v>1977</v>
      </c>
    </row>
    <row r="507" spans="1:4" ht="19.899999999999999" customHeight="1">
      <c r="A507" s="11" t="s">
        <v>28</v>
      </c>
      <c r="B507" s="14" t="s">
        <v>41</v>
      </c>
      <c r="C507" s="12"/>
      <c r="D507" s="12">
        <v>1977</v>
      </c>
    </row>
    <row r="508" spans="1:4" ht="19.899999999999999" customHeight="1">
      <c r="A508" s="11" t="s">
        <v>29</v>
      </c>
      <c r="B508" s="14" t="s">
        <v>41</v>
      </c>
      <c r="C508" s="12"/>
      <c r="D508" s="12">
        <v>1977</v>
      </c>
    </row>
    <row r="509" spans="1:4" ht="19.899999999999999" customHeight="1">
      <c r="A509" s="11" t="s">
        <v>4</v>
      </c>
      <c r="B509" s="14" t="s">
        <v>41</v>
      </c>
      <c r="C509" s="12"/>
      <c r="D509" s="12">
        <v>1978</v>
      </c>
    </row>
    <row r="510" spans="1:4" ht="19.899999999999999" customHeight="1">
      <c r="A510" s="11" t="s">
        <v>5</v>
      </c>
      <c r="B510" s="14" t="s">
        <v>41</v>
      </c>
      <c r="C510" s="12"/>
      <c r="D510" s="12">
        <v>1978</v>
      </c>
    </row>
    <row r="511" spans="1:4" ht="19.899999999999999" customHeight="1">
      <c r="A511" s="11" t="s">
        <v>6</v>
      </c>
      <c r="B511" s="14" t="s">
        <v>41</v>
      </c>
      <c r="C511" s="12"/>
      <c r="D511" s="12">
        <v>1978</v>
      </c>
    </row>
    <row r="512" spans="1:4" ht="19.899999999999999" customHeight="1">
      <c r="A512" s="11" t="s">
        <v>7</v>
      </c>
      <c r="B512" s="14" t="s">
        <v>41</v>
      </c>
      <c r="C512" s="12"/>
      <c r="D512" s="12">
        <v>1978</v>
      </c>
    </row>
    <row r="513" spans="1:4" ht="19.899999999999999" customHeight="1">
      <c r="A513" s="11" t="s">
        <v>8</v>
      </c>
      <c r="B513" s="14" t="s">
        <v>41</v>
      </c>
      <c r="C513" s="12"/>
      <c r="D513" s="12">
        <v>1978</v>
      </c>
    </row>
    <row r="514" spans="1:4" ht="19.899999999999999" customHeight="1">
      <c r="A514" s="11" t="s">
        <v>1</v>
      </c>
      <c r="B514" s="14" t="s">
        <v>41</v>
      </c>
      <c r="C514" s="12"/>
      <c r="D514" s="12">
        <v>1978</v>
      </c>
    </row>
    <row r="515" spans="1:4" ht="19.899999999999999" customHeight="1">
      <c r="A515" s="11" t="s">
        <v>9</v>
      </c>
      <c r="B515" s="14" t="s">
        <v>41</v>
      </c>
      <c r="C515" s="12"/>
      <c r="D515" s="12">
        <v>1978</v>
      </c>
    </row>
    <row r="516" spans="1:4" ht="19.899999999999999" customHeight="1">
      <c r="A516" s="11" t="s">
        <v>10</v>
      </c>
      <c r="B516" s="14" t="s">
        <v>41</v>
      </c>
      <c r="C516" s="12"/>
      <c r="D516" s="12">
        <v>1978</v>
      </c>
    </row>
    <row r="517" spans="1:4" ht="19.899999999999999" customHeight="1">
      <c r="A517" s="11" t="s">
        <v>11</v>
      </c>
      <c r="B517" s="14" t="s">
        <v>41</v>
      </c>
      <c r="C517" s="12"/>
      <c r="D517" s="12">
        <v>1978</v>
      </c>
    </row>
    <row r="518" spans="1:4" ht="19.899999999999999" customHeight="1">
      <c r="A518" s="11" t="s">
        <v>38</v>
      </c>
      <c r="B518" s="14" t="s">
        <v>41</v>
      </c>
      <c r="C518" s="12"/>
      <c r="D518" s="12">
        <v>1978</v>
      </c>
    </row>
    <row r="519" spans="1:4" ht="19.899999999999999" customHeight="1">
      <c r="A519" s="11" t="s">
        <v>12</v>
      </c>
      <c r="B519" s="14" t="s">
        <v>41</v>
      </c>
      <c r="C519" s="12"/>
      <c r="D519" s="12">
        <v>1978</v>
      </c>
    </row>
    <row r="520" spans="1:4" ht="19.899999999999999" customHeight="1">
      <c r="A520" s="11" t="s">
        <v>13</v>
      </c>
      <c r="B520" s="14" t="s">
        <v>41</v>
      </c>
      <c r="C520" s="12"/>
      <c r="D520" s="12">
        <v>1978</v>
      </c>
    </row>
    <row r="521" spans="1:4" ht="19.899999999999999" customHeight="1">
      <c r="A521" s="11" t="s">
        <v>14</v>
      </c>
      <c r="B521" s="14" t="s">
        <v>41</v>
      </c>
      <c r="C521" s="12"/>
      <c r="D521" s="12">
        <v>1978</v>
      </c>
    </row>
    <row r="522" spans="1:4" ht="19.899999999999999" customHeight="1">
      <c r="A522" s="11" t="s">
        <v>15</v>
      </c>
      <c r="B522" s="14" t="s">
        <v>41</v>
      </c>
      <c r="C522" s="12"/>
      <c r="D522" s="12">
        <v>1978</v>
      </c>
    </row>
    <row r="523" spans="1:4" ht="19.899999999999999" customHeight="1">
      <c r="A523" s="11" t="s">
        <v>16</v>
      </c>
      <c r="B523" s="14" t="s">
        <v>41</v>
      </c>
      <c r="C523" s="12"/>
      <c r="D523" s="12">
        <v>1978</v>
      </c>
    </row>
    <row r="524" spans="1:4" ht="19.899999999999999" customHeight="1">
      <c r="A524" s="11" t="s">
        <v>17</v>
      </c>
      <c r="B524" s="14" t="s">
        <v>41</v>
      </c>
      <c r="C524" s="12"/>
      <c r="D524" s="12">
        <v>1978</v>
      </c>
    </row>
    <row r="525" spans="1:4" ht="19.899999999999999" customHeight="1">
      <c r="A525" s="11" t="s">
        <v>18</v>
      </c>
      <c r="B525" s="14" t="s">
        <v>41</v>
      </c>
      <c r="C525" s="12"/>
      <c r="D525" s="12">
        <v>1978</v>
      </c>
    </row>
    <row r="526" spans="1:4" ht="19.899999999999999" customHeight="1">
      <c r="A526" s="11" t="s">
        <v>19</v>
      </c>
      <c r="B526" s="14" t="s">
        <v>41</v>
      </c>
      <c r="C526" s="12"/>
      <c r="D526" s="12">
        <v>1978</v>
      </c>
    </row>
    <row r="527" spans="1:4" ht="19.899999999999999" customHeight="1">
      <c r="A527" s="11" t="s">
        <v>20</v>
      </c>
      <c r="B527" s="14" t="s">
        <v>41</v>
      </c>
      <c r="C527" s="12"/>
      <c r="D527" s="12">
        <v>1978</v>
      </c>
    </row>
    <row r="528" spans="1:4" ht="19.899999999999999" customHeight="1">
      <c r="A528" s="11" t="s">
        <v>21</v>
      </c>
      <c r="B528" s="14" t="s">
        <v>41</v>
      </c>
      <c r="C528" s="12"/>
      <c r="D528" s="12">
        <v>1978</v>
      </c>
    </row>
    <row r="529" spans="1:4" ht="19.899999999999999" customHeight="1">
      <c r="A529" s="11" t="s">
        <v>22</v>
      </c>
      <c r="B529" s="14" t="s">
        <v>41</v>
      </c>
      <c r="C529" s="12"/>
      <c r="D529" s="12">
        <v>1978</v>
      </c>
    </row>
    <row r="530" spans="1:4" ht="19.899999999999999" customHeight="1">
      <c r="A530" s="11" t="s">
        <v>23</v>
      </c>
      <c r="B530" s="14" t="s">
        <v>41</v>
      </c>
      <c r="C530" s="12"/>
      <c r="D530" s="12">
        <v>1978</v>
      </c>
    </row>
    <row r="531" spans="1:4" ht="19.899999999999999" customHeight="1">
      <c r="A531" s="11" t="s">
        <v>24</v>
      </c>
      <c r="B531" s="14" t="s">
        <v>41</v>
      </c>
      <c r="C531" s="12"/>
      <c r="D531" s="12">
        <v>1978</v>
      </c>
    </row>
    <row r="532" spans="1:4" ht="19.899999999999999" customHeight="1">
      <c r="A532" s="11" t="s">
        <v>25</v>
      </c>
      <c r="B532" s="14" t="s">
        <v>41</v>
      </c>
      <c r="C532" s="12"/>
      <c r="D532" s="12">
        <v>1978</v>
      </c>
    </row>
    <row r="533" spans="1:4" ht="19.899999999999999" customHeight="1">
      <c r="A533" s="11" t="s">
        <v>26</v>
      </c>
      <c r="B533" s="14" t="s">
        <v>41</v>
      </c>
      <c r="C533" s="12"/>
      <c r="D533" s="12">
        <v>1978</v>
      </c>
    </row>
    <row r="534" spans="1:4" ht="19.899999999999999" customHeight="1">
      <c r="A534" s="11" t="s">
        <v>27</v>
      </c>
      <c r="B534" s="14" t="s">
        <v>41</v>
      </c>
      <c r="C534" s="12"/>
      <c r="D534" s="12">
        <v>1978</v>
      </c>
    </row>
    <row r="535" spans="1:4" ht="19.899999999999999" customHeight="1">
      <c r="A535" s="11" t="s">
        <v>28</v>
      </c>
      <c r="B535" s="14" t="s">
        <v>41</v>
      </c>
      <c r="C535" s="12"/>
      <c r="D535" s="12">
        <v>1978</v>
      </c>
    </row>
    <row r="536" spans="1:4" ht="19.899999999999999" customHeight="1">
      <c r="A536" s="11" t="s">
        <v>29</v>
      </c>
      <c r="B536" s="14" t="s">
        <v>41</v>
      </c>
      <c r="C536" s="12"/>
      <c r="D536" s="12">
        <v>1978</v>
      </c>
    </row>
    <row r="537" spans="1:4" ht="19.899999999999999" customHeight="1">
      <c r="A537" s="11" t="s">
        <v>4</v>
      </c>
      <c r="B537" s="14" t="s">
        <v>41</v>
      </c>
      <c r="C537" s="12"/>
      <c r="D537" s="12">
        <v>1979</v>
      </c>
    </row>
    <row r="538" spans="1:4" ht="19.899999999999999" customHeight="1">
      <c r="A538" s="11" t="s">
        <v>5</v>
      </c>
      <c r="B538" s="14" t="s">
        <v>41</v>
      </c>
      <c r="C538" s="12"/>
      <c r="D538" s="12">
        <v>1979</v>
      </c>
    </row>
    <row r="539" spans="1:4" ht="19.899999999999999" customHeight="1">
      <c r="A539" s="11" t="s">
        <v>6</v>
      </c>
      <c r="B539" s="14" t="s">
        <v>41</v>
      </c>
      <c r="C539" s="12"/>
      <c r="D539" s="12">
        <v>1979</v>
      </c>
    </row>
    <row r="540" spans="1:4" ht="19.899999999999999" customHeight="1">
      <c r="A540" s="11" t="s">
        <v>7</v>
      </c>
      <c r="B540" s="14" t="s">
        <v>41</v>
      </c>
      <c r="C540" s="12"/>
      <c r="D540" s="12">
        <v>1979</v>
      </c>
    </row>
    <row r="541" spans="1:4" ht="19.899999999999999" customHeight="1">
      <c r="A541" s="11" t="s">
        <v>8</v>
      </c>
      <c r="B541" s="14" t="s">
        <v>41</v>
      </c>
      <c r="C541" s="12"/>
      <c r="D541" s="12">
        <v>1979</v>
      </c>
    </row>
    <row r="542" spans="1:4" ht="19.899999999999999" customHeight="1">
      <c r="A542" s="11" t="s">
        <v>1</v>
      </c>
      <c r="B542" s="14" t="s">
        <v>41</v>
      </c>
      <c r="C542" s="12"/>
      <c r="D542" s="12">
        <v>1979</v>
      </c>
    </row>
    <row r="543" spans="1:4" ht="19.899999999999999" customHeight="1">
      <c r="A543" s="11" t="s">
        <v>9</v>
      </c>
      <c r="B543" s="14" t="s">
        <v>41</v>
      </c>
      <c r="C543" s="12"/>
      <c r="D543" s="12">
        <v>1979</v>
      </c>
    </row>
    <row r="544" spans="1:4" ht="19.899999999999999" customHeight="1">
      <c r="A544" s="11" t="s">
        <v>10</v>
      </c>
      <c r="B544" s="14" t="s">
        <v>41</v>
      </c>
      <c r="C544" s="12"/>
      <c r="D544" s="12">
        <v>1979</v>
      </c>
    </row>
    <row r="545" spans="1:4" ht="19.899999999999999" customHeight="1">
      <c r="A545" s="11" t="s">
        <v>11</v>
      </c>
      <c r="B545" s="14" t="s">
        <v>41</v>
      </c>
      <c r="C545" s="12"/>
      <c r="D545" s="12">
        <v>1979</v>
      </c>
    </row>
    <row r="546" spans="1:4" ht="19.899999999999999" customHeight="1">
      <c r="A546" s="11" t="s">
        <v>38</v>
      </c>
      <c r="B546" s="14" t="s">
        <v>41</v>
      </c>
      <c r="C546" s="12"/>
      <c r="D546" s="12">
        <v>1979</v>
      </c>
    </row>
    <row r="547" spans="1:4" ht="19.899999999999999" customHeight="1">
      <c r="A547" s="11" t="s">
        <v>12</v>
      </c>
      <c r="B547" s="14" t="s">
        <v>41</v>
      </c>
      <c r="C547" s="12"/>
      <c r="D547" s="12">
        <v>1979</v>
      </c>
    </row>
    <row r="548" spans="1:4" ht="19.899999999999999" customHeight="1">
      <c r="A548" s="11" t="s">
        <v>13</v>
      </c>
      <c r="B548" s="14" t="s">
        <v>41</v>
      </c>
      <c r="C548" s="12"/>
      <c r="D548" s="12">
        <v>1979</v>
      </c>
    </row>
    <row r="549" spans="1:4" ht="19.899999999999999" customHeight="1">
      <c r="A549" s="11" t="s">
        <v>14</v>
      </c>
      <c r="B549" s="14" t="s">
        <v>41</v>
      </c>
      <c r="C549" s="12"/>
      <c r="D549" s="12">
        <v>1979</v>
      </c>
    </row>
    <row r="550" spans="1:4" ht="19.899999999999999" customHeight="1">
      <c r="A550" s="11" t="s">
        <v>15</v>
      </c>
      <c r="B550" s="14" t="s">
        <v>41</v>
      </c>
      <c r="C550" s="12"/>
      <c r="D550" s="12">
        <v>1979</v>
      </c>
    </row>
    <row r="551" spans="1:4" ht="19.899999999999999" customHeight="1">
      <c r="A551" s="11" t="s">
        <v>16</v>
      </c>
      <c r="B551" s="14" t="s">
        <v>41</v>
      </c>
      <c r="C551" s="12"/>
      <c r="D551" s="12">
        <v>1979</v>
      </c>
    </row>
    <row r="552" spans="1:4" ht="19.899999999999999" customHeight="1">
      <c r="A552" s="11" t="s">
        <v>17</v>
      </c>
      <c r="B552" s="14" t="s">
        <v>41</v>
      </c>
      <c r="C552" s="12"/>
      <c r="D552" s="12">
        <v>1979</v>
      </c>
    </row>
    <row r="553" spans="1:4" ht="19.899999999999999" customHeight="1">
      <c r="A553" s="11" t="s">
        <v>18</v>
      </c>
      <c r="B553" s="14" t="s">
        <v>41</v>
      </c>
      <c r="C553" s="12"/>
      <c r="D553" s="12">
        <v>1979</v>
      </c>
    </row>
    <row r="554" spans="1:4" ht="19.899999999999999" customHeight="1">
      <c r="A554" s="11" t="s">
        <v>19</v>
      </c>
      <c r="B554" s="14" t="s">
        <v>41</v>
      </c>
      <c r="C554" s="12"/>
      <c r="D554" s="12">
        <v>1979</v>
      </c>
    </row>
    <row r="555" spans="1:4" ht="19.899999999999999" customHeight="1">
      <c r="A555" s="11" t="s">
        <v>20</v>
      </c>
      <c r="B555" s="14" t="s">
        <v>41</v>
      </c>
      <c r="C555" s="12"/>
      <c r="D555" s="12">
        <v>1979</v>
      </c>
    </row>
    <row r="556" spans="1:4" ht="19.899999999999999" customHeight="1">
      <c r="A556" s="11" t="s">
        <v>21</v>
      </c>
      <c r="B556" s="14" t="s">
        <v>41</v>
      </c>
      <c r="C556" s="12"/>
      <c r="D556" s="12">
        <v>1979</v>
      </c>
    </row>
    <row r="557" spans="1:4" ht="19.899999999999999" customHeight="1">
      <c r="A557" s="11" t="s">
        <v>22</v>
      </c>
      <c r="B557" s="14" t="s">
        <v>41</v>
      </c>
      <c r="C557" s="12"/>
      <c r="D557" s="12">
        <v>1979</v>
      </c>
    </row>
    <row r="558" spans="1:4" ht="19.899999999999999" customHeight="1">
      <c r="A558" s="11" t="s">
        <v>23</v>
      </c>
      <c r="B558" s="14" t="s">
        <v>41</v>
      </c>
      <c r="C558" s="12"/>
      <c r="D558" s="12">
        <v>1979</v>
      </c>
    </row>
    <row r="559" spans="1:4" ht="19.899999999999999" customHeight="1">
      <c r="A559" s="11" t="s">
        <v>24</v>
      </c>
      <c r="B559" s="14" t="s">
        <v>41</v>
      </c>
      <c r="C559" s="12"/>
      <c r="D559" s="12">
        <v>1979</v>
      </c>
    </row>
    <row r="560" spans="1:4" ht="19.899999999999999" customHeight="1">
      <c r="A560" s="11" t="s">
        <v>25</v>
      </c>
      <c r="B560" s="14" t="s">
        <v>41</v>
      </c>
      <c r="C560" s="12"/>
      <c r="D560" s="12">
        <v>1979</v>
      </c>
    </row>
    <row r="561" spans="1:4" ht="19.899999999999999" customHeight="1">
      <c r="A561" s="11" t="s">
        <v>26</v>
      </c>
      <c r="B561" s="14" t="s">
        <v>41</v>
      </c>
      <c r="C561" s="12"/>
      <c r="D561" s="12">
        <v>1979</v>
      </c>
    </row>
    <row r="562" spans="1:4" ht="19.899999999999999" customHeight="1">
      <c r="A562" s="11" t="s">
        <v>27</v>
      </c>
      <c r="B562" s="14" t="s">
        <v>41</v>
      </c>
      <c r="C562" s="12"/>
      <c r="D562" s="12">
        <v>1979</v>
      </c>
    </row>
    <row r="563" spans="1:4" ht="19.899999999999999" customHeight="1">
      <c r="A563" s="11" t="s">
        <v>28</v>
      </c>
      <c r="B563" s="14" t="s">
        <v>41</v>
      </c>
      <c r="C563" s="12"/>
      <c r="D563" s="12">
        <v>1979</v>
      </c>
    </row>
    <row r="564" spans="1:4" ht="19.899999999999999" customHeight="1">
      <c r="A564" s="11" t="s">
        <v>29</v>
      </c>
      <c r="B564" s="14" t="s">
        <v>41</v>
      </c>
      <c r="C564" s="12"/>
      <c r="D564" s="12">
        <v>1979</v>
      </c>
    </row>
    <row r="565" spans="1:4" ht="19.899999999999999" customHeight="1">
      <c r="A565" s="11" t="s">
        <v>4</v>
      </c>
      <c r="B565" s="14" t="s">
        <v>41</v>
      </c>
      <c r="C565" s="12"/>
      <c r="D565" s="12">
        <v>1980</v>
      </c>
    </row>
    <row r="566" spans="1:4" ht="19.899999999999999" customHeight="1">
      <c r="A566" s="11" t="s">
        <v>5</v>
      </c>
      <c r="B566" s="14" t="s">
        <v>41</v>
      </c>
      <c r="C566" s="12"/>
      <c r="D566" s="12">
        <v>1980</v>
      </c>
    </row>
    <row r="567" spans="1:4" ht="19.899999999999999" customHeight="1">
      <c r="A567" s="11" t="s">
        <v>6</v>
      </c>
      <c r="B567" s="14" t="s">
        <v>41</v>
      </c>
      <c r="C567" s="12"/>
      <c r="D567" s="12">
        <v>1980</v>
      </c>
    </row>
    <row r="568" spans="1:4" ht="19.899999999999999" customHeight="1">
      <c r="A568" s="11" t="s">
        <v>7</v>
      </c>
      <c r="B568" s="14" t="s">
        <v>41</v>
      </c>
      <c r="C568" s="12"/>
      <c r="D568" s="12">
        <v>1980</v>
      </c>
    </row>
    <row r="569" spans="1:4" ht="19.899999999999999" customHeight="1">
      <c r="A569" s="11" t="s">
        <v>8</v>
      </c>
      <c r="B569" s="14" t="s">
        <v>41</v>
      </c>
      <c r="C569" s="12"/>
      <c r="D569" s="12">
        <v>1980</v>
      </c>
    </row>
    <row r="570" spans="1:4" ht="19.899999999999999" customHeight="1">
      <c r="A570" s="11" t="s">
        <v>1</v>
      </c>
      <c r="B570" s="14" t="s">
        <v>41</v>
      </c>
      <c r="C570" s="12">
        <v>12.3555402755737</v>
      </c>
      <c r="D570" s="12">
        <v>1980</v>
      </c>
    </row>
    <row r="571" spans="1:4" ht="19.899999999999999" customHeight="1">
      <c r="A571" s="11" t="s">
        <v>9</v>
      </c>
      <c r="B571" s="14" t="s">
        <v>41</v>
      </c>
      <c r="C571" s="12"/>
      <c r="D571" s="12">
        <v>1980</v>
      </c>
    </row>
    <row r="572" spans="1:4" ht="19.899999999999999" customHeight="1">
      <c r="A572" s="11" t="s">
        <v>10</v>
      </c>
      <c r="B572" s="14" t="s">
        <v>41</v>
      </c>
      <c r="C572" s="12"/>
      <c r="D572" s="12">
        <v>1980</v>
      </c>
    </row>
    <row r="573" spans="1:4" ht="19.899999999999999" customHeight="1">
      <c r="A573" s="11" t="s">
        <v>11</v>
      </c>
      <c r="B573" s="14" t="s">
        <v>41</v>
      </c>
      <c r="C573" s="12"/>
      <c r="D573" s="12">
        <v>1980</v>
      </c>
    </row>
    <row r="574" spans="1:4" ht="19.899999999999999" customHeight="1">
      <c r="A574" s="11" t="s">
        <v>38</v>
      </c>
      <c r="B574" s="14" t="s">
        <v>41</v>
      </c>
      <c r="C574" s="12"/>
      <c r="D574" s="12">
        <v>1980</v>
      </c>
    </row>
    <row r="575" spans="1:4" ht="19.899999999999999" customHeight="1">
      <c r="A575" s="11" t="s">
        <v>12</v>
      </c>
      <c r="B575" s="14" t="s">
        <v>41</v>
      </c>
      <c r="C575" s="12"/>
      <c r="D575" s="12">
        <v>1980</v>
      </c>
    </row>
    <row r="576" spans="1:4" ht="19.899999999999999" customHeight="1">
      <c r="A576" s="11" t="s">
        <v>13</v>
      </c>
      <c r="B576" s="14" t="s">
        <v>41</v>
      </c>
      <c r="C576" s="12"/>
      <c r="D576" s="12">
        <v>1980</v>
      </c>
    </row>
    <row r="577" spans="1:4" ht="19.899999999999999" customHeight="1">
      <c r="A577" s="11" t="s">
        <v>14</v>
      </c>
      <c r="B577" s="14" t="s">
        <v>41</v>
      </c>
      <c r="C577" s="12"/>
      <c r="D577" s="12">
        <v>1980</v>
      </c>
    </row>
    <row r="578" spans="1:4" ht="19.899999999999999" customHeight="1">
      <c r="A578" s="11" t="s">
        <v>15</v>
      </c>
      <c r="B578" s="14" t="s">
        <v>41</v>
      </c>
      <c r="C578" s="12"/>
      <c r="D578" s="12">
        <v>1980</v>
      </c>
    </row>
    <row r="579" spans="1:4" ht="19.899999999999999" customHeight="1">
      <c r="A579" s="11" t="s">
        <v>16</v>
      </c>
      <c r="B579" s="14" t="s">
        <v>41</v>
      </c>
      <c r="C579" s="12"/>
      <c r="D579" s="12">
        <v>1980</v>
      </c>
    </row>
    <row r="580" spans="1:4" ht="19.899999999999999" customHeight="1">
      <c r="A580" s="11" t="s">
        <v>17</v>
      </c>
      <c r="B580" s="14" t="s">
        <v>41</v>
      </c>
      <c r="C580" s="12"/>
      <c r="D580" s="12">
        <v>1980</v>
      </c>
    </row>
    <row r="581" spans="1:4" ht="19.899999999999999" customHeight="1">
      <c r="A581" s="11" t="s">
        <v>18</v>
      </c>
      <c r="B581" s="14" t="s">
        <v>41</v>
      </c>
      <c r="C581" s="12"/>
      <c r="D581" s="12">
        <v>1980</v>
      </c>
    </row>
    <row r="582" spans="1:4" ht="19.899999999999999" customHeight="1">
      <c r="A582" s="11" t="s">
        <v>19</v>
      </c>
      <c r="B582" s="14" t="s">
        <v>41</v>
      </c>
      <c r="C582" s="12"/>
      <c r="D582" s="12">
        <v>1980</v>
      </c>
    </row>
    <row r="583" spans="1:4" ht="19.899999999999999" customHeight="1">
      <c r="A583" s="11" t="s">
        <v>20</v>
      </c>
      <c r="B583" s="14" t="s">
        <v>41</v>
      </c>
      <c r="C583" s="12"/>
      <c r="D583" s="12">
        <v>1980</v>
      </c>
    </row>
    <row r="584" spans="1:4" ht="19.899999999999999" customHeight="1">
      <c r="A584" s="11" t="s">
        <v>21</v>
      </c>
      <c r="B584" s="14" t="s">
        <v>41</v>
      </c>
      <c r="C584" s="12"/>
      <c r="D584" s="12">
        <v>1980</v>
      </c>
    </row>
    <row r="585" spans="1:4" ht="19.899999999999999" customHeight="1">
      <c r="A585" s="11" t="s">
        <v>22</v>
      </c>
      <c r="B585" s="14" t="s">
        <v>41</v>
      </c>
      <c r="C585" s="12"/>
      <c r="D585" s="12">
        <v>1980</v>
      </c>
    </row>
    <row r="586" spans="1:4" ht="19.899999999999999" customHeight="1">
      <c r="A586" s="11" t="s">
        <v>23</v>
      </c>
      <c r="B586" s="14" t="s">
        <v>41</v>
      </c>
      <c r="C586" s="12"/>
      <c r="D586" s="12">
        <v>1980</v>
      </c>
    </row>
    <row r="587" spans="1:4" ht="19.899999999999999" customHeight="1">
      <c r="A587" s="11" t="s">
        <v>24</v>
      </c>
      <c r="B587" s="14" t="s">
        <v>41</v>
      </c>
      <c r="C587" s="12"/>
      <c r="D587" s="12">
        <v>1980</v>
      </c>
    </row>
    <row r="588" spans="1:4" ht="19.899999999999999" customHeight="1">
      <c r="A588" s="11" t="s">
        <v>25</v>
      </c>
      <c r="B588" s="14" t="s">
        <v>41</v>
      </c>
      <c r="C588" s="12"/>
      <c r="D588" s="12">
        <v>1980</v>
      </c>
    </row>
    <row r="589" spans="1:4" ht="19.899999999999999" customHeight="1">
      <c r="A589" s="11" t="s">
        <v>26</v>
      </c>
      <c r="B589" s="14" t="s">
        <v>41</v>
      </c>
      <c r="C589" s="12"/>
      <c r="D589" s="12">
        <v>1980</v>
      </c>
    </row>
    <row r="590" spans="1:4" ht="19.899999999999999" customHeight="1">
      <c r="A590" s="11" t="s">
        <v>27</v>
      </c>
      <c r="B590" s="14" t="s">
        <v>41</v>
      </c>
      <c r="C590" s="12"/>
      <c r="D590" s="12">
        <v>1980</v>
      </c>
    </row>
    <row r="591" spans="1:4" ht="19.899999999999999" customHeight="1">
      <c r="A591" s="11" t="s">
        <v>28</v>
      </c>
      <c r="B591" s="14" t="s">
        <v>41</v>
      </c>
      <c r="C591" s="12"/>
      <c r="D591" s="12">
        <v>1980</v>
      </c>
    </row>
    <row r="592" spans="1:4" ht="19.899999999999999" customHeight="1">
      <c r="A592" s="11" t="s">
        <v>29</v>
      </c>
      <c r="B592" s="14" t="s">
        <v>41</v>
      </c>
      <c r="C592" s="12"/>
      <c r="D592" s="12">
        <v>1980</v>
      </c>
    </row>
    <row r="593" spans="1:4" ht="19.899999999999999" customHeight="1">
      <c r="A593" s="11" t="s">
        <v>4</v>
      </c>
      <c r="B593" s="14" t="s">
        <v>41</v>
      </c>
      <c r="C593" s="12"/>
      <c r="D593" s="12">
        <v>1981</v>
      </c>
    </row>
    <row r="594" spans="1:4" ht="19.899999999999999" customHeight="1">
      <c r="A594" s="11" t="s">
        <v>5</v>
      </c>
      <c r="B594" s="14" t="s">
        <v>41</v>
      </c>
      <c r="C594" s="12"/>
      <c r="D594" s="12">
        <v>1981</v>
      </c>
    </row>
    <row r="595" spans="1:4" ht="19.899999999999999" customHeight="1">
      <c r="A595" s="11" t="s">
        <v>6</v>
      </c>
      <c r="B595" s="14" t="s">
        <v>41</v>
      </c>
      <c r="C595" s="12"/>
      <c r="D595" s="12">
        <v>1981</v>
      </c>
    </row>
    <row r="596" spans="1:4" ht="19.899999999999999" customHeight="1">
      <c r="A596" s="11" t="s">
        <v>7</v>
      </c>
      <c r="B596" s="14" t="s">
        <v>41</v>
      </c>
      <c r="C596" s="12"/>
      <c r="D596" s="12">
        <v>1981</v>
      </c>
    </row>
    <row r="597" spans="1:4" ht="19.899999999999999" customHeight="1">
      <c r="A597" s="11" t="s">
        <v>8</v>
      </c>
      <c r="B597" s="14" t="s">
        <v>41</v>
      </c>
      <c r="C597" s="12"/>
      <c r="D597" s="12">
        <v>1981</v>
      </c>
    </row>
    <row r="598" spans="1:4" ht="19.899999999999999" customHeight="1">
      <c r="A598" s="11" t="s">
        <v>1</v>
      </c>
      <c r="B598" s="14" t="s">
        <v>41</v>
      </c>
      <c r="C598" s="12">
        <v>12.4869899749756</v>
      </c>
      <c r="D598" s="12">
        <v>1981</v>
      </c>
    </row>
    <row r="599" spans="1:4" ht="19.899999999999999" customHeight="1">
      <c r="A599" s="11" t="s">
        <v>9</v>
      </c>
      <c r="B599" s="14" t="s">
        <v>41</v>
      </c>
      <c r="C599" s="12"/>
      <c r="D599" s="12">
        <v>1981</v>
      </c>
    </row>
    <row r="600" spans="1:4" ht="19.899999999999999" customHeight="1">
      <c r="A600" s="11" t="s">
        <v>10</v>
      </c>
      <c r="B600" s="14" t="s">
        <v>41</v>
      </c>
      <c r="C600" s="12"/>
      <c r="D600" s="12">
        <v>1981</v>
      </c>
    </row>
    <row r="601" spans="1:4" ht="19.899999999999999" customHeight="1">
      <c r="A601" s="11" t="s">
        <v>11</v>
      </c>
      <c r="B601" s="14" t="s">
        <v>41</v>
      </c>
      <c r="C601" s="12"/>
      <c r="D601" s="12">
        <v>1981</v>
      </c>
    </row>
    <row r="602" spans="1:4" ht="19.899999999999999" customHeight="1">
      <c r="A602" s="11" t="s">
        <v>38</v>
      </c>
      <c r="B602" s="14" t="s">
        <v>41</v>
      </c>
      <c r="C602" s="12"/>
      <c r="D602" s="12">
        <v>1981</v>
      </c>
    </row>
    <row r="603" spans="1:4" ht="19.899999999999999" customHeight="1">
      <c r="A603" s="11" t="s">
        <v>12</v>
      </c>
      <c r="B603" s="14" t="s">
        <v>41</v>
      </c>
      <c r="C603" s="12"/>
      <c r="D603" s="12">
        <v>1981</v>
      </c>
    </row>
    <row r="604" spans="1:4" ht="19.899999999999999" customHeight="1">
      <c r="A604" s="11" t="s">
        <v>13</v>
      </c>
      <c r="B604" s="14" t="s">
        <v>41</v>
      </c>
      <c r="C604" s="12">
        <v>14.899310111999499</v>
      </c>
      <c r="D604" s="12">
        <v>1981</v>
      </c>
    </row>
    <row r="605" spans="1:4" ht="19.899999999999999" customHeight="1">
      <c r="A605" s="11" t="s">
        <v>14</v>
      </c>
      <c r="B605" s="14" t="s">
        <v>41</v>
      </c>
      <c r="C605" s="12"/>
      <c r="D605" s="12">
        <v>1981</v>
      </c>
    </row>
    <row r="606" spans="1:4" ht="19.899999999999999" customHeight="1">
      <c r="A606" s="11" t="s">
        <v>15</v>
      </c>
      <c r="B606" s="14" t="s">
        <v>41</v>
      </c>
      <c r="C606" s="12"/>
      <c r="D606" s="12">
        <v>1981</v>
      </c>
    </row>
    <row r="607" spans="1:4" ht="19.899999999999999" customHeight="1">
      <c r="A607" s="11" t="s">
        <v>16</v>
      </c>
      <c r="B607" s="14" t="s">
        <v>41</v>
      </c>
      <c r="C607" s="12"/>
      <c r="D607" s="12">
        <v>1981</v>
      </c>
    </row>
    <row r="608" spans="1:4" ht="19.899999999999999" customHeight="1">
      <c r="A608" s="11" t="s">
        <v>17</v>
      </c>
      <c r="B608" s="14" t="s">
        <v>41</v>
      </c>
      <c r="C608" s="12"/>
      <c r="D608" s="12">
        <v>1981</v>
      </c>
    </row>
    <row r="609" spans="1:4" ht="19.899999999999999" customHeight="1">
      <c r="A609" s="11" t="s">
        <v>18</v>
      </c>
      <c r="B609" s="14" t="s">
        <v>41</v>
      </c>
      <c r="C609" s="12"/>
      <c r="D609" s="12">
        <v>1981</v>
      </c>
    </row>
    <row r="610" spans="1:4" ht="19.899999999999999" customHeight="1">
      <c r="A610" s="11" t="s">
        <v>19</v>
      </c>
      <c r="B610" s="14" t="s">
        <v>41</v>
      </c>
      <c r="C610" s="12"/>
      <c r="D610" s="12">
        <v>1981</v>
      </c>
    </row>
    <row r="611" spans="1:4" ht="19.899999999999999" customHeight="1">
      <c r="A611" s="11" t="s">
        <v>20</v>
      </c>
      <c r="B611" s="14" t="s">
        <v>41</v>
      </c>
      <c r="C611" s="12"/>
      <c r="D611" s="12">
        <v>1981</v>
      </c>
    </row>
    <row r="612" spans="1:4" ht="19.899999999999999" customHeight="1">
      <c r="A612" s="11" t="s">
        <v>21</v>
      </c>
      <c r="B612" s="14" t="s">
        <v>41</v>
      </c>
      <c r="C612" s="12"/>
      <c r="D612" s="12">
        <v>1981</v>
      </c>
    </row>
    <row r="613" spans="1:4" ht="19.899999999999999" customHeight="1">
      <c r="A613" s="11" t="s">
        <v>22</v>
      </c>
      <c r="B613" s="14" t="s">
        <v>41</v>
      </c>
      <c r="C613" s="12"/>
      <c r="D613" s="12">
        <v>1981</v>
      </c>
    </row>
    <row r="614" spans="1:4" ht="19.899999999999999" customHeight="1">
      <c r="A614" s="11" t="s">
        <v>23</v>
      </c>
      <c r="B614" s="14" t="s">
        <v>41</v>
      </c>
      <c r="C614" s="12"/>
      <c r="D614" s="12">
        <v>1981</v>
      </c>
    </row>
    <row r="615" spans="1:4" ht="19.899999999999999" customHeight="1">
      <c r="A615" s="11" t="s">
        <v>24</v>
      </c>
      <c r="B615" s="14" t="s">
        <v>41</v>
      </c>
      <c r="C615" s="12"/>
      <c r="D615" s="12">
        <v>1981</v>
      </c>
    </row>
    <row r="616" spans="1:4" ht="19.899999999999999" customHeight="1">
      <c r="A616" s="11" t="s">
        <v>25</v>
      </c>
      <c r="B616" s="14" t="s">
        <v>41</v>
      </c>
      <c r="C616" s="12"/>
      <c r="D616" s="12">
        <v>1981</v>
      </c>
    </row>
    <row r="617" spans="1:4" ht="19.899999999999999" customHeight="1">
      <c r="A617" s="11" t="s">
        <v>26</v>
      </c>
      <c r="B617" s="14" t="s">
        <v>41</v>
      </c>
      <c r="C617" s="12"/>
      <c r="D617" s="12">
        <v>1981</v>
      </c>
    </row>
    <row r="618" spans="1:4" ht="19.899999999999999" customHeight="1">
      <c r="A618" s="11" t="s">
        <v>27</v>
      </c>
      <c r="B618" s="14" t="s">
        <v>41</v>
      </c>
      <c r="C618" s="12"/>
      <c r="D618" s="12">
        <v>1981</v>
      </c>
    </row>
    <row r="619" spans="1:4" ht="19.899999999999999" customHeight="1">
      <c r="A619" s="11" t="s">
        <v>28</v>
      </c>
      <c r="B619" s="14" t="s">
        <v>41</v>
      </c>
      <c r="C619" s="12"/>
      <c r="D619" s="12">
        <v>1981</v>
      </c>
    </row>
    <row r="620" spans="1:4" ht="19.899999999999999" customHeight="1">
      <c r="A620" s="11" t="s">
        <v>29</v>
      </c>
      <c r="B620" s="14" t="s">
        <v>41</v>
      </c>
      <c r="C620" s="12"/>
      <c r="D620" s="12">
        <v>1981</v>
      </c>
    </row>
    <row r="621" spans="1:4" ht="19.899999999999999" customHeight="1">
      <c r="A621" s="11" t="s">
        <v>4</v>
      </c>
      <c r="B621" s="14" t="s">
        <v>41</v>
      </c>
      <c r="C621" s="12"/>
      <c r="D621" s="12">
        <v>1982</v>
      </c>
    </row>
    <row r="622" spans="1:4" ht="19.899999999999999" customHeight="1">
      <c r="A622" s="11" t="s">
        <v>5</v>
      </c>
      <c r="B622" s="14" t="s">
        <v>41</v>
      </c>
      <c r="C622" s="12"/>
      <c r="D622" s="12">
        <v>1982</v>
      </c>
    </row>
    <row r="623" spans="1:4" ht="19.899999999999999" customHeight="1">
      <c r="A623" s="11" t="s">
        <v>6</v>
      </c>
      <c r="B623" s="14" t="s">
        <v>41</v>
      </c>
      <c r="C623" s="12"/>
      <c r="D623" s="12">
        <v>1982</v>
      </c>
    </row>
    <row r="624" spans="1:4" ht="19.899999999999999" customHeight="1">
      <c r="A624" s="11" t="s">
        <v>7</v>
      </c>
      <c r="B624" s="14" t="s">
        <v>41</v>
      </c>
      <c r="C624" s="12"/>
      <c r="D624" s="12">
        <v>1982</v>
      </c>
    </row>
    <row r="625" spans="1:4" ht="19.899999999999999" customHeight="1">
      <c r="A625" s="11" t="s">
        <v>8</v>
      </c>
      <c r="B625" s="14" t="s">
        <v>41</v>
      </c>
      <c r="C625" s="12"/>
      <c r="D625" s="12">
        <v>1982</v>
      </c>
    </row>
    <row r="626" spans="1:4" ht="19.899999999999999" customHeight="1">
      <c r="A626" s="11" t="s">
        <v>1</v>
      </c>
      <c r="B626" s="14" t="s">
        <v>41</v>
      </c>
      <c r="C626" s="12">
        <v>12.178170204162599</v>
      </c>
      <c r="D626" s="12">
        <v>1982</v>
      </c>
    </row>
    <row r="627" spans="1:4" ht="19.899999999999999" customHeight="1">
      <c r="A627" s="11" t="s">
        <v>9</v>
      </c>
      <c r="B627" s="14" t="s">
        <v>41</v>
      </c>
      <c r="C627" s="12"/>
      <c r="D627" s="12">
        <v>1982</v>
      </c>
    </row>
    <row r="628" spans="1:4" ht="19.899999999999999" customHeight="1">
      <c r="A628" s="11" t="s">
        <v>10</v>
      </c>
      <c r="B628" s="14" t="s">
        <v>41</v>
      </c>
      <c r="C628" s="12"/>
      <c r="D628" s="12">
        <v>1982</v>
      </c>
    </row>
    <row r="629" spans="1:4" ht="19.899999999999999" customHeight="1">
      <c r="A629" s="11" t="s">
        <v>11</v>
      </c>
      <c r="B629" s="14" t="s">
        <v>41</v>
      </c>
      <c r="C629" s="12">
        <v>16.210960388183601</v>
      </c>
      <c r="D629" s="12">
        <v>1982</v>
      </c>
    </row>
    <row r="630" spans="1:4" ht="19.899999999999999" customHeight="1">
      <c r="A630" s="11" t="s">
        <v>38</v>
      </c>
      <c r="B630" s="14" t="s">
        <v>41</v>
      </c>
      <c r="C630" s="12"/>
      <c r="D630" s="12">
        <v>1982</v>
      </c>
    </row>
    <row r="631" spans="1:4" ht="19.899999999999999" customHeight="1">
      <c r="A631" s="11" t="s">
        <v>12</v>
      </c>
      <c r="B631" s="14" t="s">
        <v>41</v>
      </c>
      <c r="C631" s="12"/>
      <c r="D631" s="12">
        <v>1982</v>
      </c>
    </row>
    <row r="632" spans="1:4" ht="19.899999999999999" customHeight="1">
      <c r="A632" s="11" t="s">
        <v>13</v>
      </c>
      <c r="B632" s="14" t="s">
        <v>41</v>
      </c>
      <c r="C632" s="12">
        <v>16.5352897644043</v>
      </c>
      <c r="D632" s="12">
        <v>1982</v>
      </c>
    </row>
    <row r="633" spans="1:4" ht="19.899999999999999" customHeight="1">
      <c r="A633" s="11" t="s">
        <v>14</v>
      </c>
      <c r="B633" s="14" t="s">
        <v>41</v>
      </c>
      <c r="C633" s="12"/>
      <c r="D633" s="12">
        <v>1982</v>
      </c>
    </row>
    <row r="634" spans="1:4" ht="19.899999999999999" customHeight="1">
      <c r="A634" s="11" t="s">
        <v>15</v>
      </c>
      <c r="B634" s="14" t="s">
        <v>41</v>
      </c>
      <c r="C634" s="12"/>
      <c r="D634" s="12">
        <v>1982</v>
      </c>
    </row>
    <row r="635" spans="1:4" ht="19.899999999999999" customHeight="1">
      <c r="A635" s="11" t="s">
        <v>16</v>
      </c>
      <c r="B635" s="14" t="s">
        <v>41</v>
      </c>
      <c r="C635" s="12"/>
      <c r="D635" s="12">
        <v>1982</v>
      </c>
    </row>
    <row r="636" spans="1:4" ht="19.899999999999999" customHeight="1">
      <c r="A636" s="11" t="s">
        <v>17</v>
      </c>
      <c r="B636" s="14" t="s">
        <v>41</v>
      </c>
      <c r="C636" s="12"/>
      <c r="D636" s="12">
        <v>1982</v>
      </c>
    </row>
    <row r="637" spans="1:4" ht="19.899999999999999" customHeight="1">
      <c r="A637" s="11" t="s">
        <v>18</v>
      </c>
      <c r="B637" s="14" t="s">
        <v>41</v>
      </c>
      <c r="C637" s="12"/>
      <c r="D637" s="12">
        <v>1982</v>
      </c>
    </row>
    <row r="638" spans="1:4" ht="19.899999999999999" customHeight="1">
      <c r="A638" s="11" t="s">
        <v>19</v>
      </c>
      <c r="B638" s="14" t="s">
        <v>41</v>
      </c>
      <c r="C638" s="12"/>
      <c r="D638" s="12">
        <v>1982</v>
      </c>
    </row>
    <row r="639" spans="1:4" ht="19.899999999999999" customHeight="1">
      <c r="A639" s="11" t="s">
        <v>20</v>
      </c>
      <c r="B639" s="14" t="s">
        <v>41</v>
      </c>
      <c r="C639" s="12">
        <v>0</v>
      </c>
      <c r="D639" s="12">
        <v>1982</v>
      </c>
    </row>
    <row r="640" spans="1:4" ht="19.899999999999999" customHeight="1">
      <c r="A640" s="11" t="s">
        <v>21</v>
      </c>
      <c r="B640" s="14" t="s">
        <v>41</v>
      </c>
      <c r="C640" s="12"/>
      <c r="D640" s="12">
        <v>1982</v>
      </c>
    </row>
    <row r="641" spans="1:4" ht="19.899999999999999" customHeight="1">
      <c r="A641" s="11" t="s">
        <v>22</v>
      </c>
      <c r="B641" s="14" t="s">
        <v>41</v>
      </c>
      <c r="C641" s="12"/>
      <c r="D641" s="12">
        <v>1982</v>
      </c>
    </row>
    <row r="642" spans="1:4" ht="19.899999999999999" customHeight="1">
      <c r="A642" s="11" t="s">
        <v>23</v>
      </c>
      <c r="B642" s="14" t="s">
        <v>41</v>
      </c>
      <c r="C642" s="12"/>
      <c r="D642" s="12">
        <v>1982</v>
      </c>
    </row>
    <row r="643" spans="1:4" ht="19.899999999999999" customHeight="1">
      <c r="A643" s="11" t="s">
        <v>24</v>
      </c>
      <c r="B643" s="14" t="s">
        <v>41</v>
      </c>
      <c r="C643" s="12"/>
      <c r="D643" s="12">
        <v>1982</v>
      </c>
    </row>
    <row r="644" spans="1:4" ht="19.899999999999999" customHeight="1">
      <c r="A644" s="11" t="s">
        <v>25</v>
      </c>
      <c r="B644" s="14" t="s">
        <v>41</v>
      </c>
      <c r="C644" s="12"/>
      <c r="D644" s="12">
        <v>1982</v>
      </c>
    </row>
    <row r="645" spans="1:4" ht="19.899999999999999" customHeight="1">
      <c r="A645" s="11" t="s">
        <v>26</v>
      </c>
      <c r="B645" s="14" t="s">
        <v>41</v>
      </c>
      <c r="C645" s="12"/>
      <c r="D645" s="12">
        <v>1982</v>
      </c>
    </row>
    <row r="646" spans="1:4" ht="19.899999999999999" customHeight="1">
      <c r="A646" s="11" t="s">
        <v>27</v>
      </c>
      <c r="B646" s="14" t="s">
        <v>41</v>
      </c>
      <c r="C646" s="12"/>
      <c r="D646" s="12">
        <v>1982</v>
      </c>
    </row>
    <row r="647" spans="1:4" ht="19.899999999999999" customHeight="1">
      <c r="A647" s="11" t="s">
        <v>28</v>
      </c>
      <c r="B647" s="14" t="s">
        <v>41</v>
      </c>
      <c r="C647" s="12"/>
      <c r="D647" s="12">
        <v>1982</v>
      </c>
    </row>
    <row r="648" spans="1:4" ht="19.899999999999999" customHeight="1">
      <c r="A648" s="11" t="s">
        <v>29</v>
      </c>
      <c r="B648" s="14" t="s">
        <v>41</v>
      </c>
      <c r="C648" s="12"/>
      <c r="D648" s="12">
        <v>1982</v>
      </c>
    </row>
    <row r="649" spans="1:4" ht="19.899999999999999" customHeight="1">
      <c r="A649" s="11" t="s">
        <v>4</v>
      </c>
      <c r="B649" s="14" t="s">
        <v>41</v>
      </c>
      <c r="C649" s="12"/>
      <c r="D649" s="12">
        <v>1983</v>
      </c>
    </row>
    <row r="650" spans="1:4" ht="19.899999999999999" customHeight="1">
      <c r="A650" s="11" t="s">
        <v>5</v>
      </c>
      <c r="B650" s="14" t="s">
        <v>41</v>
      </c>
      <c r="C650" s="12"/>
      <c r="D650" s="12">
        <v>1983</v>
      </c>
    </row>
    <row r="651" spans="1:4" ht="19.899999999999999" customHeight="1">
      <c r="A651" s="11" t="s">
        <v>6</v>
      </c>
      <c r="B651" s="14" t="s">
        <v>41</v>
      </c>
      <c r="C651" s="12"/>
      <c r="D651" s="12">
        <v>1983</v>
      </c>
    </row>
    <row r="652" spans="1:4" ht="19.899999999999999" customHeight="1">
      <c r="A652" s="11" t="s">
        <v>7</v>
      </c>
      <c r="B652" s="14" t="s">
        <v>41</v>
      </c>
      <c r="C652" s="12"/>
      <c r="D652" s="12">
        <v>1983</v>
      </c>
    </row>
    <row r="653" spans="1:4" ht="19.899999999999999" customHeight="1">
      <c r="A653" s="11" t="s">
        <v>8</v>
      </c>
      <c r="B653" s="14" t="s">
        <v>41</v>
      </c>
      <c r="C653" s="12"/>
      <c r="D653" s="12">
        <v>1983</v>
      </c>
    </row>
    <row r="654" spans="1:4" ht="19.899999999999999" customHeight="1">
      <c r="A654" s="11" t="s">
        <v>1</v>
      </c>
      <c r="B654" s="14" t="s">
        <v>41</v>
      </c>
      <c r="C654" s="12">
        <v>9.7013196945190394</v>
      </c>
      <c r="D654" s="12">
        <v>1983</v>
      </c>
    </row>
    <row r="655" spans="1:4" ht="19.899999999999999" customHeight="1">
      <c r="A655" s="11" t="s">
        <v>9</v>
      </c>
      <c r="B655" s="14" t="s">
        <v>41</v>
      </c>
      <c r="C655" s="12"/>
      <c r="D655" s="12">
        <v>1983</v>
      </c>
    </row>
    <row r="656" spans="1:4" ht="19.899999999999999" customHeight="1">
      <c r="A656" s="11" t="s">
        <v>10</v>
      </c>
      <c r="B656" s="14" t="s">
        <v>41</v>
      </c>
      <c r="C656" s="12"/>
      <c r="D656" s="12">
        <v>1983</v>
      </c>
    </row>
    <row r="657" spans="1:4" ht="19.899999999999999" customHeight="1">
      <c r="A657" s="11" t="s">
        <v>11</v>
      </c>
      <c r="B657" s="14" t="s">
        <v>41</v>
      </c>
      <c r="C657" s="12">
        <v>17.262159347534201</v>
      </c>
      <c r="D657" s="12">
        <v>1983</v>
      </c>
    </row>
    <row r="658" spans="1:4" ht="19.899999999999999" customHeight="1">
      <c r="A658" s="11" t="s">
        <v>38</v>
      </c>
      <c r="B658" s="14" t="s">
        <v>41</v>
      </c>
      <c r="C658" s="12"/>
      <c r="D658" s="12">
        <v>1983</v>
      </c>
    </row>
    <row r="659" spans="1:4" ht="19.899999999999999" customHeight="1">
      <c r="A659" s="11" t="s">
        <v>12</v>
      </c>
      <c r="B659" s="14" t="s">
        <v>41</v>
      </c>
      <c r="C659" s="12"/>
      <c r="D659" s="12">
        <v>1983</v>
      </c>
    </row>
    <row r="660" spans="1:4" ht="19.899999999999999" customHeight="1">
      <c r="A660" s="11" t="s">
        <v>13</v>
      </c>
      <c r="B660" s="14" t="s">
        <v>41</v>
      </c>
      <c r="C660" s="12">
        <v>16.7896404266357</v>
      </c>
      <c r="D660" s="12">
        <v>1983</v>
      </c>
    </row>
    <row r="661" spans="1:4" ht="19.899999999999999" customHeight="1">
      <c r="A661" s="11" t="s">
        <v>14</v>
      </c>
      <c r="B661" s="14" t="s">
        <v>41</v>
      </c>
      <c r="C661" s="12"/>
      <c r="D661" s="12">
        <v>1983</v>
      </c>
    </row>
    <row r="662" spans="1:4" ht="19.899999999999999" customHeight="1">
      <c r="A662" s="11" t="s">
        <v>15</v>
      </c>
      <c r="B662" s="14" t="s">
        <v>41</v>
      </c>
      <c r="C662" s="12"/>
      <c r="D662" s="12">
        <v>1983</v>
      </c>
    </row>
    <row r="663" spans="1:4" ht="19.899999999999999" customHeight="1">
      <c r="A663" s="11" t="s">
        <v>16</v>
      </c>
      <c r="B663" s="14" t="s">
        <v>41</v>
      </c>
      <c r="C663" s="12"/>
      <c r="D663" s="12">
        <v>1983</v>
      </c>
    </row>
    <row r="664" spans="1:4" ht="19.899999999999999" customHeight="1">
      <c r="A664" s="11" t="s">
        <v>17</v>
      </c>
      <c r="B664" s="14" t="s">
        <v>41</v>
      </c>
      <c r="C664" s="12"/>
      <c r="D664" s="12">
        <v>1983</v>
      </c>
    </row>
    <row r="665" spans="1:4" ht="19.899999999999999" customHeight="1">
      <c r="A665" s="11" t="s">
        <v>18</v>
      </c>
      <c r="B665" s="14" t="s">
        <v>41</v>
      </c>
      <c r="C665" s="12"/>
      <c r="D665" s="12">
        <v>1983</v>
      </c>
    </row>
    <row r="666" spans="1:4" ht="19.899999999999999" customHeight="1">
      <c r="A666" s="11" t="s">
        <v>19</v>
      </c>
      <c r="B666" s="14" t="s">
        <v>41</v>
      </c>
      <c r="C666" s="12"/>
      <c r="D666" s="12">
        <v>1983</v>
      </c>
    </row>
    <row r="667" spans="1:4" ht="19.899999999999999" customHeight="1">
      <c r="A667" s="11" t="s">
        <v>20</v>
      </c>
      <c r="B667" s="14" t="s">
        <v>41</v>
      </c>
      <c r="C667" s="12"/>
      <c r="D667" s="12">
        <v>1983</v>
      </c>
    </row>
    <row r="668" spans="1:4" ht="19.899999999999999" customHeight="1">
      <c r="A668" s="11" t="s">
        <v>21</v>
      </c>
      <c r="B668" s="14" t="s">
        <v>41</v>
      </c>
      <c r="C668" s="12"/>
      <c r="D668" s="12">
        <v>1983</v>
      </c>
    </row>
    <row r="669" spans="1:4" ht="19.899999999999999" customHeight="1">
      <c r="A669" s="11" t="s">
        <v>22</v>
      </c>
      <c r="B669" s="14" t="s">
        <v>41</v>
      </c>
      <c r="C669" s="12"/>
      <c r="D669" s="12">
        <v>1983</v>
      </c>
    </row>
    <row r="670" spans="1:4" ht="19.899999999999999" customHeight="1">
      <c r="A670" s="11" t="s">
        <v>23</v>
      </c>
      <c r="B670" s="14" t="s">
        <v>41</v>
      </c>
      <c r="C670" s="12"/>
      <c r="D670" s="12">
        <v>1983</v>
      </c>
    </row>
    <row r="671" spans="1:4" ht="19.899999999999999" customHeight="1">
      <c r="A671" s="11" t="s">
        <v>24</v>
      </c>
      <c r="B671" s="14" t="s">
        <v>41</v>
      </c>
      <c r="C671" s="12"/>
      <c r="D671" s="12">
        <v>1983</v>
      </c>
    </row>
    <row r="672" spans="1:4" ht="19.899999999999999" customHeight="1">
      <c r="A672" s="11" t="s">
        <v>25</v>
      </c>
      <c r="B672" s="14" t="s">
        <v>41</v>
      </c>
      <c r="C672" s="12"/>
      <c r="D672" s="12">
        <v>1983</v>
      </c>
    </row>
    <row r="673" spans="1:4" ht="19.899999999999999" customHeight="1">
      <c r="A673" s="11" t="s">
        <v>26</v>
      </c>
      <c r="B673" s="14" t="s">
        <v>41</v>
      </c>
      <c r="C673" s="12"/>
      <c r="D673" s="12">
        <v>1983</v>
      </c>
    </row>
    <row r="674" spans="1:4" ht="19.899999999999999" customHeight="1">
      <c r="A674" s="11" t="s">
        <v>27</v>
      </c>
      <c r="B674" s="14" t="s">
        <v>41</v>
      </c>
      <c r="C674" s="12"/>
      <c r="D674" s="12">
        <v>1983</v>
      </c>
    </row>
    <row r="675" spans="1:4" ht="19.899999999999999" customHeight="1">
      <c r="A675" s="11" t="s">
        <v>28</v>
      </c>
      <c r="B675" s="14" t="s">
        <v>41</v>
      </c>
      <c r="C675" s="12"/>
      <c r="D675" s="12">
        <v>1983</v>
      </c>
    </row>
    <row r="676" spans="1:4" ht="19.899999999999999" customHeight="1">
      <c r="A676" s="11" t="s">
        <v>29</v>
      </c>
      <c r="B676" s="14" t="s">
        <v>41</v>
      </c>
      <c r="C676" s="12"/>
      <c r="D676" s="12">
        <v>1983</v>
      </c>
    </row>
    <row r="677" spans="1:4" ht="19.899999999999999" customHeight="1">
      <c r="A677" s="11" t="s">
        <v>4</v>
      </c>
      <c r="B677" s="14" t="s">
        <v>41</v>
      </c>
      <c r="C677" s="12"/>
      <c r="D677" s="12">
        <v>1984</v>
      </c>
    </row>
    <row r="678" spans="1:4" ht="19.899999999999999" customHeight="1">
      <c r="A678" s="11" t="s">
        <v>5</v>
      </c>
      <c r="B678" s="14" t="s">
        <v>41</v>
      </c>
      <c r="C678" s="12"/>
      <c r="D678" s="12">
        <v>1984</v>
      </c>
    </row>
    <row r="679" spans="1:4" ht="19.899999999999999" customHeight="1">
      <c r="A679" s="11" t="s">
        <v>6</v>
      </c>
      <c r="B679" s="14" t="s">
        <v>41</v>
      </c>
      <c r="C679" s="12"/>
      <c r="D679" s="12">
        <v>1984</v>
      </c>
    </row>
    <row r="680" spans="1:4" ht="19.899999999999999" customHeight="1">
      <c r="A680" s="11" t="s">
        <v>7</v>
      </c>
      <c r="B680" s="14" t="s">
        <v>41</v>
      </c>
      <c r="C680" s="12"/>
      <c r="D680" s="12">
        <v>1984</v>
      </c>
    </row>
    <row r="681" spans="1:4" ht="19.899999999999999" customHeight="1">
      <c r="A681" s="11" t="s">
        <v>8</v>
      </c>
      <c r="B681" s="14" t="s">
        <v>41</v>
      </c>
      <c r="C681" s="12"/>
      <c r="D681" s="12">
        <v>1984</v>
      </c>
    </row>
    <row r="682" spans="1:4" ht="19.899999999999999" customHeight="1">
      <c r="A682" s="11" t="s">
        <v>1</v>
      </c>
      <c r="B682" s="14" t="s">
        <v>41</v>
      </c>
      <c r="C682" s="12">
        <v>11.8201303482056</v>
      </c>
      <c r="D682" s="12">
        <v>1984</v>
      </c>
    </row>
    <row r="683" spans="1:4" ht="19.899999999999999" customHeight="1">
      <c r="A683" s="11" t="s">
        <v>9</v>
      </c>
      <c r="B683" s="14" t="s">
        <v>41</v>
      </c>
      <c r="C683" s="12"/>
      <c r="D683" s="12">
        <v>1984</v>
      </c>
    </row>
    <row r="684" spans="1:4" ht="19.899999999999999" customHeight="1">
      <c r="A684" s="11" t="s">
        <v>10</v>
      </c>
      <c r="B684" s="14" t="s">
        <v>41</v>
      </c>
      <c r="C684" s="12"/>
      <c r="D684" s="12">
        <v>1984</v>
      </c>
    </row>
    <row r="685" spans="1:4" ht="19.899999999999999" customHeight="1">
      <c r="A685" s="11" t="s">
        <v>11</v>
      </c>
      <c r="B685" s="14" t="s">
        <v>41</v>
      </c>
      <c r="C685" s="12">
        <v>14.4205102920532</v>
      </c>
      <c r="D685" s="12">
        <v>1984</v>
      </c>
    </row>
    <row r="686" spans="1:4" ht="19.899999999999999" customHeight="1">
      <c r="A686" s="11" t="s">
        <v>38</v>
      </c>
      <c r="B686" s="14" t="s">
        <v>41</v>
      </c>
      <c r="C686" s="12"/>
      <c r="D686" s="12">
        <v>1984</v>
      </c>
    </row>
    <row r="687" spans="1:4" ht="19.899999999999999" customHeight="1">
      <c r="A687" s="11" t="s">
        <v>12</v>
      </c>
      <c r="B687" s="14" t="s">
        <v>41</v>
      </c>
      <c r="C687" s="12"/>
      <c r="D687" s="12">
        <v>1984</v>
      </c>
    </row>
    <row r="688" spans="1:4" ht="19.899999999999999" customHeight="1">
      <c r="A688" s="11" t="s">
        <v>13</v>
      </c>
      <c r="B688" s="14" t="s">
        <v>41</v>
      </c>
      <c r="C688" s="12">
        <v>18.323890686035199</v>
      </c>
      <c r="D688" s="12">
        <v>1984</v>
      </c>
    </row>
    <row r="689" spans="1:4" ht="19.899999999999999" customHeight="1">
      <c r="A689" s="11" t="s">
        <v>14</v>
      </c>
      <c r="B689" s="14" t="s">
        <v>41</v>
      </c>
      <c r="C689" s="12"/>
      <c r="D689" s="12">
        <v>1984</v>
      </c>
    </row>
    <row r="690" spans="1:4" ht="19.899999999999999" customHeight="1">
      <c r="A690" s="11" t="s">
        <v>15</v>
      </c>
      <c r="B690" s="14" t="s">
        <v>41</v>
      </c>
      <c r="C690" s="12"/>
      <c r="D690" s="12">
        <v>1984</v>
      </c>
    </row>
    <row r="691" spans="1:4" ht="19.899999999999999" customHeight="1">
      <c r="A691" s="11" t="s">
        <v>16</v>
      </c>
      <c r="B691" s="14" t="s">
        <v>41</v>
      </c>
      <c r="C691" s="12"/>
      <c r="D691" s="12">
        <v>1984</v>
      </c>
    </row>
    <row r="692" spans="1:4" ht="19.899999999999999" customHeight="1">
      <c r="A692" s="11" t="s">
        <v>17</v>
      </c>
      <c r="B692" s="14" t="s">
        <v>41</v>
      </c>
      <c r="C692" s="12"/>
      <c r="D692" s="12">
        <v>1984</v>
      </c>
    </row>
    <row r="693" spans="1:4" ht="19.899999999999999" customHeight="1">
      <c r="A693" s="11" t="s">
        <v>18</v>
      </c>
      <c r="B693" s="14" t="s">
        <v>41</v>
      </c>
      <c r="C693" s="12"/>
      <c r="D693" s="12">
        <v>1984</v>
      </c>
    </row>
    <row r="694" spans="1:4" ht="19.899999999999999" customHeight="1">
      <c r="A694" s="11" t="s">
        <v>19</v>
      </c>
      <c r="B694" s="14" t="s">
        <v>41</v>
      </c>
      <c r="C694" s="12"/>
      <c r="D694" s="12">
        <v>1984</v>
      </c>
    </row>
    <row r="695" spans="1:4" ht="19.899999999999999" customHeight="1">
      <c r="A695" s="11" t="s">
        <v>20</v>
      </c>
      <c r="B695" s="14" t="s">
        <v>41</v>
      </c>
      <c r="C695" s="12">
        <v>0</v>
      </c>
      <c r="D695" s="12">
        <v>1984</v>
      </c>
    </row>
    <row r="696" spans="1:4" ht="19.899999999999999" customHeight="1">
      <c r="A696" s="11" t="s">
        <v>21</v>
      </c>
      <c r="B696" s="14" t="s">
        <v>41</v>
      </c>
      <c r="C696" s="12"/>
      <c r="D696" s="12">
        <v>1984</v>
      </c>
    </row>
    <row r="697" spans="1:4" ht="19.899999999999999" customHeight="1">
      <c r="A697" s="11" t="s">
        <v>22</v>
      </c>
      <c r="B697" s="14" t="s">
        <v>41</v>
      </c>
      <c r="C697" s="12"/>
      <c r="D697" s="12">
        <v>1984</v>
      </c>
    </row>
    <row r="698" spans="1:4" ht="19.899999999999999" customHeight="1">
      <c r="A698" s="11" t="s">
        <v>23</v>
      </c>
      <c r="B698" s="14" t="s">
        <v>41</v>
      </c>
      <c r="C698" s="12"/>
      <c r="D698" s="12">
        <v>1984</v>
      </c>
    </row>
    <row r="699" spans="1:4" ht="19.899999999999999" customHeight="1">
      <c r="A699" s="11" t="s">
        <v>24</v>
      </c>
      <c r="B699" s="14" t="s">
        <v>41</v>
      </c>
      <c r="C699" s="12"/>
      <c r="D699" s="12">
        <v>1984</v>
      </c>
    </row>
    <row r="700" spans="1:4" ht="19.899999999999999" customHeight="1">
      <c r="A700" s="11" t="s">
        <v>25</v>
      </c>
      <c r="B700" s="14" t="s">
        <v>41</v>
      </c>
      <c r="C700" s="12"/>
      <c r="D700" s="12">
        <v>1984</v>
      </c>
    </row>
    <row r="701" spans="1:4" ht="19.899999999999999" customHeight="1">
      <c r="A701" s="11" t="s">
        <v>26</v>
      </c>
      <c r="B701" s="14" t="s">
        <v>41</v>
      </c>
      <c r="C701" s="12"/>
      <c r="D701" s="12">
        <v>1984</v>
      </c>
    </row>
    <row r="702" spans="1:4" ht="19.899999999999999" customHeight="1">
      <c r="A702" s="11" t="s">
        <v>27</v>
      </c>
      <c r="B702" s="14" t="s">
        <v>41</v>
      </c>
      <c r="C702" s="12"/>
      <c r="D702" s="12">
        <v>1984</v>
      </c>
    </row>
    <row r="703" spans="1:4" ht="19.899999999999999" customHeight="1">
      <c r="A703" s="11" t="s">
        <v>28</v>
      </c>
      <c r="B703" s="14" t="s">
        <v>41</v>
      </c>
      <c r="C703" s="12"/>
      <c r="D703" s="12">
        <v>1984</v>
      </c>
    </row>
    <row r="704" spans="1:4" ht="19.899999999999999" customHeight="1">
      <c r="A704" s="11" t="s">
        <v>29</v>
      </c>
      <c r="B704" s="14" t="s">
        <v>41</v>
      </c>
      <c r="C704" s="12"/>
      <c r="D704" s="12">
        <v>1984</v>
      </c>
    </row>
    <row r="705" spans="1:4" ht="19.899999999999999" customHeight="1">
      <c r="A705" s="11" t="s">
        <v>4</v>
      </c>
      <c r="B705" s="14" t="s">
        <v>41</v>
      </c>
      <c r="C705" s="12"/>
      <c r="D705" s="12">
        <v>1985</v>
      </c>
    </row>
    <row r="706" spans="1:4" ht="19.899999999999999" customHeight="1">
      <c r="A706" s="11" t="s">
        <v>5</v>
      </c>
      <c r="B706" s="14" t="s">
        <v>41</v>
      </c>
      <c r="C706" s="12"/>
      <c r="D706" s="12">
        <v>1985</v>
      </c>
    </row>
    <row r="707" spans="1:4" ht="19.899999999999999" customHeight="1">
      <c r="A707" s="11" t="s">
        <v>6</v>
      </c>
      <c r="B707" s="14" t="s">
        <v>41</v>
      </c>
      <c r="C707" s="12"/>
      <c r="D707" s="12">
        <v>1985</v>
      </c>
    </row>
    <row r="708" spans="1:4" ht="19.899999999999999" customHeight="1">
      <c r="A708" s="11" t="s">
        <v>7</v>
      </c>
      <c r="B708" s="14" t="s">
        <v>41</v>
      </c>
      <c r="C708" s="12"/>
      <c r="D708" s="12">
        <v>1985</v>
      </c>
    </row>
    <row r="709" spans="1:4" ht="19.899999999999999" customHeight="1">
      <c r="A709" s="11" t="s">
        <v>8</v>
      </c>
      <c r="B709" s="14" t="s">
        <v>41</v>
      </c>
      <c r="C709" s="12"/>
      <c r="D709" s="12">
        <v>1985</v>
      </c>
    </row>
    <row r="710" spans="1:4" ht="19.899999999999999" customHeight="1">
      <c r="A710" s="11" t="s">
        <v>1</v>
      </c>
      <c r="B710" s="14" t="s">
        <v>41</v>
      </c>
      <c r="C710" s="12">
        <v>10.0891304016113</v>
      </c>
      <c r="D710" s="12">
        <v>1985</v>
      </c>
    </row>
    <row r="711" spans="1:4" ht="19.899999999999999" customHeight="1">
      <c r="A711" s="11" t="s">
        <v>9</v>
      </c>
      <c r="B711" s="14" t="s">
        <v>41</v>
      </c>
      <c r="C711" s="12"/>
      <c r="D711" s="12">
        <v>1985</v>
      </c>
    </row>
    <row r="712" spans="1:4" ht="19.899999999999999" customHeight="1">
      <c r="A712" s="11" t="s">
        <v>10</v>
      </c>
      <c r="B712" s="14" t="s">
        <v>41</v>
      </c>
      <c r="C712" s="12"/>
      <c r="D712" s="12">
        <v>1985</v>
      </c>
    </row>
    <row r="713" spans="1:4" ht="19.899999999999999" customHeight="1">
      <c r="A713" s="11" t="s">
        <v>11</v>
      </c>
      <c r="B713" s="14" t="s">
        <v>41</v>
      </c>
      <c r="C713" s="12">
        <v>15.4351100921631</v>
      </c>
      <c r="D713" s="12">
        <v>1985</v>
      </c>
    </row>
    <row r="714" spans="1:4" ht="19.899999999999999" customHeight="1">
      <c r="A714" s="11" t="s">
        <v>38</v>
      </c>
      <c r="B714" s="14" t="s">
        <v>41</v>
      </c>
      <c r="C714" s="12"/>
      <c r="D714" s="12">
        <v>1985</v>
      </c>
    </row>
    <row r="715" spans="1:4" ht="19.899999999999999" customHeight="1">
      <c r="A715" s="11" t="s">
        <v>12</v>
      </c>
      <c r="B715" s="14" t="s">
        <v>41</v>
      </c>
      <c r="C715" s="12"/>
      <c r="D715" s="12">
        <v>1985</v>
      </c>
    </row>
    <row r="716" spans="1:4" ht="19.899999999999999" customHeight="1">
      <c r="A716" s="11" t="s">
        <v>13</v>
      </c>
      <c r="B716" s="14" t="s">
        <v>41</v>
      </c>
      <c r="C716" s="12">
        <v>16.620180130004901</v>
      </c>
      <c r="D716" s="12">
        <v>1985</v>
      </c>
    </row>
    <row r="717" spans="1:4" ht="19.899999999999999" customHeight="1">
      <c r="A717" s="11" t="s">
        <v>14</v>
      </c>
      <c r="B717" s="14" t="s">
        <v>41</v>
      </c>
      <c r="C717" s="12"/>
      <c r="D717" s="12">
        <v>1985</v>
      </c>
    </row>
    <row r="718" spans="1:4" ht="19.899999999999999" customHeight="1">
      <c r="A718" s="11" t="s">
        <v>15</v>
      </c>
      <c r="B718" s="14" t="s">
        <v>41</v>
      </c>
      <c r="C718" s="12"/>
      <c r="D718" s="12">
        <v>1985</v>
      </c>
    </row>
    <row r="719" spans="1:4" ht="19.899999999999999" customHeight="1">
      <c r="A719" s="11" t="s">
        <v>16</v>
      </c>
      <c r="B719" s="14" t="s">
        <v>41</v>
      </c>
      <c r="C719" s="12"/>
      <c r="D719" s="12">
        <v>1985</v>
      </c>
    </row>
    <row r="720" spans="1:4" ht="19.899999999999999" customHeight="1">
      <c r="A720" s="11" t="s">
        <v>17</v>
      </c>
      <c r="B720" s="14" t="s">
        <v>41</v>
      </c>
      <c r="C720" s="12"/>
      <c r="D720" s="12">
        <v>1985</v>
      </c>
    </row>
    <row r="721" spans="1:4" ht="19.899999999999999" customHeight="1">
      <c r="A721" s="11" t="s">
        <v>18</v>
      </c>
      <c r="B721" s="14" t="s">
        <v>41</v>
      </c>
      <c r="C721" s="12"/>
      <c r="D721" s="12">
        <v>1985</v>
      </c>
    </row>
    <row r="722" spans="1:4" ht="19.899999999999999" customHeight="1">
      <c r="A722" s="11" t="s">
        <v>19</v>
      </c>
      <c r="B722" s="14" t="s">
        <v>41</v>
      </c>
      <c r="C722" s="12"/>
      <c r="D722" s="12">
        <v>1985</v>
      </c>
    </row>
    <row r="723" spans="1:4" ht="19.899999999999999" customHeight="1">
      <c r="A723" s="11" t="s">
        <v>20</v>
      </c>
      <c r="B723" s="14" t="s">
        <v>41</v>
      </c>
      <c r="C723" s="12"/>
      <c r="D723" s="12">
        <v>1985</v>
      </c>
    </row>
    <row r="724" spans="1:4" ht="19.899999999999999" customHeight="1">
      <c r="A724" s="11" t="s">
        <v>21</v>
      </c>
      <c r="B724" s="14" t="s">
        <v>41</v>
      </c>
      <c r="C724" s="12"/>
      <c r="D724" s="12">
        <v>1985</v>
      </c>
    </row>
    <row r="725" spans="1:4" ht="19.899999999999999" customHeight="1">
      <c r="A725" s="11" t="s">
        <v>22</v>
      </c>
      <c r="B725" s="14" t="s">
        <v>41</v>
      </c>
      <c r="C725" s="12"/>
      <c r="D725" s="12">
        <v>1985</v>
      </c>
    </row>
    <row r="726" spans="1:4" ht="19.899999999999999" customHeight="1">
      <c r="A726" s="11" t="s">
        <v>23</v>
      </c>
      <c r="B726" s="14" t="s">
        <v>41</v>
      </c>
      <c r="C726" s="12"/>
      <c r="D726" s="12">
        <v>1985</v>
      </c>
    </row>
    <row r="727" spans="1:4" ht="19.899999999999999" customHeight="1">
      <c r="A727" s="11" t="s">
        <v>24</v>
      </c>
      <c r="B727" s="14" t="s">
        <v>41</v>
      </c>
      <c r="C727" s="12"/>
      <c r="D727" s="12">
        <v>1985</v>
      </c>
    </row>
    <row r="728" spans="1:4" ht="19.899999999999999" customHeight="1">
      <c r="A728" s="11" t="s">
        <v>25</v>
      </c>
      <c r="B728" s="14" t="s">
        <v>41</v>
      </c>
      <c r="C728" s="12"/>
      <c r="D728" s="12">
        <v>1985</v>
      </c>
    </row>
    <row r="729" spans="1:4" ht="19.899999999999999" customHeight="1">
      <c r="A729" s="11" t="s">
        <v>26</v>
      </c>
      <c r="B729" s="14" t="s">
        <v>41</v>
      </c>
      <c r="C729" s="12"/>
      <c r="D729" s="12">
        <v>1985</v>
      </c>
    </row>
    <row r="730" spans="1:4" ht="19.899999999999999" customHeight="1">
      <c r="A730" s="11" t="s">
        <v>27</v>
      </c>
      <c r="B730" s="14" t="s">
        <v>41</v>
      </c>
      <c r="C730" s="12"/>
      <c r="D730" s="12">
        <v>1985</v>
      </c>
    </row>
    <row r="731" spans="1:4" ht="19.899999999999999" customHeight="1">
      <c r="A731" s="11" t="s">
        <v>28</v>
      </c>
      <c r="B731" s="14" t="s">
        <v>41</v>
      </c>
      <c r="C731" s="12"/>
      <c r="D731" s="12">
        <v>1985</v>
      </c>
    </row>
    <row r="732" spans="1:4" ht="19.899999999999999" customHeight="1">
      <c r="A732" s="11" t="s">
        <v>29</v>
      </c>
      <c r="B732" s="14" t="s">
        <v>41</v>
      </c>
      <c r="C732" s="12"/>
      <c r="D732" s="12">
        <v>1985</v>
      </c>
    </row>
    <row r="733" spans="1:4" ht="19.899999999999999" customHeight="1">
      <c r="A733" s="11" t="s">
        <v>4</v>
      </c>
      <c r="B733" s="14" t="s">
        <v>41</v>
      </c>
      <c r="C733" s="12"/>
      <c r="D733" s="12">
        <v>1986</v>
      </c>
    </row>
    <row r="734" spans="1:4" ht="19.899999999999999" customHeight="1">
      <c r="A734" s="11" t="s">
        <v>5</v>
      </c>
      <c r="B734" s="14" t="s">
        <v>41</v>
      </c>
      <c r="C734" s="12"/>
      <c r="D734" s="12">
        <v>1986</v>
      </c>
    </row>
    <row r="735" spans="1:4" ht="19.899999999999999" customHeight="1">
      <c r="A735" s="11" t="s">
        <v>6</v>
      </c>
      <c r="B735" s="14" t="s">
        <v>41</v>
      </c>
      <c r="C735" s="12"/>
      <c r="D735" s="12">
        <v>1986</v>
      </c>
    </row>
    <row r="736" spans="1:4" ht="19.899999999999999" customHeight="1">
      <c r="A736" s="11" t="s">
        <v>7</v>
      </c>
      <c r="B736" s="14" t="s">
        <v>41</v>
      </c>
      <c r="C736" s="12"/>
      <c r="D736" s="12">
        <v>1986</v>
      </c>
    </row>
    <row r="737" spans="1:4" ht="19.899999999999999" customHeight="1">
      <c r="A737" s="11" t="s">
        <v>8</v>
      </c>
      <c r="B737" s="14" t="s">
        <v>41</v>
      </c>
      <c r="C737" s="12"/>
      <c r="D737" s="12">
        <v>1986</v>
      </c>
    </row>
    <row r="738" spans="1:4" ht="19.899999999999999" customHeight="1">
      <c r="A738" s="11" t="s">
        <v>1</v>
      </c>
      <c r="B738" s="14" t="s">
        <v>41</v>
      </c>
      <c r="C738" s="12">
        <v>10.321749687194799</v>
      </c>
      <c r="D738" s="12">
        <v>1986</v>
      </c>
    </row>
    <row r="739" spans="1:4" ht="19.899999999999999" customHeight="1">
      <c r="A739" s="11" t="s">
        <v>9</v>
      </c>
      <c r="B739" s="14" t="s">
        <v>41</v>
      </c>
      <c r="C739" s="12"/>
      <c r="D739" s="12">
        <v>1986</v>
      </c>
    </row>
    <row r="740" spans="1:4" ht="19.899999999999999" customHeight="1">
      <c r="A740" s="11" t="s">
        <v>10</v>
      </c>
      <c r="B740" s="14" t="s">
        <v>41</v>
      </c>
      <c r="C740" s="12"/>
      <c r="D740" s="12">
        <v>1986</v>
      </c>
    </row>
    <row r="741" spans="1:4" ht="19.899999999999999" customHeight="1">
      <c r="A741" s="11" t="s">
        <v>11</v>
      </c>
      <c r="B741" s="14" t="s">
        <v>41</v>
      </c>
      <c r="C741" s="12">
        <v>17.523990631103501</v>
      </c>
      <c r="D741" s="12">
        <v>1986</v>
      </c>
    </row>
    <row r="742" spans="1:4" ht="19.899999999999999" customHeight="1">
      <c r="A742" s="11" t="s">
        <v>38</v>
      </c>
      <c r="B742" s="14" t="s">
        <v>41</v>
      </c>
      <c r="C742" s="12"/>
      <c r="D742" s="12">
        <v>1986</v>
      </c>
    </row>
    <row r="743" spans="1:4" ht="19.899999999999999" customHeight="1">
      <c r="A743" s="11" t="s">
        <v>12</v>
      </c>
      <c r="B743" s="14" t="s">
        <v>41</v>
      </c>
      <c r="C743" s="12"/>
      <c r="D743" s="12">
        <v>1986</v>
      </c>
    </row>
    <row r="744" spans="1:4" ht="19.899999999999999" customHeight="1">
      <c r="A744" s="11" t="s">
        <v>13</v>
      </c>
      <c r="B744" s="14" t="s">
        <v>41</v>
      </c>
      <c r="C744" s="12"/>
      <c r="D744" s="12">
        <v>1986</v>
      </c>
    </row>
    <row r="745" spans="1:4" ht="19.899999999999999" customHeight="1">
      <c r="A745" s="11" t="s">
        <v>14</v>
      </c>
      <c r="B745" s="14" t="s">
        <v>41</v>
      </c>
      <c r="C745" s="12"/>
      <c r="D745" s="12">
        <v>1986</v>
      </c>
    </row>
    <row r="746" spans="1:4" ht="19.899999999999999" customHeight="1">
      <c r="A746" s="11" t="s">
        <v>15</v>
      </c>
      <c r="B746" s="14" t="s">
        <v>41</v>
      </c>
      <c r="C746" s="12"/>
      <c r="D746" s="12">
        <v>1986</v>
      </c>
    </row>
    <row r="747" spans="1:4" ht="19.899999999999999" customHeight="1">
      <c r="A747" s="11" t="s">
        <v>16</v>
      </c>
      <c r="B747" s="14" t="s">
        <v>41</v>
      </c>
      <c r="C747" s="12"/>
      <c r="D747" s="12">
        <v>1986</v>
      </c>
    </row>
    <row r="748" spans="1:4" ht="19.899999999999999" customHeight="1">
      <c r="A748" s="11" t="s">
        <v>17</v>
      </c>
      <c r="B748" s="14" t="s">
        <v>41</v>
      </c>
      <c r="C748" s="12"/>
      <c r="D748" s="12">
        <v>1986</v>
      </c>
    </row>
    <row r="749" spans="1:4" ht="19.899999999999999" customHeight="1">
      <c r="A749" s="11" t="s">
        <v>18</v>
      </c>
      <c r="B749" s="14" t="s">
        <v>41</v>
      </c>
      <c r="C749" s="12"/>
      <c r="D749" s="12">
        <v>1986</v>
      </c>
    </row>
    <row r="750" spans="1:4" ht="19.899999999999999" customHeight="1">
      <c r="A750" s="11" t="s">
        <v>19</v>
      </c>
      <c r="B750" s="14" t="s">
        <v>41</v>
      </c>
      <c r="C750" s="12"/>
      <c r="D750" s="12">
        <v>1986</v>
      </c>
    </row>
    <row r="751" spans="1:4" ht="19.899999999999999" customHeight="1">
      <c r="A751" s="11" t="s">
        <v>20</v>
      </c>
      <c r="B751" s="14" t="s">
        <v>41</v>
      </c>
      <c r="C751" s="12"/>
      <c r="D751" s="12">
        <v>1986</v>
      </c>
    </row>
    <row r="752" spans="1:4" ht="19.899999999999999" customHeight="1">
      <c r="A752" s="11" t="s">
        <v>21</v>
      </c>
      <c r="B752" s="14" t="s">
        <v>41</v>
      </c>
      <c r="C752" s="12"/>
      <c r="D752" s="12">
        <v>1986</v>
      </c>
    </row>
    <row r="753" spans="1:4" ht="19.899999999999999" customHeight="1">
      <c r="A753" s="11" t="s">
        <v>22</v>
      </c>
      <c r="B753" s="14" t="s">
        <v>41</v>
      </c>
      <c r="C753" s="12"/>
      <c r="D753" s="12">
        <v>1986</v>
      </c>
    </row>
    <row r="754" spans="1:4" ht="19.899999999999999" customHeight="1">
      <c r="A754" s="11" t="s">
        <v>23</v>
      </c>
      <c r="B754" s="14" t="s">
        <v>41</v>
      </c>
      <c r="C754" s="12"/>
      <c r="D754" s="12">
        <v>1986</v>
      </c>
    </row>
    <row r="755" spans="1:4" ht="19.899999999999999" customHeight="1">
      <c r="A755" s="11" t="s">
        <v>24</v>
      </c>
      <c r="B755" s="14" t="s">
        <v>41</v>
      </c>
      <c r="C755" s="12"/>
      <c r="D755" s="12">
        <v>1986</v>
      </c>
    </row>
    <row r="756" spans="1:4" ht="19.899999999999999" customHeight="1">
      <c r="A756" s="11" t="s">
        <v>25</v>
      </c>
      <c r="B756" s="14" t="s">
        <v>41</v>
      </c>
      <c r="C756" s="12"/>
      <c r="D756" s="12">
        <v>1986</v>
      </c>
    </row>
    <row r="757" spans="1:4" ht="19.899999999999999" customHeight="1">
      <c r="A757" s="11" t="s">
        <v>26</v>
      </c>
      <c r="B757" s="14" t="s">
        <v>41</v>
      </c>
      <c r="C757" s="12"/>
      <c r="D757" s="12">
        <v>1986</v>
      </c>
    </row>
    <row r="758" spans="1:4" ht="19.899999999999999" customHeight="1">
      <c r="A758" s="11" t="s">
        <v>27</v>
      </c>
      <c r="B758" s="14" t="s">
        <v>41</v>
      </c>
      <c r="C758" s="12"/>
      <c r="D758" s="12">
        <v>1986</v>
      </c>
    </row>
    <row r="759" spans="1:4" ht="19.899999999999999" customHeight="1">
      <c r="A759" s="11" t="s">
        <v>28</v>
      </c>
      <c r="B759" s="14" t="s">
        <v>41</v>
      </c>
      <c r="C759" s="12"/>
      <c r="D759" s="12">
        <v>1986</v>
      </c>
    </row>
    <row r="760" spans="1:4" ht="19.899999999999999" customHeight="1">
      <c r="A760" s="11" t="s">
        <v>29</v>
      </c>
      <c r="B760" s="14" t="s">
        <v>41</v>
      </c>
      <c r="C760" s="12"/>
      <c r="D760" s="12">
        <v>1986</v>
      </c>
    </row>
    <row r="761" spans="1:4" ht="19.899999999999999" customHeight="1">
      <c r="A761" s="11" t="s">
        <v>4</v>
      </c>
      <c r="B761" s="14" t="s">
        <v>41</v>
      </c>
      <c r="C761" s="12"/>
      <c r="D761" s="12">
        <v>1987</v>
      </c>
    </row>
    <row r="762" spans="1:4" ht="19.899999999999999" customHeight="1">
      <c r="A762" s="11" t="s">
        <v>5</v>
      </c>
      <c r="B762" s="14" t="s">
        <v>41</v>
      </c>
      <c r="C762" s="12"/>
      <c r="D762" s="12">
        <v>1987</v>
      </c>
    </row>
    <row r="763" spans="1:4" ht="19.899999999999999" customHeight="1">
      <c r="A763" s="11" t="s">
        <v>6</v>
      </c>
      <c r="B763" s="14" t="s">
        <v>41</v>
      </c>
      <c r="C763" s="12"/>
      <c r="D763" s="12">
        <v>1987</v>
      </c>
    </row>
    <row r="764" spans="1:4" ht="19.899999999999999" customHeight="1">
      <c r="A764" s="11" t="s">
        <v>7</v>
      </c>
      <c r="B764" s="14" t="s">
        <v>41</v>
      </c>
      <c r="C764" s="12"/>
      <c r="D764" s="12">
        <v>1987</v>
      </c>
    </row>
    <row r="765" spans="1:4" ht="19.899999999999999" customHeight="1">
      <c r="A765" s="11" t="s">
        <v>8</v>
      </c>
      <c r="B765" s="14" t="s">
        <v>41</v>
      </c>
      <c r="C765" s="12"/>
      <c r="D765" s="12">
        <v>1987</v>
      </c>
    </row>
    <row r="766" spans="1:4" ht="19.899999999999999" customHeight="1">
      <c r="A766" s="11" t="s">
        <v>1</v>
      </c>
      <c r="B766" s="14" t="s">
        <v>41</v>
      </c>
      <c r="C766" s="12"/>
      <c r="D766" s="12">
        <v>1987</v>
      </c>
    </row>
    <row r="767" spans="1:4" ht="19.899999999999999" customHeight="1">
      <c r="A767" s="11" t="s">
        <v>9</v>
      </c>
      <c r="B767" s="14" t="s">
        <v>41</v>
      </c>
      <c r="C767" s="12"/>
      <c r="D767" s="12">
        <v>1987</v>
      </c>
    </row>
    <row r="768" spans="1:4" ht="19.899999999999999" customHeight="1">
      <c r="A768" s="11" t="s">
        <v>10</v>
      </c>
      <c r="B768" s="14" t="s">
        <v>41</v>
      </c>
      <c r="C768" s="12"/>
      <c r="D768" s="12">
        <v>1987</v>
      </c>
    </row>
    <row r="769" spans="1:4" ht="19.899999999999999" customHeight="1">
      <c r="A769" s="11" t="s">
        <v>11</v>
      </c>
      <c r="B769" s="14" t="s">
        <v>41</v>
      </c>
      <c r="C769" s="12"/>
      <c r="D769" s="12">
        <v>1987</v>
      </c>
    </row>
    <row r="770" spans="1:4" ht="19.899999999999999" customHeight="1">
      <c r="A770" s="11" t="s">
        <v>38</v>
      </c>
      <c r="B770" s="14" t="s">
        <v>41</v>
      </c>
      <c r="C770" s="12"/>
      <c r="D770" s="12">
        <v>1987</v>
      </c>
    </row>
    <row r="771" spans="1:4" ht="19.899999999999999" customHeight="1">
      <c r="A771" s="11" t="s">
        <v>12</v>
      </c>
      <c r="B771" s="14" t="s">
        <v>41</v>
      </c>
      <c r="C771" s="12"/>
      <c r="D771" s="12">
        <v>1987</v>
      </c>
    </row>
    <row r="772" spans="1:4" ht="19.899999999999999" customHeight="1">
      <c r="A772" s="11" t="s">
        <v>13</v>
      </c>
      <c r="B772" s="14" t="s">
        <v>41</v>
      </c>
      <c r="C772" s="12"/>
      <c r="D772" s="12">
        <v>1987</v>
      </c>
    </row>
    <row r="773" spans="1:4" ht="19.899999999999999" customHeight="1">
      <c r="A773" s="11" t="s">
        <v>14</v>
      </c>
      <c r="B773" s="14" t="s">
        <v>41</v>
      </c>
      <c r="C773" s="12"/>
      <c r="D773" s="12">
        <v>1987</v>
      </c>
    </row>
    <row r="774" spans="1:4" ht="19.899999999999999" customHeight="1">
      <c r="A774" s="11" t="s">
        <v>15</v>
      </c>
      <c r="B774" s="14" t="s">
        <v>41</v>
      </c>
      <c r="C774" s="12"/>
      <c r="D774" s="12">
        <v>1987</v>
      </c>
    </row>
    <row r="775" spans="1:4" ht="19.899999999999999" customHeight="1">
      <c r="A775" s="11" t="s">
        <v>16</v>
      </c>
      <c r="B775" s="14" t="s">
        <v>41</v>
      </c>
      <c r="C775" s="12"/>
      <c r="D775" s="12">
        <v>1987</v>
      </c>
    </row>
    <row r="776" spans="1:4" ht="19.899999999999999" customHeight="1">
      <c r="A776" s="11" t="s">
        <v>17</v>
      </c>
      <c r="B776" s="14" t="s">
        <v>41</v>
      </c>
      <c r="C776" s="12"/>
      <c r="D776" s="12">
        <v>1987</v>
      </c>
    </row>
    <row r="777" spans="1:4" ht="19.899999999999999" customHeight="1">
      <c r="A777" s="11" t="s">
        <v>18</v>
      </c>
      <c r="B777" s="14" t="s">
        <v>41</v>
      </c>
      <c r="C777" s="12"/>
      <c r="D777" s="12">
        <v>1987</v>
      </c>
    </row>
    <row r="778" spans="1:4" ht="19.899999999999999" customHeight="1">
      <c r="A778" s="11" t="s">
        <v>19</v>
      </c>
      <c r="B778" s="14" t="s">
        <v>41</v>
      </c>
      <c r="C778" s="12"/>
      <c r="D778" s="12">
        <v>1987</v>
      </c>
    </row>
    <row r="779" spans="1:4" ht="19.899999999999999" customHeight="1">
      <c r="A779" s="11" t="s">
        <v>20</v>
      </c>
      <c r="B779" s="14" t="s">
        <v>41</v>
      </c>
      <c r="C779" s="12">
        <v>0</v>
      </c>
      <c r="D779" s="12">
        <v>1987</v>
      </c>
    </row>
    <row r="780" spans="1:4" ht="19.899999999999999" customHeight="1">
      <c r="A780" s="11" t="s">
        <v>21</v>
      </c>
      <c r="B780" s="14" t="s">
        <v>41</v>
      </c>
      <c r="C780" s="12"/>
      <c r="D780" s="12">
        <v>1987</v>
      </c>
    </row>
    <row r="781" spans="1:4" ht="19.899999999999999" customHeight="1">
      <c r="A781" s="11" t="s">
        <v>22</v>
      </c>
      <c r="B781" s="14" t="s">
        <v>41</v>
      </c>
      <c r="C781" s="12"/>
      <c r="D781" s="12">
        <v>1987</v>
      </c>
    </row>
    <row r="782" spans="1:4" ht="19.899999999999999" customHeight="1">
      <c r="A782" s="11" t="s">
        <v>23</v>
      </c>
      <c r="B782" s="14" t="s">
        <v>41</v>
      </c>
      <c r="C782" s="12"/>
      <c r="D782" s="12">
        <v>1987</v>
      </c>
    </row>
    <row r="783" spans="1:4" ht="19.899999999999999" customHeight="1">
      <c r="A783" s="11" t="s">
        <v>24</v>
      </c>
      <c r="B783" s="14" t="s">
        <v>41</v>
      </c>
      <c r="C783" s="12"/>
      <c r="D783" s="12">
        <v>1987</v>
      </c>
    </row>
    <row r="784" spans="1:4" ht="19.899999999999999" customHeight="1">
      <c r="A784" s="11" t="s">
        <v>25</v>
      </c>
      <c r="B784" s="14" t="s">
        <v>41</v>
      </c>
      <c r="C784" s="12"/>
      <c r="D784" s="12">
        <v>1987</v>
      </c>
    </row>
    <row r="785" spans="1:4" ht="19.899999999999999" customHeight="1">
      <c r="A785" s="11" t="s">
        <v>26</v>
      </c>
      <c r="B785" s="14" t="s">
        <v>41</v>
      </c>
      <c r="C785" s="12"/>
      <c r="D785" s="12">
        <v>1987</v>
      </c>
    </row>
    <row r="786" spans="1:4" ht="19.899999999999999" customHeight="1">
      <c r="A786" s="11" t="s">
        <v>27</v>
      </c>
      <c r="B786" s="14" t="s">
        <v>41</v>
      </c>
      <c r="C786" s="12"/>
      <c r="D786" s="12">
        <v>1987</v>
      </c>
    </row>
    <row r="787" spans="1:4" ht="19.899999999999999" customHeight="1">
      <c r="A787" s="11" t="s">
        <v>28</v>
      </c>
      <c r="B787" s="14" t="s">
        <v>41</v>
      </c>
      <c r="C787" s="12"/>
      <c r="D787" s="12">
        <v>1987</v>
      </c>
    </row>
    <row r="788" spans="1:4" ht="19.899999999999999" customHeight="1">
      <c r="A788" s="11" t="s">
        <v>29</v>
      </c>
      <c r="B788" s="14" t="s">
        <v>41</v>
      </c>
      <c r="C788" s="12"/>
      <c r="D788" s="12">
        <v>1987</v>
      </c>
    </row>
    <row r="789" spans="1:4" ht="19.899999999999999" customHeight="1">
      <c r="A789" s="11" t="s">
        <v>4</v>
      </c>
      <c r="B789" s="14" t="s">
        <v>41</v>
      </c>
      <c r="C789" s="12"/>
      <c r="D789" s="12">
        <v>1988</v>
      </c>
    </row>
    <row r="790" spans="1:4" ht="19.899999999999999" customHeight="1">
      <c r="A790" s="11" t="s">
        <v>5</v>
      </c>
      <c r="B790" s="14" t="s">
        <v>41</v>
      </c>
      <c r="C790" s="12"/>
      <c r="D790" s="12">
        <v>1988</v>
      </c>
    </row>
    <row r="791" spans="1:4" ht="19.899999999999999" customHeight="1">
      <c r="A791" s="11" t="s">
        <v>6</v>
      </c>
      <c r="B791" s="14" t="s">
        <v>41</v>
      </c>
      <c r="C791" s="12"/>
      <c r="D791" s="12">
        <v>1988</v>
      </c>
    </row>
    <row r="792" spans="1:4" ht="19.899999999999999" customHeight="1">
      <c r="A792" s="11" t="s">
        <v>7</v>
      </c>
      <c r="B792" s="14" t="s">
        <v>41</v>
      </c>
      <c r="C792" s="12"/>
      <c r="D792" s="12">
        <v>1988</v>
      </c>
    </row>
    <row r="793" spans="1:4" ht="19.899999999999999" customHeight="1">
      <c r="A793" s="11" t="s">
        <v>8</v>
      </c>
      <c r="B793" s="14" t="s">
        <v>41</v>
      </c>
      <c r="C793" s="12"/>
      <c r="D793" s="12">
        <v>1988</v>
      </c>
    </row>
    <row r="794" spans="1:4" ht="19.899999999999999" customHeight="1">
      <c r="A794" s="11" t="s">
        <v>1</v>
      </c>
      <c r="B794" s="14" t="s">
        <v>41</v>
      </c>
      <c r="C794" s="12"/>
      <c r="D794" s="12">
        <v>1988</v>
      </c>
    </row>
    <row r="795" spans="1:4" ht="19.899999999999999" customHeight="1">
      <c r="A795" s="11" t="s">
        <v>9</v>
      </c>
      <c r="B795" s="14" t="s">
        <v>41</v>
      </c>
      <c r="C795" s="12"/>
      <c r="D795" s="12">
        <v>1988</v>
      </c>
    </row>
    <row r="796" spans="1:4" ht="19.899999999999999" customHeight="1">
      <c r="A796" s="11" t="s">
        <v>10</v>
      </c>
      <c r="B796" s="14" t="s">
        <v>41</v>
      </c>
      <c r="C796" s="12"/>
      <c r="D796" s="12">
        <v>1988</v>
      </c>
    </row>
    <row r="797" spans="1:4" ht="19.899999999999999" customHeight="1">
      <c r="A797" s="11" t="s">
        <v>11</v>
      </c>
      <c r="B797" s="14" t="s">
        <v>41</v>
      </c>
      <c r="C797" s="12">
        <v>19.3154697418213</v>
      </c>
      <c r="D797" s="12">
        <v>1988</v>
      </c>
    </row>
    <row r="798" spans="1:4" ht="19.899999999999999" customHeight="1">
      <c r="A798" s="11" t="s">
        <v>38</v>
      </c>
      <c r="B798" s="14" t="s">
        <v>41</v>
      </c>
      <c r="C798" s="12"/>
      <c r="D798" s="12">
        <v>1988</v>
      </c>
    </row>
    <row r="799" spans="1:4" ht="19.899999999999999" customHeight="1">
      <c r="A799" s="11" t="s">
        <v>12</v>
      </c>
      <c r="B799" s="14" t="s">
        <v>41</v>
      </c>
      <c r="C799" s="12"/>
      <c r="D799" s="12">
        <v>1988</v>
      </c>
    </row>
    <row r="800" spans="1:4" ht="19.899999999999999" customHeight="1">
      <c r="A800" s="11" t="s">
        <v>13</v>
      </c>
      <c r="B800" s="14" t="s">
        <v>41</v>
      </c>
      <c r="C800" s="12"/>
      <c r="D800" s="12">
        <v>1988</v>
      </c>
    </row>
    <row r="801" spans="1:4" ht="19.899999999999999" customHeight="1">
      <c r="A801" s="11" t="s">
        <v>14</v>
      </c>
      <c r="B801" s="14" t="s">
        <v>41</v>
      </c>
      <c r="C801" s="12"/>
      <c r="D801" s="12">
        <v>1988</v>
      </c>
    </row>
    <row r="802" spans="1:4" ht="19.899999999999999" customHeight="1">
      <c r="A802" s="11" t="s">
        <v>15</v>
      </c>
      <c r="B802" s="14" t="s">
        <v>41</v>
      </c>
      <c r="C802" s="12"/>
      <c r="D802" s="12">
        <v>1988</v>
      </c>
    </row>
    <row r="803" spans="1:4" ht="19.899999999999999" customHeight="1">
      <c r="A803" s="11" t="s">
        <v>16</v>
      </c>
      <c r="B803" s="14" t="s">
        <v>41</v>
      </c>
      <c r="C803" s="12"/>
      <c r="D803" s="12">
        <v>1988</v>
      </c>
    </row>
    <row r="804" spans="1:4" ht="19.899999999999999" customHeight="1">
      <c r="A804" s="11" t="s">
        <v>17</v>
      </c>
      <c r="B804" s="14" t="s">
        <v>41</v>
      </c>
      <c r="C804" s="12"/>
      <c r="D804" s="12">
        <v>1988</v>
      </c>
    </row>
    <row r="805" spans="1:4" ht="19.899999999999999" customHeight="1">
      <c r="A805" s="11" t="s">
        <v>18</v>
      </c>
      <c r="B805" s="14" t="s">
        <v>41</v>
      </c>
      <c r="C805" s="12"/>
      <c r="D805" s="12">
        <v>1988</v>
      </c>
    </row>
    <row r="806" spans="1:4" ht="19.899999999999999" customHeight="1">
      <c r="A806" s="11" t="s">
        <v>19</v>
      </c>
      <c r="B806" s="14" t="s">
        <v>41</v>
      </c>
      <c r="C806" s="12"/>
      <c r="D806" s="12">
        <v>1988</v>
      </c>
    </row>
    <row r="807" spans="1:4" ht="19.899999999999999" customHeight="1">
      <c r="A807" s="11" t="s">
        <v>20</v>
      </c>
      <c r="B807" s="14" t="s">
        <v>41</v>
      </c>
      <c r="C807" s="12"/>
      <c r="D807" s="12">
        <v>1988</v>
      </c>
    </row>
    <row r="808" spans="1:4" ht="19.899999999999999" customHeight="1">
      <c r="A808" s="11" t="s">
        <v>21</v>
      </c>
      <c r="B808" s="14" t="s">
        <v>41</v>
      </c>
      <c r="C808" s="12"/>
      <c r="D808" s="12">
        <v>1988</v>
      </c>
    </row>
    <row r="809" spans="1:4" ht="19.899999999999999" customHeight="1">
      <c r="A809" s="11" t="s">
        <v>22</v>
      </c>
      <c r="B809" s="14" t="s">
        <v>41</v>
      </c>
      <c r="C809" s="12"/>
      <c r="D809" s="12">
        <v>1988</v>
      </c>
    </row>
    <row r="810" spans="1:4" ht="19.899999999999999" customHeight="1">
      <c r="A810" s="11" t="s">
        <v>23</v>
      </c>
      <c r="B810" s="14" t="s">
        <v>41</v>
      </c>
      <c r="C810" s="12"/>
      <c r="D810" s="12">
        <v>1988</v>
      </c>
    </row>
    <row r="811" spans="1:4" ht="19.899999999999999" customHeight="1">
      <c r="A811" s="11" t="s">
        <v>24</v>
      </c>
      <c r="B811" s="14" t="s">
        <v>41</v>
      </c>
      <c r="C811" s="12"/>
      <c r="D811" s="12">
        <v>1988</v>
      </c>
    </row>
    <row r="812" spans="1:4" ht="19.899999999999999" customHeight="1">
      <c r="A812" s="11" t="s">
        <v>25</v>
      </c>
      <c r="B812" s="14" t="s">
        <v>41</v>
      </c>
      <c r="C812" s="12"/>
      <c r="D812" s="12">
        <v>1988</v>
      </c>
    </row>
    <row r="813" spans="1:4" ht="19.899999999999999" customHeight="1">
      <c r="A813" s="11" t="s">
        <v>26</v>
      </c>
      <c r="B813" s="14" t="s">
        <v>41</v>
      </c>
      <c r="C813" s="12"/>
      <c r="D813" s="12">
        <v>1988</v>
      </c>
    </row>
    <row r="814" spans="1:4" ht="19.899999999999999" customHeight="1">
      <c r="A814" s="11" t="s">
        <v>27</v>
      </c>
      <c r="B814" s="14" t="s">
        <v>41</v>
      </c>
      <c r="C814" s="12"/>
      <c r="D814" s="12">
        <v>1988</v>
      </c>
    </row>
    <row r="815" spans="1:4" ht="19.899999999999999" customHeight="1">
      <c r="A815" s="11" t="s">
        <v>28</v>
      </c>
      <c r="B815" s="14" t="s">
        <v>41</v>
      </c>
      <c r="C815" s="12"/>
      <c r="D815" s="12">
        <v>1988</v>
      </c>
    </row>
    <row r="816" spans="1:4" ht="19.899999999999999" customHeight="1">
      <c r="A816" s="11" t="s">
        <v>29</v>
      </c>
      <c r="B816" s="14" t="s">
        <v>41</v>
      </c>
      <c r="C816" s="12"/>
      <c r="D816" s="12">
        <v>1988</v>
      </c>
    </row>
    <row r="817" spans="1:4" ht="19.899999999999999" customHeight="1">
      <c r="A817" s="11" t="s">
        <v>4</v>
      </c>
      <c r="B817" s="14" t="s">
        <v>41</v>
      </c>
      <c r="C817" s="12"/>
      <c r="D817" s="12">
        <v>1989</v>
      </c>
    </row>
    <row r="818" spans="1:4" ht="19.899999999999999" customHeight="1">
      <c r="A818" s="11" t="s">
        <v>5</v>
      </c>
      <c r="B818" s="14" t="s">
        <v>41</v>
      </c>
      <c r="C818" s="12"/>
      <c r="D818" s="12">
        <v>1989</v>
      </c>
    </row>
    <row r="819" spans="1:4" ht="19.899999999999999" customHeight="1">
      <c r="A819" s="11" t="s">
        <v>6</v>
      </c>
      <c r="B819" s="14" t="s">
        <v>41</v>
      </c>
      <c r="C819" s="12"/>
      <c r="D819" s="12">
        <v>1989</v>
      </c>
    </row>
    <row r="820" spans="1:4" ht="19.899999999999999" customHeight="1">
      <c r="A820" s="11" t="s">
        <v>7</v>
      </c>
      <c r="B820" s="14" t="s">
        <v>41</v>
      </c>
      <c r="C820" s="12"/>
      <c r="D820" s="12">
        <v>1989</v>
      </c>
    </row>
    <row r="821" spans="1:4" ht="19.899999999999999" customHeight="1">
      <c r="A821" s="11" t="s">
        <v>8</v>
      </c>
      <c r="B821" s="14" t="s">
        <v>41</v>
      </c>
      <c r="C821" s="12"/>
      <c r="D821" s="12">
        <v>1989</v>
      </c>
    </row>
    <row r="822" spans="1:4" ht="19.899999999999999" customHeight="1">
      <c r="A822" s="11" t="s">
        <v>1</v>
      </c>
      <c r="B822" s="14" t="s">
        <v>41</v>
      </c>
      <c r="C822" s="12"/>
      <c r="D822" s="12">
        <v>1989</v>
      </c>
    </row>
    <row r="823" spans="1:4" ht="19.899999999999999" customHeight="1">
      <c r="A823" s="11" t="s">
        <v>9</v>
      </c>
      <c r="B823" s="14" t="s">
        <v>41</v>
      </c>
      <c r="C823" s="12"/>
      <c r="D823" s="12">
        <v>1989</v>
      </c>
    </row>
    <row r="824" spans="1:4" ht="19.899999999999999" customHeight="1">
      <c r="A824" s="11" t="s">
        <v>10</v>
      </c>
      <c r="B824" s="14" t="s">
        <v>41</v>
      </c>
      <c r="C824" s="12"/>
      <c r="D824" s="12">
        <v>1989</v>
      </c>
    </row>
    <row r="825" spans="1:4" ht="19.899999999999999" customHeight="1">
      <c r="A825" s="11" t="s">
        <v>11</v>
      </c>
      <c r="B825" s="14" t="s">
        <v>41</v>
      </c>
      <c r="C825" s="12">
        <v>16.955249786376999</v>
      </c>
      <c r="D825" s="12">
        <v>1989</v>
      </c>
    </row>
    <row r="826" spans="1:4" ht="19.899999999999999" customHeight="1">
      <c r="A826" s="11" t="s">
        <v>38</v>
      </c>
      <c r="B826" s="14" t="s">
        <v>41</v>
      </c>
      <c r="C826" s="12"/>
      <c r="D826" s="12">
        <v>1989</v>
      </c>
    </row>
    <row r="827" spans="1:4" ht="19.899999999999999" customHeight="1">
      <c r="A827" s="11" t="s">
        <v>12</v>
      </c>
      <c r="B827" s="14" t="s">
        <v>41</v>
      </c>
      <c r="C827" s="12"/>
      <c r="D827" s="12">
        <v>1989</v>
      </c>
    </row>
    <row r="828" spans="1:4" ht="19.899999999999999" customHeight="1">
      <c r="A828" s="11" t="s">
        <v>13</v>
      </c>
      <c r="B828" s="14" t="s">
        <v>41</v>
      </c>
      <c r="C828" s="12"/>
      <c r="D828" s="12">
        <v>1989</v>
      </c>
    </row>
    <row r="829" spans="1:4" ht="19.899999999999999" customHeight="1">
      <c r="A829" s="11" t="s">
        <v>14</v>
      </c>
      <c r="B829" s="14" t="s">
        <v>41</v>
      </c>
      <c r="C829" s="12"/>
      <c r="D829" s="12">
        <v>1989</v>
      </c>
    </row>
    <row r="830" spans="1:4" ht="19.899999999999999" customHeight="1">
      <c r="A830" s="11" t="s">
        <v>15</v>
      </c>
      <c r="B830" s="14" t="s">
        <v>41</v>
      </c>
      <c r="C830" s="12"/>
      <c r="D830" s="12">
        <v>1989</v>
      </c>
    </row>
    <row r="831" spans="1:4" ht="19.899999999999999" customHeight="1">
      <c r="A831" s="11" t="s">
        <v>16</v>
      </c>
      <c r="B831" s="14" t="s">
        <v>41</v>
      </c>
      <c r="C831" s="12"/>
      <c r="D831" s="12">
        <v>1989</v>
      </c>
    </row>
    <row r="832" spans="1:4" ht="19.899999999999999" customHeight="1">
      <c r="A832" s="11" t="s">
        <v>17</v>
      </c>
      <c r="B832" s="14" t="s">
        <v>41</v>
      </c>
      <c r="C832" s="12"/>
      <c r="D832" s="12">
        <v>1989</v>
      </c>
    </row>
    <row r="833" spans="1:4" ht="19.899999999999999" customHeight="1">
      <c r="A833" s="11" t="s">
        <v>18</v>
      </c>
      <c r="B833" s="14" t="s">
        <v>41</v>
      </c>
      <c r="C833" s="12"/>
      <c r="D833" s="12">
        <v>1989</v>
      </c>
    </row>
    <row r="834" spans="1:4" ht="19.899999999999999" customHeight="1">
      <c r="A834" s="11" t="s">
        <v>19</v>
      </c>
      <c r="B834" s="14" t="s">
        <v>41</v>
      </c>
      <c r="C834" s="12"/>
      <c r="D834" s="12">
        <v>1989</v>
      </c>
    </row>
    <row r="835" spans="1:4" ht="19.899999999999999" customHeight="1">
      <c r="A835" s="11" t="s">
        <v>20</v>
      </c>
      <c r="B835" s="14" t="s">
        <v>41</v>
      </c>
      <c r="C835" s="12"/>
      <c r="D835" s="12">
        <v>1989</v>
      </c>
    </row>
    <row r="836" spans="1:4" ht="19.899999999999999" customHeight="1">
      <c r="A836" s="11" t="s">
        <v>21</v>
      </c>
      <c r="B836" s="14" t="s">
        <v>41</v>
      </c>
      <c r="C836" s="12"/>
      <c r="D836" s="12">
        <v>1989</v>
      </c>
    </row>
    <row r="837" spans="1:4" ht="19.899999999999999" customHeight="1">
      <c r="A837" s="11" t="s">
        <v>22</v>
      </c>
      <c r="B837" s="14" t="s">
        <v>41</v>
      </c>
      <c r="C837" s="12"/>
      <c r="D837" s="12">
        <v>1989</v>
      </c>
    </row>
    <row r="838" spans="1:4" ht="19.899999999999999" customHeight="1">
      <c r="A838" s="11" t="s">
        <v>23</v>
      </c>
      <c r="B838" s="14" t="s">
        <v>41</v>
      </c>
      <c r="C838" s="12"/>
      <c r="D838" s="12">
        <v>1989</v>
      </c>
    </row>
    <row r="839" spans="1:4" ht="19.899999999999999" customHeight="1">
      <c r="A839" s="11" t="s">
        <v>24</v>
      </c>
      <c r="B839" s="14" t="s">
        <v>41</v>
      </c>
      <c r="C839" s="12"/>
      <c r="D839" s="12">
        <v>1989</v>
      </c>
    </row>
    <row r="840" spans="1:4" ht="19.899999999999999" customHeight="1">
      <c r="A840" s="11" t="s">
        <v>25</v>
      </c>
      <c r="B840" s="14" t="s">
        <v>41</v>
      </c>
      <c r="C840" s="12"/>
      <c r="D840" s="12">
        <v>1989</v>
      </c>
    </row>
    <row r="841" spans="1:4" ht="19.899999999999999" customHeight="1">
      <c r="A841" s="11" t="s">
        <v>26</v>
      </c>
      <c r="B841" s="14" t="s">
        <v>41</v>
      </c>
      <c r="C841" s="12"/>
      <c r="D841" s="12">
        <v>1989</v>
      </c>
    </row>
    <row r="842" spans="1:4" ht="19.899999999999999" customHeight="1">
      <c r="A842" s="11" t="s">
        <v>27</v>
      </c>
      <c r="B842" s="14" t="s">
        <v>41</v>
      </c>
      <c r="C842" s="12"/>
      <c r="D842" s="12">
        <v>1989</v>
      </c>
    </row>
    <row r="843" spans="1:4" ht="19.899999999999999" customHeight="1">
      <c r="A843" s="11" t="s">
        <v>28</v>
      </c>
      <c r="B843" s="14" t="s">
        <v>41</v>
      </c>
      <c r="C843" s="12"/>
      <c r="D843" s="12">
        <v>1989</v>
      </c>
    </row>
    <row r="844" spans="1:4" ht="19.899999999999999" customHeight="1">
      <c r="A844" s="11" t="s">
        <v>29</v>
      </c>
      <c r="B844" s="14" t="s">
        <v>41</v>
      </c>
      <c r="C844" s="12"/>
      <c r="D844" s="12">
        <v>1989</v>
      </c>
    </row>
    <row r="845" spans="1:4" ht="19.899999999999999" customHeight="1">
      <c r="A845" s="11" t="s">
        <v>4</v>
      </c>
      <c r="B845" s="14" t="s">
        <v>41</v>
      </c>
      <c r="C845" s="12"/>
      <c r="D845" s="12">
        <v>1990</v>
      </c>
    </row>
    <row r="846" spans="1:4" ht="19.899999999999999" customHeight="1">
      <c r="A846" s="11" t="s">
        <v>5</v>
      </c>
      <c r="B846" s="14" t="s">
        <v>41</v>
      </c>
      <c r="C846" s="12"/>
      <c r="D846" s="12">
        <v>1990</v>
      </c>
    </row>
    <row r="847" spans="1:4" ht="19.899999999999999" customHeight="1">
      <c r="A847" s="11" t="s">
        <v>6</v>
      </c>
      <c r="B847" s="14" t="s">
        <v>41</v>
      </c>
      <c r="C847" s="12"/>
      <c r="D847" s="12">
        <v>1990</v>
      </c>
    </row>
    <row r="848" spans="1:4" ht="19.899999999999999" customHeight="1">
      <c r="A848" s="11" t="s">
        <v>7</v>
      </c>
      <c r="B848" s="14" t="s">
        <v>41</v>
      </c>
      <c r="C848" s="12"/>
      <c r="D848" s="12">
        <v>1990</v>
      </c>
    </row>
    <row r="849" spans="1:4" ht="19.899999999999999" customHeight="1">
      <c r="A849" s="11" t="s">
        <v>8</v>
      </c>
      <c r="B849" s="14" t="s">
        <v>41</v>
      </c>
      <c r="C849" s="12"/>
      <c r="D849" s="12">
        <v>1990</v>
      </c>
    </row>
    <row r="850" spans="1:4" ht="19.899999999999999" customHeight="1">
      <c r="A850" s="11" t="s">
        <v>1</v>
      </c>
      <c r="B850" s="14" t="s">
        <v>41</v>
      </c>
      <c r="C850" s="12"/>
      <c r="D850" s="12">
        <v>1990</v>
      </c>
    </row>
    <row r="851" spans="1:4" ht="19.899999999999999" customHeight="1">
      <c r="A851" s="11" t="s">
        <v>9</v>
      </c>
      <c r="B851" s="14" t="s">
        <v>41</v>
      </c>
      <c r="C851" s="12"/>
      <c r="D851" s="12">
        <v>1990</v>
      </c>
    </row>
    <row r="852" spans="1:4" ht="19.899999999999999" customHeight="1">
      <c r="A852" s="11" t="s">
        <v>10</v>
      </c>
      <c r="B852" s="14" t="s">
        <v>41</v>
      </c>
      <c r="C852" s="12"/>
      <c r="D852" s="12">
        <v>1990</v>
      </c>
    </row>
    <row r="853" spans="1:4" ht="19.899999999999999" customHeight="1">
      <c r="A853" s="11" t="s">
        <v>11</v>
      </c>
      <c r="B853" s="14" t="s">
        <v>41</v>
      </c>
      <c r="C853" s="12"/>
      <c r="D853" s="12">
        <v>1990</v>
      </c>
    </row>
    <row r="854" spans="1:4" ht="19.899999999999999" customHeight="1">
      <c r="A854" s="11" t="s">
        <v>38</v>
      </c>
      <c r="B854" s="14" t="s">
        <v>41</v>
      </c>
      <c r="C854" s="12"/>
      <c r="D854" s="12">
        <v>1990</v>
      </c>
    </row>
    <row r="855" spans="1:4" ht="19.899999999999999" customHeight="1">
      <c r="A855" s="11" t="s">
        <v>12</v>
      </c>
      <c r="B855" s="14" t="s">
        <v>41</v>
      </c>
      <c r="C855" s="12"/>
      <c r="D855" s="12">
        <v>1990</v>
      </c>
    </row>
    <row r="856" spans="1:4" ht="19.899999999999999" customHeight="1">
      <c r="A856" s="11" t="s">
        <v>13</v>
      </c>
      <c r="B856" s="14" t="s">
        <v>41</v>
      </c>
      <c r="C856" s="12"/>
      <c r="D856" s="12">
        <v>1990</v>
      </c>
    </row>
    <row r="857" spans="1:4" ht="19.899999999999999" customHeight="1">
      <c r="A857" s="11" t="s">
        <v>14</v>
      </c>
      <c r="B857" s="14" t="s">
        <v>41</v>
      </c>
      <c r="C857" s="12"/>
      <c r="D857" s="12">
        <v>1990</v>
      </c>
    </row>
    <row r="858" spans="1:4" ht="19.899999999999999" customHeight="1">
      <c r="A858" s="11" t="s">
        <v>15</v>
      </c>
      <c r="B858" s="14" t="s">
        <v>41</v>
      </c>
      <c r="C858" s="12"/>
      <c r="D858" s="12">
        <v>1990</v>
      </c>
    </row>
    <row r="859" spans="1:4" ht="19.899999999999999" customHeight="1">
      <c r="A859" s="11" t="s">
        <v>16</v>
      </c>
      <c r="B859" s="14" t="s">
        <v>41</v>
      </c>
      <c r="C859" s="12"/>
      <c r="D859" s="12">
        <v>1990</v>
      </c>
    </row>
    <row r="860" spans="1:4" ht="19.899999999999999" customHeight="1">
      <c r="A860" s="11" t="s">
        <v>17</v>
      </c>
      <c r="B860" s="14" t="s">
        <v>41</v>
      </c>
      <c r="C860" s="12"/>
      <c r="D860" s="12">
        <v>1990</v>
      </c>
    </row>
    <row r="861" spans="1:4" ht="19.899999999999999" customHeight="1">
      <c r="A861" s="11" t="s">
        <v>18</v>
      </c>
      <c r="B861" s="14" t="s">
        <v>41</v>
      </c>
      <c r="C861" s="12"/>
      <c r="D861" s="12">
        <v>1990</v>
      </c>
    </row>
    <row r="862" spans="1:4" ht="19.899999999999999" customHeight="1">
      <c r="A862" s="11" t="s">
        <v>19</v>
      </c>
      <c r="B862" s="14" t="s">
        <v>41</v>
      </c>
      <c r="C862" s="12"/>
      <c r="D862" s="12">
        <v>1990</v>
      </c>
    </row>
    <row r="863" spans="1:4" ht="19.899999999999999" customHeight="1">
      <c r="A863" s="11" t="s">
        <v>20</v>
      </c>
      <c r="B863" s="14" t="s">
        <v>41</v>
      </c>
      <c r="C863" s="12"/>
      <c r="D863" s="12">
        <v>1990</v>
      </c>
    </row>
    <row r="864" spans="1:4" ht="19.899999999999999" customHeight="1">
      <c r="A864" s="11" t="s">
        <v>21</v>
      </c>
      <c r="B864" s="14" t="s">
        <v>41</v>
      </c>
      <c r="C864" s="12"/>
      <c r="D864" s="12">
        <v>1990</v>
      </c>
    </row>
    <row r="865" spans="1:4" ht="19.899999999999999" customHeight="1">
      <c r="A865" s="11" t="s">
        <v>22</v>
      </c>
      <c r="B865" s="14" t="s">
        <v>41</v>
      </c>
      <c r="C865" s="12"/>
      <c r="D865" s="12">
        <v>1990</v>
      </c>
    </row>
    <row r="866" spans="1:4" ht="19.899999999999999" customHeight="1">
      <c r="A866" s="11" t="s">
        <v>23</v>
      </c>
      <c r="B866" s="14" t="s">
        <v>41</v>
      </c>
      <c r="C866" s="12"/>
      <c r="D866" s="12">
        <v>1990</v>
      </c>
    </row>
    <row r="867" spans="1:4" ht="19.899999999999999" customHeight="1">
      <c r="A867" s="11" t="s">
        <v>24</v>
      </c>
      <c r="B867" s="14" t="s">
        <v>41</v>
      </c>
      <c r="C867" s="12"/>
      <c r="D867" s="12">
        <v>1990</v>
      </c>
    </row>
    <row r="868" spans="1:4" ht="19.899999999999999" customHeight="1">
      <c r="A868" s="11" t="s">
        <v>25</v>
      </c>
      <c r="B868" s="14" t="s">
        <v>41</v>
      </c>
      <c r="C868" s="12"/>
      <c r="D868" s="12">
        <v>1990</v>
      </c>
    </row>
    <row r="869" spans="1:4" ht="19.899999999999999" customHeight="1">
      <c r="A869" s="11" t="s">
        <v>26</v>
      </c>
      <c r="B869" s="14" t="s">
        <v>41</v>
      </c>
      <c r="C869" s="12"/>
      <c r="D869" s="12">
        <v>1990</v>
      </c>
    </row>
    <row r="870" spans="1:4" ht="19.899999999999999" customHeight="1">
      <c r="A870" s="11" t="s">
        <v>27</v>
      </c>
      <c r="B870" s="14" t="s">
        <v>41</v>
      </c>
      <c r="C870" s="12"/>
      <c r="D870" s="12">
        <v>1990</v>
      </c>
    </row>
    <row r="871" spans="1:4" ht="19.899999999999999" customHeight="1">
      <c r="A871" s="11" t="s">
        <v>28</v>
      </c>
      <c r="B871" s="14" t="s">
        <v>41</v>
      </c>
      <c r="C871" s="12"/>
      <c r="D871" s="12">
        <v>1990</v>
      </c>
    </row>
    <row r="872" spans="1:4" ht="19.899999999999999" customHeight="1">
      <c r="A872" s="11" t="s">
        <v>29</v>
      </c>
      <c r="B872" s="14" t="s">
        <v>41</v>
      </c>
      <c r="C872" s="12"/>
      <c r="D872" s="12">
        <v>1990</v>
      </c>
    </row>
    <row r="873" spans="1:4" ht="19.899999999999999" customHeight="1">
      <c r="A873" s="11" t="s">
        <v>4</v>
      </c>
      <c r="B873" s="14" t="s">
        <v>41</v>
      </c>
      <c r="C873" s="12">
        <v>18.864030838012699</v>
      </c>
      <c r="D873" s="12">
        <v>1991</v>
      </c>
    </row>
    <row r="874" spans="1:4" ht="19.899999999999999" customHeight="1">
      <c r="A874" s="11" t="s">
        <v>5</v>
      </c>
      <c r="B874" s="14" t="s">
        <v>41</v>
      </c>
      <c r="C874" s="12"/>
      <c r="D874" s="12">
        <v>1991</v>
      </c>
    </row>
    <row r="875" spans="1:4" ht="19.899999999999999" customHeight="1">
      <c r="A875" s="11" t="s">
        <v>6</v>
      </c>
      <c r="B875" s="14" t="s">
        <v>41</v>
      </c>
      <c r="C875" s="12"/>
      <c r="D875" s="12">
        <v>1991</v>
      </c>
    </row>
    <row r="876" spans="1:4" ht="19.899999999999999" customHeight="1">
      <c r="A876" s="11" t="s">
        <v>7</v>
      </c>
      <c r="B876" s="14" t="s">
        <v>41</v>
      </c>
      <c r="C876" s="12"/>
      <c r="D876" s="12">
        <v>1991</v>
      </c>
    </row>
    <row r="877" spans="1:4" ht="19.899999999999999" customHeight="1">
      <c r="A877" s="11" t="s">
        <v>8</v>
      </c>
      <c r="B877" s="14" t="s">
        <v>41</v>
      </c>
      <c r="C877" s="12"/>
      <c r="D877" s="12">
        <v>1991</v>
      </c>
    </row>
    <row r="878" spans="1:4" ht="19.899999999999999" customHeight="1">
      <c r="A878" s="11" t="s">
        <v>1</v>
      </c>
      <c r="B878" s="14" t="s">
        <v>41</v>
      </c>
      <c r="C878" s="12"/>
      <c r="D878" s="12">
        <v>1991</v>
      </c>
    </row>
    <row r="879" spans="1:4" ht="19.899999999999999" customHeight="1">
      <c r="A879" s="11" t="s">
        <v>9</v>
      </c>
      <c r="B879" s="14" t="s">
        <v>41</v>
      </c>
      <c r="C879" s="12">
        <v>9.9965295791625994</v>
      </c>
      <c r="D879" s="12">
        <v>1991</v>
      </c>
    </row>
    <row r="880" spans="1:4" ht="19.899999999999999" customHeight="1">
      <c r="A880" s="11" t="s">
        <v>10</v>
      </c>
      <c r="B880" s="14" t="s">
        <v>41</v>
      </c>
      <c r="C880" s="12"/>
      <c r="D880" s="12">
        <v>1991</v>
      </c>
    </row>
    <row r="881" spans="1:4" ht="19.899999999999999" customHeight="1">
      <c r="A881" s="11" t="s">
        <v>11</v>
      </c>
      <c r="B881" s="14" t="s">
        <v>41</v>
      </c>
      <c r="C881" s="12">
        <v>18.4959106445313</v>
      </c>
      <c r="D881" s="12">
        <v>1991</v>
      </c>
    </row>
    <row r="882" spans="1:4" ht="19.899999999999999" customHeight="1">
      <c r="A882" s="11" t="s">
        <v>38</v>
      </c>
      <c r="B882" s="14" t="s">
        <v>41</v>
      </c>
      <c r="C882" s="12"/>
      <c r="D882" s="12">
        <v>1991</v>
      </c>
    </row>
    <row r="883" spans="1:4" ht="19.899999999999999" customHeight="1">
      <c r="A883" s="11" t="s">
        <v>12</v>
      </c>
      <c r="B883" s="14" t="s">
        <v>41</v>
      </c>
      <c r="C883" s="12"/>
      <c r="D883" s="12">
        <v>1991</v>
      </c>
    </row>
    <row r="884" spans="1:4" ht="19.899999999999999" customHeight="1">
      <c r="A884" s="11" t="s">
        <v>13</v>
      </c>
      <c r="B884" s="14" t="s">
        <v>41</v>
      </c>
      <c r="C884" s="12"/>
      <c r="D884" s="12">
        <v>1991</v>
      </c>
    </row>
    <row r="885" spans="1:4" ht="19.899999999999999" customHeight="1">
      <c r="A885" s="11" t="s">
        <v>14</v>
      </c>
      <c r="B885" s="14" t="s">
        <v>41</v>
      </c>
      <c r="C885" s="12"/>
      <c r="D885" s="12">
        <v>1991</v>
      </c>
    </row>
    <row r="886" spans="1:4" ht="19.899999999999999" customHeight="1">
      <c r="A886" s="11" t="s">
        <v>15</v>
      </c>
      <c r="B886" s="14" t="s">
        <v>41</v>
      </c>
      <c r="C886" s="12"/>
      <c r="D886" s="12">
        <v>1991</v>
      </c>
    </row>
    <row r="887" spans="1:4" ht="19.899999999999999" customHeight="1">
      <c r="A887" s="11" t="s">
        <v>16</v>
      </c>
      <c r="B887" s="14" t="s">
        <v>41</v>
      </c>
      <c r="C887" s="12"/>
      <c r="D887" s="12">
        <v>1991</v>
      </c>
    </row>
    <row r="888" spans="1:4" ht="19.899999999999999" customHeight="1">
      <c r="A888" s="11" t="s">
        <v>17</v>
      </c>
      <c r="B888" s="14" t="s">
        <v>41</v>
      </c>
      <c r="C888" s="12"/>
      <c r="D888" s="12">
        <v>1991</v>
      </c>
    </row>
    <row r="889" spans="1:4" ht="19.899999999999999" customHeight="1">
      <c r="A889" s="11" t="s">
        <v>18</v>
      </c>
      <c r="B889" s="14" t="s">
        <v>41</v>
      </c>
      <c r="C889" s="12"/>
      <c r="D889" s="12">
        <v>1991</v>
      </c>
    </row>
    <row r="890" spans="1:4" ht="19.899999999999999" customHeight="1">
      <c r="A890" s="11" t="s">
        <v>19</v>
      </c>
      <c r="B890" s="14" t="s">
        <v>41</v>
      </c>
      <c r="C890" s="12"/>
      <c r="D890" s="12">
        <v>1991</v>
      </c>
    </row>
    <row r="891" spans="1:4" ht="19.899999999999999" customHeight="1">
      <c r="A891" s="11" t="s">
        <v>20</v>
      </c>
      <c r="B891" s="14" t="s">
        <v>41</v>
      </c>
      <c r="C891" s="12"/>
      <c r="D891" s="12">
        <v>1991</v>
      </c>
    </row>
    <row r="892" spans="1:4" ht="19.899999999999999" customHeight="1">
      <c r="A892" s="11" t="s">
        <v>21</v>
      </c>
      <c r="B892" s="14" t="s">
        <v>41</v>
      </c>
      <c r="C892" s="12"/>
      <c r="D892" s="12">
        <v>1991</v>
      </c>
    </row>
    <row r="893" spans="1:4" ht="19.899999999999999" customHeight="1">
      <c r="A893" s="11" t="s">
        <v>22</v>
      </c>
      <c r="B893" s="14" t="s">
        <v>41</v>
      </c>
      <c r="C893" s="12"/>
      <c r="D893" s="12">
        <v>1991</v>
      </c>
    </row>
    <row r="894" spans="1:4" ht="19.899999999999999" customHeight="1">
      <c r="A894" s="11" t="s">
        <v>23</v>
      </c>
      <c r="B894" s="14" t="s">
        <v>41</v>
      </c>
      <c r="C894" s="12"/>
      <c r="D894" s="12">
        <v>1991</v>
      </c>
    </row>
    <row r="895" spans="1:4" ht="19.899999999999999" customHeight="1">
      <c r="A895" s="11" t="s">
        <v>24</v>
      </c>
      <c r="B895" s="14" t="s">
        <v>41</v>
      </c>
      <c r="C895" s="12">
        <v>10.8762302398682</v>
      </c>
      <c r="D895" s="12">
        <v>1991</v>
      </c>
    </row>
    <row r="896" spans="1:4" ht="19.899999999999999" customHeight="1">
      <c r="A896" s="11" t="s">
        <v>25</v>
      </c>
      <c r="B896" s="14" t="s">
        <v>41</v>
      </c>
      <c r="C896" s="12"/>
      <c r="D896" s="12">
        <v>1991</v>
      </c>
    </row>
    <row r="897" spans="1:4" ht="19.899999999999999" customHeight="1">
      <c r="A897" s="11" t="s">
        <v>26</v>
      </c>
      <c r="B897" s="14" t="s">
        <v>41</v>
      </c>
      <c r="C897" s="12"/>
      <c r="D897" s="12">
        <v>1991</v>
      </c>
    </row>
    <row r="898" spans="1:4" ht="19.899999999999999" customHeight="1">
      <c r="A898" s="11" t="s">
        <v>27</v>
      </c>
      <c r="B898" s="14" t="s">
        <v>41</v>
      </c>
      <c r="C898" s="12"/>
      <c r="D898" s="12">
        <v>1991</v>
      </c>
    </row>
    <row r="899" spans="1:4" ht="19.899999999999999" customHeight="1">
      <c r="A899" s="11" t="s">
        <v>28</v>
      </c>
      <c r="B899" s="14" t="s">
        <v>41</v>
      </c>
      <c r="C899" s="12"/>
      <c r="D899" s="12">
        <v>1991</v>
      </c>
    </row>
    <row r="900" spans="1:4" ht="19.899999999999999" customHeight="1">
      <c r="A900" s="11" t="s">
        <v>29</v>
      </c>
      <c r="B900" s="14" t="s">
        <v>41</v>
      </c>
      <c r="C900" s="12"/>
      <c r="D900" s="12">
        <v>1991</v>
      </c>
    </row>
    <row r="901" spans="1:4" ht="19.899999999999999" customHeight="1">
      <c r="A901" s="11" t="s">
        <v>4</v>
      </c>
      <c r="B901" s="14" t="s">
        <v>41</v>
      </c>
      <c r="C901" s="12">
        <v>18.1227207183838</v>
      </c>
      <c r="D901" s="12">
        <v>1992</v>
      </c>
    </row>
    <row r="902" spans="1:4" ht="19.899999999999999" customHeight="1">
      <c r="A902" s="11" t="s">
        <v>5</v>
      </c>
      <c r="B902" s="14" t="s">
        <v>41</v>
      </c>
      <c r="C902" s="12"/>
      <c r="D902" s="12">
        <v>1992</v>
      </c>
    </row>
    <row r="903" spans="1:4" ht="19.899999999999999" customHeight="1">
      <c r="A903" s="11" t="s">
        <v>6</v>
      </c>
      <c r="B903" s="14" t="s">
        <v>41</v>
      </c>
      <c r="C903" s="12"/>
      <c r="D903" s="12">
        <v>1992</v>
      </c>
    </row>
    <row r="904" spans="1:4" ht="19.899999999999999" customHeight="1">
      <c r="A904" s="11" t="s">
        <v>7</v>
      </c>
      <c r="B904" s="14" t="s">
        <v>41</v>
      </c>
      <c r="C904" s="12"/>
      <c r="D904" s="12">
        <v>1992</v>
      </c>
    </row>
    <row r="905" spans="1:4" ht="19.899999999999999" customHeight="1">
      <c r="A905" s="11" t="s">
        <v>8</v>
      </c>
      <c r="B905" s="14" t="s">
        <v>41</v>
      </c>
      <c r="C905" s="12"/>
      <c r="D905" s="12">
        <v>1992</v>
      </c>
    </row>
    <row r="906" spans="1:4" ht="19.899999999999999" customHeight="1">
      <c r="A906" s="11" t="s">
        <v>1</v>
      </c>
      <c r="B906" s="14" t="s">
        <v>41</v>
      </c>
      <c r="C906" s="12"/>
      <c r="D906" s="12">
        <v>1992</v>
      </c>
    </row>
    <row r="907" spans="1:4" ht="19.899999999999999" customHeight="1">
      <c r="A907" s="11" t="s">
        <v>9</v>
      </c>
      <c r="B907" s="14" t="s">
        <v>41</v>
      </c>
      <c r="C907" s="12">
        <v>11.537449836731</v>
      </c>
      <c r="D907" s="12">
        <v>1992</v>
      </c>
    </row>
    <row r="908" spans="1:4" ht="19.899999999999999" customHeight="1">
      <c r="A908" s="11" t="s">
        <v>10</v>
      </c>
      <c r="B908" s="14" t="s">
        <v>41</v>
      </c>
      <c r="C908" s="12"/>
      <c r="D908" s="12">
        <v>1992</v>
      </c>
    </row>
    <row r="909" spans="1:4" ht="19.899999999999999" customHeight="1">
      <c r="A909" s="11" t="s">
        <v>11</v>
      </c>
      <c r="B909" s="14" t="s">
        <v>41</v>
      </c>
      <c r="C909" s="12">
        <v>15.827320098876999</v>
      </c>
      <c r="D909" s="12">
        <v>1992</v>
      </c>
    </row>
    <row r="910" spans="1:4" ht="19.899999999999999" customHeight="1">
      <c r="A910" s="11" t="s">
        <v>38</v>
      </c>
      <c r="B910" s="14" t="s">
        <v>41</v>
      </c>
      <c r="C910" s="12"/>
      <c r="D910" s="12">
        <v>1992</v>
      </c>
    </row>
    <row r="911" spans="1:4" ht="19.899999999999999" customHeight="1">
      <c r="A911" s="11" t="s">
        <v>12</v>
      </c>
      <c r="B911" s="14" t="s">
        <v>41</v>
      </c>
      <c r="C911" s="12"/>
      <c r="D911" s="12">
        <v>1992</v>
      </c>
    </row>
    <row r="912" spans="1:4" ht="19.899999999999999" customHeight="1">
      <c r="A912" s="11" t="s">
        <v>13</v>
      </c>
      <c r="B912" s="14" t="s">
        <v>41</v>
      </c>
      <c r="C912" s="12"/>
      <c r="D912" s="12">
        <v>1992</v>
      </c>
    </row>
    <row r="913" spans="1:4" ht="19.899999999999999" customHeight="1">
      <c r="A913" s="11" t="s">
        <v>14</v>
      </c>
      <c r="B913" s="14" t="s">
        <v>41</v>
      </c>
      <c r="C913" s="12"/>
      <c r="D913" s="12">
        <v>1992</v>
      </c>
    </row>
    <row r="914" spans="1:4" ht="19.899999999999999" customHeight="1">
      <c r="A914" s="11" t="s">
        <v>15</v>
      </c>
      <c r="B914" s="14" t="s">
        <v>41</v>
      </c>
      <c r="C914" s="12"/>
      <c r="D914" s="12">
        <v>1992</v>
      </c>
    </row>
    <row r="915" spans="1:4" ht="19.899999999999999" customHeight="1">
      <c r="A915" s="11" t="s">
        <v>16</v>
      </c>
      <c r="B915" s="14" t="s">
        <v>41</v>
      </c>
      <c r="C915" s="12"/>
      <c r="D915" s="12">
        <v>1992</v>
      </c>
    </row>
    <row r="916" spans="1:4" ht="19.899999999999999" customHeight="1">
      <c r="A916" s="11" t="s">
        <v>17</v>
      </c>
      <c r="B916" s="14" t="s">
        <v>41</v>
      </c>
      <c r="C916" s="12"/>
      <c r="D916" s="12">
        <v>1992</v>
      </c>
    </row>
    <row r="917" spans="1:4" ht="19.899999999999999" customHeight="1">
      <c r="A917" s="11" t="s">
        <v>18</v>
      </c>
      <c r="B917" s="14" t="s">
        <v>41</v>
      </c>
      <c r="C917" s="12"/>
      <c r="D917" s="12">
        <v>1992</v>
      </c>
    </row>
    <row r="918" spans="1:4" ht="19.899999999999999" customHeight="1">
      <c r="A918" s="11" t="s">
        <v>19</v>
      </c>
      <c r="B918" s="14" t="s">
        <v>41</v>
      </c>
      <c r="C918" s="12"/>
      <c r="D918" s="12">
        <v>1992</v>
      </c>
    </row>
    <row r="919" spans="1:4" ht="19.899999999999999" customHeight="1">
      <c r="A919" s="11" t="s">
        <v>20</v>
      </c>
      <c r="B919" s="14" t="s">
        <v>41</v>
      </c>
      <c r="C919" s="12">
        <v>11.933500289916999</v>
      </c>
      <c r="D919" s="12">
        <v>1992</v>
      </c>
    </row>
    <row r="920" spans="1:4" ht="19.899999999999999" customHeight="1">
      <c r="A920" s="11" t="s">
        <v>21</v>
      </c>
      <c r="B920" s="14" t="s">
        <v>41</v>
      </c>
      <c r="C920" s="12"/>
      <c r="D920" s="12">
        <v>1992</v>
      </c>
    </row>
    <row r="921" spans="1:4" ht="19.899999999999999" customHeight="1">
      <c r="A921" s="11" t="s">
        <v>22</v>
      </c>
      <c r="B921" s="14" t="s">
        <v>41</v>
      </c>
      <c r="C921" s="12"/>
      <c r="D921" s="12">
        <v>1992</v>
      </c>
    </row>
    <row r="922" spans="1:4" ht="19.899999999999999" customHeight="1">
      <c r="A922" s="11" t="s">
        <v>23</v>
      </c>
      <c r="B922" s="14" t="s">
        <v>41</v>
      </c>
      <c r="C922" s="12"/>
      <c r="D922" s="12">
        <v>1992</v>
      </c>
    </row>
    <row r="923" spans="1:4" ht="19.899999999999999" customHeight="1">
      <c r="A923" s="11" t="s">
        <v>24</v>
      </c>
      <c r="B923" s="14" t="s">
        <v>41</v>
      </c>
      <c r="C923" s="12"/>
      <c r="D923" s="12">
        <v>1992</v>
      </c>
    </row>
    <row r="924" spans="1:4" ht="19.899999999999999" customHeight="1">
      <c r="A924" s="11" t="s">
        <v>25</v>
      </c>
      <c r="B924" s="14" t="s">
        <v>41</v>
      </c>
      <c r="C924" s="12"/>
      <c r="D924" s="12">
        <v>1992</v>
      </c>
    </row>
    <row r="925" spans="1:4" ht="19.899999999999999" customHeight="1">
      <c r="A925" s="11" t="s">
        <v>26</v>
      </c>
      <c r="B925" s="14" t="s">
        <v>41</v>
      </c>
      <c r="C925" s="12"/>
      <c r="D925" s="12">
        <v>1992</v>
      </c>
    </row>
    <row r="926" spans="1:4" ht="19.899999999999999" customHeight="1">
      <c r="A926" s="11" t="s">
        <v>27</v>
      </c>
      <c r="B926" s="14" t="s">
        <v>41</v>
      </c>
      <c r="C926" s="12"/>
      <c r="D926" s="12">
        <v>1992</v>
      </c>
    </row>
    <row r="927" spans="1:4" ht="19.899999999999999" customHeight="1">
      <c r="A927" s="11" t="s">
        <v>28</v>
      </c>
      <c r="B927" s="14" t="s">
        <v>41</v>
      </c>
      <c r="C927" s="12"/>
      <c r="D927" s="12">
        <v>1992</v>
      </c>
    </row>
    <row r="928" spans="1:4" ht="19.899999999999999" customHeight="1">
      <c r="A928" s="11" t="s">
        <v>29</v>
      </c>
      <c r="B928" s="14" t="s">
        <v>41</v>
      </c>
      <c r="C928" s="12"/>
      <c r="D928" s="12">
        <v>1992</v>
      </c>
    </row>
    <row r="929" spans="1:4" ht="19.899999999999999" customHeight="1">
      <c r="A929" s="11" t="s">
        <v>4</v>
      </c>
      <c r="B929" s="14" t="s">
        <v>41</v>
      </c>
      <c r="C929" s="12"/>
      <c r="D929" s="12">
        <v>1993</v>
      </c>
    </row>
    <row r="930" spans="1:4" ht="19.899999999999999" customHeight="1">
      <c r="A930" s="11" t="s">
        <v>5</v>
      </c>
      <c r="B930" s="14" t="s">
        <v>41</v>
      </c>
      <c r="C930" s="12"/>
      <c r="D930" s="12">
        <v>1993</v>
      </c>
    </row>
    <row r="931" spans="1:4" ht="19.899999999999999" customHeight="1">
      <c r="A931" s="11" t="s">
        <v>6</v>
      </c>
      <c r="B931" s="14" t="s">
        <v>41</v>
      </c>
      <c r="C931" s="12"/>
      <c r="D931" s="12">
        <v>1993</v>
      </c>
    </row>
    <row r="932" spans="1:4" ht="19.899999999999999" customHeight="1">
      <c r="A932" s="11" t="s">
        <v>7</v>
      </c>
      <c r="B932" s="14" t="s">
        <v>41</v>
      </c>
      <c r="C932" s="12"/>
      <c r="D932" s="12">
        <v>1993</v>
      </c>
    </row>
    <row r="933" spans="1:4" ht="19.899999999999999" customHeight="1">
      <c r="A933" s="11" t="s">
        <v>8</v>
      </c>
      <c r="B933" s="14" t="s">
        <v>41</v>
      </c>
      <c r="C933" s="12"/>
      <c r="D933" s="12">
        <v>1993</v>
      </c>
    </row>
    <row r="934" spans="1:4" ht="19.899999999999999" customHeight="1">
      <c r="A934" s="11" t="s">
        <v>1</v>
      </c>
      <c r="B934" s="14" t="s">
        <v>41</v>
      </c>
      <c r="C934" s="12">
        <v>13.264840126037599</v>
      </c>
      <c r="D934" s="12">
        <v>1993</v>
      </c>
    </row>
    <row r="935" spans="1:4" ht="19.899999999999999" customHeight="1">
      <c r="A935" s="11" t="s">
        <v>9</v>
      </c>
      <c r="B935" s="14" t="s">
        <v>41</v>
      </c>
      <c r="C935" s="12">
        <v>11.448499679565399</v>
      </c>
      <c r="D935" s="12">
        <v>1993</v>
      </c>
    </row>
    <row r="936" spans="1:4" ht="19.899999999999999" customHeight="1">
      <c r="A936" s="11" t="s">
        <v>10</v>
      </c>
      <c r="B936" s="14" t="s">
        <v>41</v>
      </c>
      <c r="C936" s="12"/>
      <c r="D936" s="12">
        <v>1993</v>
      </c>
    </row>
    <row r="937" spans="1:4" ht="19.899999999999999" customHeight="1">
      <c r="A937" s="11" t="s">
        <v>11</v>
      </c>
      <c r="B937" s="14" t="s">
        <v>41</v>
      </c>
      <c r="C937" s="12">
        <v>13.757300376892101</v>
      </c>
      <c r="D937" s="12">
        <v>1993</v>
      </c>
    </row>
    <row r="938" spans="1:4" ht="19.899999999999999" customHeight="1">
      <c r="A938" s="11" t="s">
        <v>38</v>
      </c>
      <c r="B938" s="14" t="s">
        <v>41</v>
      </c>
      <c r="C938" s="12"/>
      <c r="D938" s="12">
        <v>1993</v>
      </c>
    </row>
    <row r="939" spans="1:4" ht="19.899999999999999" customHeight="1">
      <c r="A939" s="11" t="s">
        <v>12</v>
      </c>
      <c r="B939" s="14" t="s">
        <v>41</v>
      </c>
      <c r="C939" s="12"/>
      <c r="D939" s="12">
        <v>1993</v>
      </c>
    </row>
    <row r="940" spans="1:4" ht="19.899999999999999" customHeight="1">
      <c r="A940" s="11" t="s">
        <v>13</v>
      </c>
      <c r="B940" s="14" t="s">
        <v>41</v>
      </c>
      <c r="C940" s="12">
        <v>12.317299842834499</v>
      </c>
      <c r="D940" s="12">
        <v>1993</v>
      </c>
    </row>
    <row r="941" spans="1:4" ht="19.899999999999999" customHeight="1">
      <c r="A941" s="11" t="s">
        <v>14</v>
      </c>
      <c r="B941" s="14" t="s">
        <v>41</v>
      </c>
      <c r="C941" s="12"/>
      <c r="D941" s="12">
        <v>1993</v>
      </c>
    </row>
    <row r="942" spans="1:4" ht="19.899999999999999" customHeight="1">
      <c r="A942" s="11" t="s">
        <v>15</v>
      </c>
      <c r="B942" s="14" t="s">
        <v>41</v>
      </c>
      <c r="C942" s="12"/>
      <c r="D942" s="12">
        <v>1993</v>
      </c>
    </row>
    <row r="943" spans="1:4" ht="19.899999999999999" customHeight="1">
      <c r="A943" s="11" t="s">
        <v>16</v>
      </c>
      <c r="B943" s="14" t="s">
        <v>41</v>
      </c>
      <c r="C943" s="12"/>
      <c r="D943" s="12">
        <v>1993</v>
      </c>
    </row>
    <row r="944" spans="1:4" ht="19.899999999999999" customHeight="1">
      <c r="A944" s="11" t="s">
        <v>17</v>
      </c>
      <c r="B944" s="14" t="s">
        <v>41</v>
      </c>
      <c r="C944" s="12"/>
      <c r="D944" s="12">
        <v>1993</v>
      </c>
    </row>
    <row r="945" spans="1:4" ht="19.899999999999999" customHeight="1">
      <c r="A945" s="11" t="s">
        <v>18</v>
      </c>
      <c r="B945" s="14" t="s">
        <v>41</v>
      </c>
      <c r="C945" s="12"/>
      <c r="D945" s="12">
        <v>1993</v>
      </c>
    </row>
    <row r="946" spans="1:4" ht="19.899999999999999" customHeight="1">
      <c r="A946" s="11" t="s">
        <v>19</v>
      </c>
      <c r="B946" s="14" t="s">
        <v>41</v>
      </c>
      <c r="C946" s="12"/>
      <c r="D946" s="12">
        <v>1993</v>
      </c>
    </row>
    <row r="947" spans="1:4" ht="19.899999999999999" customHeight="1">
      <c r="A947" s="11" t="s">
        <v>20</v>
      </c>
      <c r="B947" s="14" t="s">
        <v>41</v>
      </c>
      <c r="C947" s="12"/>
      <c r="D947" s="12">
        <v>1993</v>
      </c>
    </row>
    <row r="948" spans="1:4" ht="19.899999999999999" customHeight="1">
      <c r="A948" s="11" t="s">
        <v>21</v>
      </c>
      <c r="B948" s="14" t="s">
        <v>41</v>
      </c>
      <c r="C948" s="12"/>
      <c r="D948" s="12">
        <v>1993</v>
      </c>
    </row>
    <row r="949" spans="1:4" ht="19.899999999999999" customHeight="1">
      <c r="A949" s="11" t="s">
        <v>22</v>
      </c>
      <c r="B949" s="14" t="s">
        <v>41</v>
      </c>
      <c r="C949" s="12"/>
      <c r="D949" s="12">
        <v>1993</v>
      </c>
    </row>
    <row r="950" spans="1:4" ht="19.899999999999999" customHeight="1">
      <c r="A950" s="11" t="s">
        <v>23</v>
      </c>
      <c r="B950" s="14" t="s">
        <v>41</v>
      </c>
      <c r="C950" s="12"/>
      <c r="D950" s="12">
        <v>1993</v>
      </c>
    </row>
    <row r="951" spans="1:4" ht="19.899999999999999" customHeight="1">
      <c r="A951" s="11" t="s">
        <v>24</v>
      </c>
      <c r="B951" s="14" t="s">
        <v>41</v>
      </c>
      <c r="C951" s="12"/>
      <c r="D951" s="12">
        <v>1993</v>
      </c>
    </row>
    <row r="952" spans="1:4" ht="19.899999999999999" customHeight="1">
      <c r="A952" s="11" t="s">
        <v>25</v>
      </c>
      <c r="B952" s="14" t="s">
        <v>41</v>
      </c>
      <c r="C952" s="12"/>
      <c r="D952" s="12">
        <v>1993</v>
      </c>
    </row>
    <row r="953" spans="1:4" ht="19.899999999999999" customHeight="1">
      <c r="A953" s="11" t="s">
        <v>26</v>
      </c>
      <c r="B953" s="14" t="s">
        <v>41</v>
      </c>
      <c r="C953" s="12"/>
      <c r="D953" s="12">
        <v>1993</v>
      </c>
    </row>
    <row r="954" spans="1:4" ht="19.899999999999999" customHeight="1">
      <c r="A954" s="11" t="s">
        <v>27</v>
      </c>
      <c r="B954" s="14" t="s">
        <v>41</v>
      </c>
      <c r="C954" s="12"/>
      <c r="D954" s="12">
        <v>1993</v>
      </c>
    </row>
    <row r="955" spans="1:4" ht="19.899999999999999" customHeight="1">
      <c r="A955" s="11" t="s">
        <v>28</v>
      </c>
      <c r="B955" s="14" t="s">
        <v>41</v>
      </c>
      <c r="C955" s="12"/>
      <c r="D955" s="12">
        <v>1993</v>
      </c>
    </row>
    <row r="956" spans="1:4" ht="19.899999999999999" customHeight="1">
      <c r="A956" s="11" t="s">
        <v>29</v>
      </c>
      <c r="B956" s="14" t="s">
        <v>41</v>
      </c>
      <c r="C956" s="12"/>
      <c r="D956" s="12">
        <v>1993</v>
      </c>
    </row>
    <row r="957" spans="1:4" ht="19.899999999999999" customHeight="1">
      <c r="A957" s="11" t="s">
        <v>4</v>
      </c>
      <c r="B957" s="14" t="s">
        <v>41</v>
      </c>
      <c r="C957" s="12">
        <v>16.7564392089844</v>
      </c>
      <c r="D957" s="12">
        <v>1994</v>
      </c>
    </row>
    <row r="958" spans="1:4" ht="19.899999999999999" customHeight="1">
      <c r="A958" s="11" t="s">
        <v>5</v>
      </c>
      <c r="B958" s="14" t="s">
        <v>41</v>
      </c>
      <c r="C958" s="12"/>
      <c r="D958" s="12">
        <v>1994</v>
      </c>
    </row>
    <row r="959" spans="1:4" ht="19.899999999999999" customHeight="1">
      <c r="A959" s="11" t="s">
        <v>6</v>
      </c>
      <c r="B959" s="14" t="s">
        <v>41</v>
      </c>
      <c r="C959" s="12"/>
      <c r="D959" s="12">
        <v>1994</v>
      </c>
    </row>
    <row r="960" spans="1:4" ht="19.899999999999999" customHeight="1">
      <c r="A960" s="11" t="s">
        <v>7</v>
      </c>
      <c r="B960" s="14" t="s">
        <v>41</v>
      </c>
      <c r="C960" s="12"/>
      <c r="D960" s="12">
        <v>1994</v>
      </c>
    </row>
    <row r="961" spans="1:4" ht="19.899999999999999" customHeight="1">
      <c r="A961" s="11" t="s">
        <v>8</v>
      </c>
      <c r="B961" s="14" t="s">
        <v>41</v>
      </c>
      <c r="C961" s="12"/>
      <c r="D961" s="12">
        <v>1994</v>
      </c>
    </row>
    <row r="962" spans="1:4" ht="19.899999999999999" customHeight="1">
      <c r="A962" s="11" t="s">
        <v>1</v>
      </c>
      <c r="B962" s="14" t="s">
        <v>41</v>
      </c>
      <c r="C962" s="12"/>
      <c r="D962" s="12">
        <v>1994</v>
      </c>
    </row>
    <row r="963" spans="1:4" ht="19.899999999999999" customHeight="1">
      <c r="A963" s="11" t="s">
        <v>9</v>
      </c>
      <c r="B963" s="14" t="s">
        <v>41</v>
      </c>
      <c r="C963" s="12"/>
      <c r="D963" s="12">
        <v>1994</v>
      </c>
    </row>
    <row r="964" spans="1:4" ht="19.899999999999999" customHeight="1">
      <c r="A964" s="11" t="s">
        <v>10</v>
      </c>
      <c r="B964" s="14" t="s">
        <v>41</v>
      </c>
      <c r="C964" s="12"/>
      <c r="D964" s="12">
        <v>1994</v>
      </c>
    </row>
    <row r="965" spans="1:4" ht="19.899999999999999" customHeight="1">
      <c r="A965" s="11" t="s">
        <v>11</v>
      </c>
      <c r="B965" s="14" t="s">
        <v>41</v>
      </c>
      <c r="C965" s="12">
        <v>14.835680007934601</v>
      </c>
      <c r="D965" s="12">
        <v>1994</v>
      </c>
    </row>
    <row r="966" spans="1:4" ht="19.899999999999999" customHeight="1">
      <c r="A966" s="11" t="s">
        <v>38</v>
      </c>
      <c r="B966" s="14" t="s">
        <v>41</v>
      </c>
      <c r="C966" s="12"/>
      <c r="D966" s="12">
        <v>1994</v>
      </c>
    </row>
    <row r="967" spans="1:4" ht="19.899999999999999" customHeight="1">
      <c r="A967" s="11" t="s">
        <v>12</v>
      </c>
      <c r="B967" s="14" t="s">
        <v>41</v>
      </c>
      <c r="C967" s="12"/>
      <c r="D967" s="12">
        <v>1994</v>
      </c>
    </row>
    <row r="968" spans="1:4" ht="19.899999999999999" customHeight="1">
      <c r="A968" s="11" t="s">
        <v>13</v>
      </c>
      <c r="B968" s="14" t="s">
        <v>41</v>
      </c>
      <c r="C968" s="12"/>
      <c r="D968" s="12">
        <v>1994</v>
      </c>
    </row>
    <row r="969" spans="1:4" ht="19.899999999999999" customHeight="1">
      <c r="A969" s="11" t="s">
        <v>14</v>
      </c>
      <c r="B969" s="14" t="s">
        <v>41</v>
      </c>
      <c r="C969" s="12"/>
      <c r="D969" s="12">
        <v>1994</v>
      </c>
    </row>
    <row r="970" spans="1:4" ht="19.899999999999999" customHeight="1">
      <c r="A970" s="11" t="s">
        <v>15</v>
      </c>
      <c r="B970" s="14" t="s">
        <v>41</v>
      </c>
      <c r="C970" s="12"/>
      <c r="D970" s="12">
        <v>1994</v>
      </c>
    </row>
    <row r="971" spans="1:4" ht="19.899999999999999" customHeight="1">
      <c r="A971" s="11" t="s">
        <v>16</v>
      </c>
      <c r="B971" s="14" t="s">
        <v>41</v>
      </c>
      <c r="C971" s="12"/>
      <c r="D971" s="12">
        <v>1994</v>
      </c>
    </row>
    <row r="972" spans="1:4" ht="19.899999999999999" customHeight="1">
      <c r="A972" s="11" t="s">
        <v>17</v>
      </c>
      <c r="B972" s="14" t="s">
        <v>41</v>
      </c>
      <c r="C972" s="12"/>
      <c r="D972" s="12">
        <v>1994</v>
      </c>
    </row>
    <row r="973" spans="1:4" ht="19.899999999999999" customHeight="1">
      <c r="A973" s="11" t="s">
        <v>18</v>
      </c>
      <c r="B973" s="14" t="s">
        <v>41</v>
      </c>
      <c r="C973" s="12"/>
      <c r="D973" s="12">
        <v>1994</v>
      </c>
    </row>
    <row r="974" spans="1:4" ht="19.899999999999999" customHeight="1">
      <c r="A974" s="11" t="s">
        <v>19</v>
      </c>
      <c r="B974" s="14" t="s">
        <v>41</v>
      </c>
      <c r="C974" s="12"/>
      <c r="D974" s="12">
        <v>1994</v>
      </c>
    </row>
    <row r="975" spans="1:4" ht="19.899999999999999" customHeight="1">
      <c r="A975" s="11" t="s">
        <v>20</v>
      </c>
      <c r="B975" s="14" t="s">
        <v>41</v>
      </c>
      <c r="C975" s="12"/>
      <c r="D975" s="12">
        <v>1994</v>
      </c>
    </row>
    <row r="976" spans="1:4" ht="19.899999999999999" customHeight="1">
      <c r="A976" s="11" t="s">
        <v>21</v>
      </c>
      <c r="B976" s="14" t="s">
        <v>41</v>
      </c>
      <c r="C976" s="12"/>
      <c r="D976" s="12">
        <v>1994</v>
      </c>
    </row>
    <row r="977" spans="1:4" ht="19.899999999999999" customHeight="1">
      <c r="A977" s="11" t="s">
        <v>22</v>
      </c>
      <c r="B977" s="14" t="s">
        <v>41</v>
      </c>
      <c r="C977" s="12"/>
      <c r="D977" s="12">
        <v>1994</v>
      </c>
    </row>
    <row r="978" spans="1:4" ht="19.899999999999999" customHeight="1">
      <c r="A978" s="11" t="s">
        <v>23</v>
      </c>
      <c r="B978" s="14" t="s">
        <v>41</v>
      </c>
      <c r="C978" s="12"/>
      <c r="D978" s="12">
        <v>1994</v>
      </c>
    </row>
    <row r="979" spans="1:4" ht="19.899999999999999" customHeight="1">
      <c r="A979" s="11" t="s">
        <v>24</v>
      </c>
      <c r="B979" s="14" t="s">
        <v>41</v>
      </c>
      <c r="C979" s="12">
        <v>12.7072801589966</v>
      </c>
      <c r="D979" s="12">
        <v>1994</v>
      </c>
    </row>
    <row r="980" spans="1:4" ht="19.899999999999999" customHeight="1">
      <c r="A980" s="11" t="s">
        <v>25</v>
      </c>
      <c r="B980" s="14" t="s">
        <v>41</v>
      </c>
      <c r="C980" s="12"/>
      <c r="D980" s="12">
        <v>1994</v>
      </c>
    </row>
    <row r="981" spans="1:4" ht="19.899999999999999" customHeight="1">
      <c r="A981" s="11" t="s">
        <v>26</v>
      </c>
      <c r="B981" s="14" t="s">
        <v>41</v>
      </c>
      <c r="C981" s="12"/>
      <c r="D981" s="12">
        <v>1994</v>
      </c>
    </row>
    <row r="982" spans="1:4" ht="19.899999999999999" customHeight="1">
      <c r="A982" s="11" t="s">
        <v>27</v>
      </c>
      <c r="B982" s="14" t="s">
        <v>41</v>
      </c>
      <c r="C982" s="12"/>
      <c r="D982" s="12">
        <v>1994</v>
      </c>
    </row>
    <row r="983" spans="1:4" ht="19.899999999999999" customHeight="1">
      <c r="A983" s="11" t="s">
        <v>28</v>
      </c>
      <c r="B983" s="14" t="s">
        <v>41</v>
      </c>
      <c r="C983" s="12"/>
      <c r="D983" s="12">
        <v>1994</v>
      </c>
    </row>
    <row r="984" spans="1:4" ht="19.899999999999999" customHeight="1">
      <c r="A984" s="11" t="s">
        <v>29</v>
      </c>
      <c r="B984" s="14" t="s">
        <v>41</v>
      </c>
      <c r="C984" s="12"/>
      <c r="D984" s="12">
        <v>1994</v>
      </c>
    </row>
    <row r="985" spans="1:4" ht="19.899999999999999" customHeight="1">
      <c r="A985" s="11" t="s">
        <v>4</v>
      </c>
      <c r="B985" s="14" t="s">
        <v>41</v>
      </c>
      <c r="C985" s="12">
        <v>23.7924404144287</v>
      </c>
      <c r="D985" s="12">
        <v>1995</v>
      </c>
    </row>
    <row r="986" spans="1:4" ht="19.899999999999999" customHeight="1">
      <c r="A986" s="11" t="s">
        <v>5</v>
      </c>
      <c r="B986" s="14" t="s">
        <v>41</v>
      </c>
      <c r="C986" s="12"/>
      <c r="D986" s="12">
        <v>1995</v>
      </c>
    </row>
    <row r="987" spans="1:4" ht="19.899999999999999" customHeight="1">
      <c r="A987" s="11" t="s">
        <v>6</v>
      </c>
      <c r="B987" s="14" t="s">
        <v>41</v>
      </c>
      <c r="C987" s="12"/>
      <c r="D987" s="12">
        <v>1995</v>
      </c>
    </row>
    <row r="988" spans="1:4" ht="19.899999999999999" customHeight="1">
      <c r="A988" s="11" t="s">
        <v>7</v>
      </c>
      <c r="B988" s="14" t="s">
        <v>41</v>
      </c>
      <c r="C988" s="12"/>
      <c r="D988" s="12">
        <v>1995</v>
      </c>
    </row>
    <row r="989" spans="1:4" ht="19.899999999999999" customHeight="1">
      <c r="A989" s="11" t="s">
        <v>8</v>
      </c>
      <c r="B989" s="14" t="s">
        <v>41</v>
      </c>
      <c r="C989" s="12"/>
      <c r="D989" s="12">
        <v>1995</v>
      </c>
    </row>
    <row r="990" spans="1:4" ht="19.899999999999999" customHeight="1">
      <c r="A990" s="11" t="s">
        <v>1</v>
      </c>
      <c r="B990" s="14" t="s">
        <v>41</v>
      </c>
      <c r="C990" s="12"/>
      <c r="D990" s="12">
        <v>1995</v>
      </c>
    </row>
    <row r="991" spans="1:4" ht="19.899999999999999" customHeight="1">
      <c r="A991" s="11" t="s">
        <v>9</v>
      </c>
      <c r="B991" s="14" t="s">
        <v>41</v>
      </c>
      <c r="C991" s="12"/>
      <c r="D991" s="12">
        <v>1995</v>
      </c>
    </row>
    <row r="992" spans="1:4" ht="19.899999999999999" customHeight="1">
      <c r="A992" s="11" t="s">
        <v>10</v>
      </c>
      <c r="B992" s="14" t="s">
        <v>41</v>
      </c>
      <c r="C992" s="12"/>
      <c r="D992" s="12">
        <v>1995</v>
      </c>
    </row>
    <row r="993" spans="1:4" ht="19.899999999999999" customHeight="1">
      <c r="A993" s="11" t="s">
        <v>11</v>
      </c>
      <c r="B993" s="14" t="s">
        <v>41</v>
      </c>
      <c r="C993" s="12"/>
      <c r="D993" s="12">
        <v>1995</v>
      </c>
    </row>
    <row r="994" spans="1:4" ht="19.899999999999999" customHeight="1">
      <c r="A994" s="11" t="s">
        <v>38</v>
      </c>
      <c r="B994" s="14" t="s">
        <v>41</v>
      </c>
      <c r="C994" s="12"/>
      <c r="D994" s="12">
        <v>1995</v>
      </c>
    </row>
    <row r="995" spans="1:4" ht="19.899999999999999" customHeight="1">
      <c r="A995" s="11" t="s">
        <v>12</v>
      </c>
      <c r="B995" s="14" t="s">
        <v>41</v>
      </c>
      <c r="C995" s="12"/>
      <c r="D995" s="12">
        <v>1995</v>
      </c>
    </row>
    <row r="996" spans="1:4" ht="19.899999999999999" customHeight="1">
      <c r="A996" s="11" t="s">
        <v>13</v>
      </c>
      <c r="B996" s="14" t="s">
        <v>41</v>
      </c>
      <c r="C996" s="12"/>
      <c r="D996" s="12">
        <v>1995</v>
      </c>
    </row>
    <row r="997" spans="1:4" ht="19.899999999999999" customHeight="1">
      <c r="A997" s="11" t="s">
        <v>14</v>
      </c>
      <c r="B997" s="14" t="s">
        <v>41</v>
      </c>
      <c r="C997" s="12"/>
      <c r="D997" s="12">
        <v>1995</v>
      </c>
    </row>
    <row r="998" spans="1:4" ht="19.899999999999999" customHeight="1">
      <c r="A998" s="11" t="s">
        <v>15</v>
      </c>
      <c r="B998" s="14" t="s">
        <v>41</v>
      </c>
      <c r="C998" s="12"/>
      <c r="D998" s="12">
        <v>1995</v>
      </c>
    </row>
    <row r="999" spans="1:4" ht="19.899999999999999" customHeight="1">
      <c r="A999" s="11" t="s">
        <v>16</v>
      </c>
      <c r="B999" s="14" t="s">
        <v>41</v>
      </c>
      <c r="C999" s="12"/>
      <c r="D999" s="12">
        <v>1995</v>
      </c>
    </row>
    <row r="1000" spans="1:4" ht="19.899999999999999" customHeight="1">
      <c r="A1000" s="11" t="s">
        <v>17</v>
      </c>
      <c r="B1000" s="14" t="s">
        <v>41</v>
      </c>
      <c r="C1000" s="12"/>
      <c r="D1000" s="12">
        <v>1995</v>
      </c>
    </row>
    <row r="1001" spans="1:4" ht="19.899999999999999" customHeight="1">
      <c r="A1001" s="11" t="s">
        <v>18</v>
      </c>
      <c r="B1001" s="14" t="s">
        <v>41</v>
      </c>
      <c r="C1001" s="12"/>
      <c r="D1001" s="12">
        <v>1995</v>
      </c>
    </row>
    <row r="1002" spans="1:4" ht="19.899999999999999" customHeight="1">
      <c r="A1002" s="11" t="s">
        <v>19</v>
      </c>
      <c r="B1002" s="14" t="s">
        <v>41</v>
      </c>
      <c r="C1002" s="12"/>
      <c r="D1002" s="12">
        <v>1995</v>
      </c>
    </row>
    <row r="1003" spans="1:4" ht="19.899999999999999" customHeight="1">
      <c r="A1003" s="11" t="s">
        <v>20</v>
      </c>
      <c r="B1003" s="14" t="s">
        <v>41</v>
      </c>
      <c r="C1003" s="12"/>
      <c r="D1003" s="12">
        <v>1995</v>
      </c>
    </row>
    <row r="1004" spans="1:4" ht="19.899999999999999" customHeight="1">
      <c r="A1004" s="11" t="s">
        <v>21</v>
      </c>
      <c r="B1004" s="14" t="s">
        <v>41</v>
      </c>
      <c r="C1004" s="12"/>
      <c r="D1004" s="12">
        <v>1995</v>
      </c>
    </row>
    <row r="1005" spans="1:4" ht="19.899999999999999" customHeight="1">
      <c r="A1005" s="11" t="s">
        <v>22</v>
      </c>
      <c r="B1005" s="14" t="s">
        <v>41</v>
      </c>
      <c r="C1005" s="12"/>
      <c r="D1005" s="12">
        <v>1995</v>
      </c>
    </row>
    <row r="1006" spans="1:4" ht="19.899999999999999" customHeight="1">
      <c r="A1006" s="11" t="s">
        <v>23</v>
      </c>
      <c r="B1006" s="14" t="s">
        <v>41</v>
      </c>
      <c r="C1006" s="12"/>
      <c r="D1006" s="12">
        <v>1995</v>
      </c>
    </row>
    <row r="1007" spans="1:4" ht="19.899999999999999" customHeight="1">
      <c r="A1007" s="11" t="s">
        <v>24</v>
      </c>
      <c r="B1007" s="14" t="s">
        <v>41</v>
      </c>
      <c r="C1007" s="12">
        <v>11.565670013427701</v>
      </c>
      <c r="D1007" s="12">
        <v>1995</v>
      </c>
    </row>
    <row r="1008" spans="1:4" ht="19.899999999999999" customHeight="1">
      <c r="A1008" s="11" t="s">
        <v>25</v>
      </c>
      <c r="B1008" s="14" t="s">
        <v>41</v>
      </c>
      <c r="C1008" s="12"/>
      <c r="D1008" s="12">
        <v>1995</v>
      </c>
    </row>
    <row r="1009" spans="1:4" ht="19.899999999999999" customHeight="1">
      <c r="A1009" s="11" t="s">
        <v>26</v>
      </c>
      <c r="B1009" s="14" t="s">
        <v>41</v>
      </c>
      <c r="C1009" s="12"/>
      <c r="D1009" s="12">
        <v>1995</v>
      </c>
    </row>
    <row r="1010" spans="1:4" ht="19.899999999999999" customHeight="1">
      <c r="A1010" s="11" t="s">
        <v>27</v>
      </c>
      <c r="B1010" s="14" t="s">
        <v>41</v>
      </c>
      <c r="C1010" s="12"/>
      <c r="D1010" s="12">
        <v>1995</v>
      </c>
    </row>
    <row r="1011" spans="1:4" ht="19.899999999999999" customHeight="1">
      <c r="A1011" s="11" t="s">
        <v>28</v>
      </c>
      <c r="B1011" s="14" t="s">
        <v>41</v>
      </c>
      <c r="C1011" s="12"/>
      <c r="D1011" s="12">
        <v>1995</v>
      </c>
    </row>
    <row r="1012" spans="1:4" ht="19.899999999999999" customHeight="1">
      <c r="A1012" s="11" t="s">
        <v>29</v>
      </c>
      <c r="B1012" s="14" t="s">
        <v>41</v>
      </c>
      <c r="C1012" s="12"/>
      <c r="D1012" s="12">
        <v>1995</v>
      </c>
    </row>
    <row r="1013" spans="1:4" ht="19.899999999999999" customHeight="1">
      <c r="A1013" s="11" t="s">
        <v>4</v>
      </c>
      <c r="B1013" s="14" t="s">
        <v>41</v>
      </c>
      <c r="C1013" s="12">
        <v>16.713600158691399</v>
      </c>
      <c r="D1013" s="12">
        <v>1996</v>
      </c>
    </row>
    <row r="1014" spans="1:4" ht="19.899999999999999" customHeight="1">
      <c r="A1014" s="11" t="s">
        <v>5</v>
      </c>
      <c r="B1014" s="14" t="s">
        <v>41</v>
      </c>
      <c r="C1014" s="12"/>
      <c r="D1014" s="12">
        <v>1996</v>
      </c>
    </row>
    <row r="1015" spans="1:4" ht="19.899999999999999" customHeight="1">
      <c r="A1015" s="11" t="s">
        <v>6</v>
      </c>
      <c r="B1015" s="14" t="s">
        <v>41</v>
      </c>
      <c r="C1015" s="12"/>
      <c r="D1015" s="12">
        <v>1996</v>
      </c>
    </row>
    <row r="1016" spans="1:4" ht="19.899999999999999" customHeight="1">
      <c r="A1016" s="11" t="s">
        <v>7</v>
      </c>
      <c r="B1016" s="14" t="s">
        <v>41</v>
      </c>
      <c r="C1016" s="12"/>
      <c r="D1016" s="12">
        <v>1996</v>
      </c>
    </row>
    <row r="1017" spans="1:4" ht="19.899999999999999" customHeight="1">
      <c r="A1017" s="11" t="s">
        <v>8</v>
      </c>
      <c r="B1017" s="14" t="s">
        <v>41</v>
      </c>
      <c r="C1017" s="12"/>
      <c r="D1017" s="12">
        <v>1996</v>
      </c>
    </row>
    <row r="1018" spans="1:4" ht="19.899999999999999" customHeight="1">
      <c r="A1018" s="11" t="s">
        <v>1</v>
      </c>
      <c r="B1018" s="14" t="s">
        <v>41</v>
      </c>
      <c r="C1018" s="12">
        <v>13.044139862060501</v>
      </c>
      <c r="D1018" s="12">
        <v>1996</v>
      </c>
    </row>
    <row r="1019" spans="1:4" ht="19.899999999999999" customHeight="1">
      <c r="A1019" s="11" t="s">
        <v>9</v>
      </c>
      <c r="B1019" s="14" t="s">
        <v>41</v>
      </c>
      <c r="C1019" s="12"/>
      <c r="D1019" s="12">
        <v>1996</v>
      </c>
    </row>
    <row r="1020" spans="1:4" ht="19.899999999999999" customHeight="1">
      <c r="A1020" s="11" t="s">
        <v>10</v>
      </c>
      <c r="B1020" s="14" t="s">
        <v>41</v>
      </c>
      <c r="C1020" s="12"/>
      <c r="D1020" s="12">
        <v>1996</v>
      </c>
    </row>
    <row r="1021" spans="1:4" ht="19.899999999999999" customHeight="1">
      <c r="A1021" s="11" t="s">
        <v>11</v>
      </c>
      <c r="B1021" s="14" t="s">
        <v>41</v>
      </c>
      <c r="C1021" s="12"/>
      <c r="D1021" s="12">
        <v>1996</v>
      </c>
    </row>
    <row r="1022" spans="1:4" ht="19.899999999999999" customHeight="1">
      <c r="A1022" s="11" t="s">
        <v>38</v>
      </c>
      <c r="B1022" s="14" t="s">
        <v>41</v>
      </c>
      <c r="C1022" s="12"/>
      <c r="D1022" s="12">
        <v>1996</v>
      </c>
    </row>
    <row r="1023" spans="1:4" ht="19.899999999999999" customHeight="1">
      <c r="A1023" s="11" t="s">
        <v>12</v>
      </c>
      <c r="B1023" s="14" t="s">
        <v>41</v>
      </c>
      <c r="C1023" s="12"/>
      <c r="D1023" s="12">
        <v>1996</v>
      </c>
    </row>
    <row r="1024" spans="1:4" ht="19.899999999999999" customHeight="1">
      <c r="A1024" s="11" t="s">
        <v>13</v>
      </c>
      <c r="B1024" s="14" t="s">
        <v>41</v>
      </c>
      <c r="C1024" s="12"/>
      <c r="D1024" s="12">
        <v>1996</v>
      </c>
    </row>
    <row r="1025" spans="1:4" ht="19.899999999999999" customHeight="1">
      <c r="A1025" s="11" t="s">
        <v>14</v>
      </c>
      <c r="B1025" s="14" t="s">
        <v>41</v>
      </c>
      <c r="C1025" s="12"/>
      <c r="D1025" s="12">
        <v>1996</v>
      </c>
    </row>
    <row r="1026" spans="1:4" ht="19.899999999999999" customHeight="1">
      <c r="A1026" s="11" t="s">
        <v>15</v>
      </c>
      <c r="B1026" s="14" t="s">
        <v>41</v>
      </c>
      <c r="C1026" s="12"/>
      <c r="D1026" s="12">
        <v>1996</v>
      </c>
    </row>
    <row r="1027" spans="1:4" ht="19.899999999999999" customHeight="1">
      <c r="A1027" s="11" t="s">
        <v>16</v>
      </c>
      <c r="B1027" s="14" t="s">
        <v>41</v>
      </c>
      <c r="C1027" s="12">
        <v>28.339960098266602</v>
      </c>
      <c r="D1027" s="12">
        <v>1996</v>
      </c>
    </row>
    <row r="1028" spans="1:4" ht="19.899999999999999" customHeight="1">
      <c r="A1028" s="11" t="s">
        <v>17</v>
      </c>
      <c r="B1028" s="14" t="s">
        <v>41</v>
      </c>
      <c r="C1028" s="12"/>
      <c r="D1028" s="12">
        <v>1996</v>
      </c>
    </row>
    <row r="1029" spans="1:4" ht="19.899999999999999" customHeight="1">
      <c r="A1029" s="11" t="s">
        <v>18</v>
      </c>
      <c r="B1029" s="14" t="s">
        <v>41</v>
      </c>
      <c r="C1029" s="12"/>
      <c r="D1029" s="12">
        <v>1996</v>
      </c>
    </row>
    <row r="1030" spans="1:4" ht="19.899999999999999" customHeight="1">
      <c r="A1030" s="11" t="s">
        <v>19</v>
      </c>
      <c r="B1030" s="14" t="s">
        <v>41</v>
      </c>
      <c r="C1030" s="12"/>
      <c r="D1030" s="12">
        <v>1996</v>
      </c>
    </row>
    <row r="1031" spans="1:4" ht="19.899999999999999" customHeight="1">
      <c r="A1031" s="11" t="s">
        <v>20</v>
      </c>
      <c r="B1031" s="14" t="s">
        <v>41</v>
      </c>
      <c r="C1031" s="12"/>
      <c r="D1031" s="12">
        <v>1996</v>
      </c>
    </row>
    <row r="1032" spans="1:4" ht="19.899999999999999" customHeight="1">
      <c r="A1032" s="11" t="s">
        <v>21</v>
      </c>
      <c r="B1032" s="14" t="s">
        <v>41</v>
      </c>
      <c r="C1032" s="12">
        <v>17.749540328979499</v>
      </c>
      <c r="D1032" s="12">
        <v>1996</v>
      </c>
    </row>
    <row r="1033" spans="1:4" ht="19.899999999999999" customHeight="1">
      <c r="A1033" s="11" t="s">
        <v>22</v>
      </c>
      <c r="B1033" s="14" t="s">
        <v>41</v>
      </c>
      <c r="C1033" s="12"/>
      <c r="D1033" s="12">
        <v>1996</v>
      </c>
    </row>
    <row r="1034" spans="1:4" ht="19.899999999999999" customHeight="1">
      <c r="A1034" s="11" t="s">
        <v>23</v>
      </c>
      <c r="B1034" s="14" t="s">
        <v>41</v>
      </c>
      <c r="C1034" s="12"/>
      <c r="D1034" s="12">
        <v>1996</v>
      </c>
    </row>
    <row r="1035" spans="1:4" ht="19.899999999999999" customHeight="1">
      <c r="A1035" s="11" t="s">
        <v>24</v>
      </c>
      <c r="B1035" s="14" t="s">
        <v>41</v>
      </c>
      <c r="C1035" s="12">
        <v>12.693889617919901</v>
      </c>
      <c r="D1035" s="12">
        <v>1996</v>
      </c>
    </row>
    <row r="1036" spans="1:4" ht="19.899999999999999" customHeight="1">
      <c r="A1036" s="11" t="s">
        <v>25</v>
      </c>
      <c r="B1036" s="14" t="s">
        <v>41</v>
      </c>
      <c r="C1036" s="12"/>
      <c r="D1036" s="12">
        <v>1996</v>
      </c>
    </row>
    <row r="1037" spans="1:4" ht="19.899999999999999" customHeight="1">
      <c r="A1037" s="11" t="s">
        <v>26</v>
      </c>
      <c r="B1037" s="14" t="s">
        <v>41</v>
      </c>
      <c r="C1037" s="12">
        <v>12.5003099441528</v>
      </c>
      <c r="D1037" s="12">
        <v>1996</v>
      </c>
    </row>
    <row r="1038" spans="1:4" ht="19.899999999999999" customHeight="1">
      <c r="A1038" s="11" t="s">
        <v>27</v>
      </c>
      <c r="B1038" s="14" t="s">
        <v>41</v>
      </c>
      <c r="C1038" s="12"/>
      <c r="D1038" s="12">
        <v>1996</v>
      </c>
    </row>
    <row r="1039" spans="1:4" ht="19.899999999999999" customHeight="1">
      <c r="A1039" s="11" t="s">
        <v>28</v>
      </c>
      <c r="B1039" s="14" t="s">
        <v>41</v>
      </c>
      <c r="C1039" s="12"/>
      <c r="D1039" s="12">
        <v>1996</v>
      </c>
    </row>
    <row r="1040" spans="1:4" ht="19.899999999999999" customHeight="1">
      <c r="A1040" s="11" t="s">
        <v>29</v>
      </c>
      <c r="B1040" s="14" t="s">
        <v>41</v>
      </c>
      <c r="C1040" s="12"/>
      <c r="D1040" s="12">
        <v>1996</v>
      </c>
    </row>
    <row r="1041" spans="1:4" ht="19.899999999999999" customHeight="1">
      <c r="A1041" s="11" t="s">
        <v>4</v>
      </c>
      <c r="B1041" s="14" t="s">
        <v>41</v>
      </c>
      <c r="C1041" s="12"/>
      <c r="D1041" s="12">
        <v>1997</v>
      </c>
    </row>
    <row r="1042" spans="1:4" ht="19.899999999999999" customHeight="1">
      <c r="A1042" s="11" t="s">
        <v>5</v>
      </c>
      <c r="B1042" s="14" t="s">
        <v>41</v>
      </c>
      <c r="C1042" s="12"/>
      <c r="D1042" s="12">
        <v>1997</v>
      </c>
    </row>
    <row r="1043" spans="1:4" ht="19.899999999999999" customHeight="1">
      <c r="A1043" s="11" t="s">
        <v>6</v>
      </c>
      <c r="B1043" s="14" t="s">
        <v>41</v>
      </c>
      <c r="C1043" s="12">
        <v>12.8986597061157</v>
      </c>
      <c r="D1043" s="12">
        <v>1997</v>
      </c>
    </row>
    <row r="1044" spans="1:4" ht="19.899999999999999" customHeight="1">
      <c r="A1044" s="11" t="s">
        <v>7</v>
      </c>
      <c r="B1044" s="14" t="s">
        <v>41</v>
      </c>
      <c r="C1044" s="12"/>
      <c r="D1044" s="12">
        <v>1997</v>
      </c>
    </row>
    <row r="1045" spans="1:4" ht="19.899999999999999" customHeight="1">
      <c r="A1045" s="11" t="s">
        <v>8</v>
      </c>
      <c r="B1045" s="14" t="s">
        <v>41</v>
      </c>
      <c r="C1045" s="12"/>
      <c r="D1045" s="12">
        <v>1997</v>
      </c>
    </row>
    <row r="1046" spans="1:4" ht="19.899999999999999" customHeight="1">
      <c r="A1046" s="11" t="s">
        <v>1</v>
      </c>
      <c r="B1046" s="14" t="s">
        <v>41</v>
      </c>
      <c r="C1046" s="12">
        <v>14.8699197769165</v>
      </c>
      <c r="D1046" s="12">
        <v>1997</v>
      </c>
    </row>
    <row r="1047" spans="1:4" ht="19.899999999999999" customHeight="1">
      <c r="A1047" s="11" t="s">
        <v>9</v>
      </c>
      <c r="B1047" s="14" t="s">
        <v>41</v>
      </c>
      <c r="C1047" s="12"/>
      <c r="D1047" s="12">
        <v>1997</v>
      </c>
    </row>
    <row r="1048" spans="1:4" ht="19.899999999999999" customHeight="1">
      <c r="A1048" s="11" t="s">
        <v>10</v>
      </c>
      <c r="B1048" s="14" t="s">
        <v>41</v>
      </c>
      <c r="C1048" s="12"/>
      <c r="D1048" s="12">
        <v>1997</v>
      </c>
    </row>
    <row r="1049" spans="1:4" ht="19.899999999999999" customHeight="1">
      <c r="A1049" s="11" t="s">
        <v>11</v>
      </c>
      <c r="B1049" s="14" t="s">
        <v>41</v>
      </c>
      <c r="C1049" s="12"/>
      <c r="D1049" s="12">
        <v>1997</v>
      </c>
    </row>
    <row r="1050" spans="1:4" ht="19.899999999999999" customHeight="1">
      <c r="A1050" s="11" t="s">
        <v>38</v>
      </c>
      <c r="B1050" s="14" t="s">
        <v>41</v>
      </c>
      <c r="C1050" s="12"/>
      <c r="D1050" s="12">
        <v>1997</v>
      </c>
    </row>
    <row r="1051" spans="1:4" ht="19.899999999999999" customHeight="1">
      <c r="A1051" s="11" t="s">
        <v>12</v>
      </c>
      <c r="B1051" s="14" t="s">
        <v>41</v>
      </c>
      <c r="C1051" s="12"/>
      <c r="D1051" s="12">
        <v>1997</v>
      </c>
    </row>
    <row r="1052" spans="1:4" ht="19.899999999999999" customHeight="1">
      <c r="A1052" s="11" t="s">
        <v>13</v>
      </c>
      <c r="B1052" s="14" t="s">
        <v>41</v>
      </c>
      <c r="C1052" s="12">
        <v>10.6444101333618</v>
      </c>
      <c r="D1052" s="12">
        <v>1997</v>
      </c>
    </row>
    <row r="1053" spans="1:4" ht="19.899999999999999" customHeight="1">
      <c r="A1053" s="11" t="s">
        <v>14</v>
      </c>
      <c r="B1053" s="14" t="s">
        <v>41</v>
      </c>
      <c r="C1053" s="12"/>
      <c r="D1053" s="12">
        <v>1997</v>
      </c>
    </row>
    <row r="1054" spans="1:4" ht="19.899999999999999" customHeight="1">
      <c r="A1054" s="11" t="s">
        <v>15</v>
      </c>
      <c r="B1054" s="14" t="s">
        <v>41</v>
      </c>
      <c r="C1054" s="12"/>
      <c r="D1054" s="12">
        <v>1997</v>
      </c>
    </row>
    <row r="1055" spans="1:4" ht="19.899999999999999" customHeight="1">
      <c r="A1055" s="11" t="s">
        <v>16</v>
      </c>
      <c r="B1055" s="14" t="s">
        <v>41</v>
      </c>
      <c r="C1055" s="12"/>
      <c r="D1055" s="12">
        <v>1997</v>
      </c>
    </row>
    <row r="1056" spans="1:4" ht="19.899999999999999" customHeight="1">
      <c r="A1056" s="11" t="s">
        <v>17</v>
      </c>
      <c r="B1056" s="14" t="s">
        <v>41</v>
      </c>
      <c r="C1056" s="12"/>
      <c r="D1056" s="12">
        <v>1997</v>
      </c>
    </row>
    <row r="1057" spans="1:4" ht="19.899999999999999" customHeight="1">
      <c r="A1057" s="11" t="s">
        <v>18</v>
      </c>
      <c r="B1057" s="14" t="s">
        <v>41</v>
      </c>
      <c r="C1057" s="12"/>
      <c r="D1057" s="12">
        <v>1997</v>
      </c>
    </row>
    <row r="1058" spans="1:4" ht="19.899999999999999" customHeight="1">
      <c r="A1058" s="11" t="s">
        <v>19</v>
      </c>
      <c r="B1058" s="14" t="s">
        <v>41</v>
      </c>
      <c r="C1058" s="12"/>
      <c r="D1058" s="12">
        <v>1997</v>
      </c>
    </row>
    <row r="1059" spans="1:4" ht="19.899999999999999" customHeight="1">
      <c r="A1059" s="11" t="s">
        <v>20</v>
      </c>
      <c r="B1059" s="14" t="s">
        <v>41</v>
      </c>
      <c r="C1059" s="12"/>
      <c r="D1059" s="12">
        <v>1997</v>
      </c>
    </row>
    <row r="1060" spans="1:4" ht="19.899999999999999" customHeight="1">
      <c r="A1060" s="11" t="s">
        <v>21</v>
      </c>
      <c r="B1060" s="14" t="s">
        <v>41</v>
      </c>
      <c r="C1060" s="12"/>
      <c r="D1060" s="12">
        <v>1997</v>
      </c>
    </row>
    <row r="1061" spans="1:4" ht="19.899999999999999" customHeight="1">
      <c r="A1061" s="11" t="s">
        <v>22</v>
      </c>
      <c r="B1061" s="14" t="s">
        <v>41</v>
      </c>
      <c r="C1061" s="12"/>
      <c r="D1061" s="12">
        <v>1997</v>
      </c>
    </row>
    <row r="1062" spans="1:4" ht="19.899999999999999" customHeight="1">
      <c r="A1062" s="11" t="s">
        <v>23</v>
      </c>
      <c r="B1062" s="14" t="s">
        <v>41</v>
      </c>
      <c r="C1062" s="12"/>
      <c r="D1062" s="12">
        <v>1997</v>
      </c>
    </row>
    <row r="1063" spans="1:4" ht="19.899999999999999" customHeight="1">
      <c r="A1063" s="11" t="s">
        <v>24</v>
      </c>
      <c r="B1063" s="14" t="s">
        <v>41</v>
      </c>
      <c r="C1063" s="12"/>
      <c r="D1063" s="12">
        <v>1997</v>
      </c>
    </row>
    <row r="1064" spans="1:4" ht="19.899999999999999" customHeight="1">
      <c r="A1064" s="11" t="s">
        <v>25</v>
      </c>
      <c r="B1064" s="14" t="s">
        <v>41</v>
      </c>
      <c r="C1064" s="12"/>
      <c r="D1064" s="12">
        <v>1997</v>
      </c>
    </row>
    <row r="1065" spans="1:4" ht="19.899999999999999" customHeight="1">
      <c r="A1065" s="11" t="s">
        <v>26</v>
      </c>
      <c r="B1065" s="14" t="s">
        <v>41</v>
      </c>
      <c r="C1065" s="12">
        <v>12.6278896331787</v>
      </c>
      <c r="D1065" s="12">
        <v>1997</v>
      </c>
    </row>
    <row r="1066" spans="1:4" ht="19.899999999999999" customHeight="1">
      <c r="A1066" s="11" t="s">
        <v>27</v>
      </c>
      <c r="B1066" s="14" t="s">
        <v>41</v>
      </c>
      <c r="C1066" s="12"/>
      <c r="D1066" s="12">
        <v>1997</v>
      </c>
    </row>
    <row r="1067" spans="1:4" ht="19.899999999999999" customHeight="1">
      <c r="A1067" s="11" t="s">
        <v>28</v>
      </c>
      <c r="B1067" s="14" t="s">
        <v>41</v>
      </c>
      <c r="C1067" s="12"/>
      <c r="D1067" s="12">
        <v>1997</v>
      </c>
    </row>
    <row r="1068" spans="1:4" ht="19.899999999999999" customHeight="1">
      <c r="A1068" s="11" t="s">
        <v>29</v>
      </c>
      <c r="B1068" s="14" t="s">
        <v>41</v>
      </c>
      <c r="C1068" s="12"/>
      <c r="D1068" s="12">
        <v>1997</v>
      </c>
    </row>
    <row r="1069" spans="1:4" ht="19.899999999999999" customHeight="1">
      <c r="A1069" s="11" t="s">
        <v>4</v>
      </c>
      <c r="B1069" s="14" t="s">
        <v>41</v>
      </c>
      <c r="C1069" s="12"/>
      <c r="D1069" s="12">
        <v>1998</v>
      </c>
    </row>
    <row r="1070" spans="1:4" ht="19.899999999999999" customHeight="1">
      <c r="A1070" s="11" t="s">
        <v>5</v>
      </c>
      <c r="B1070" s="14" t="s">
        <v>41</v>
      </c>
      <c r="C1070" s="12"/>
      <c r="D1070" s="12">
        <v>1998</v>
      </c>
    </row>
    <row r="1071" spans="1:4" ht="19.899999999999999" customHeight="1">
      <c r="A1071" s="11" t="s">
        <v>6</v>
      </c>
      <c r="B1071" s="14" t="s">
        <v>41</v>
      </c>
      <c r="C1071" s="12">
        <v>11.071530342102101</v>
      </c>
      <c r="D1071" s="12">
        <v>1998</v>
      </c>
    </row>
    <row r="1072" spans="1:4" ht="19.899999999999999" customHeight="1">
      <c r="A1072" s="11" t="s">
        <v>7</v>
      </c>
      <c r="B1072" s="14" t="s">
        <v>41</v>
      </c>
      <c r="C1072" s="12">
        <v>17.1350708007813</v>
      </c>
      <c r="D1072" s="12">
        <v>1998</v>
      </c>
    </row>
    <row r="1073" spans="1:4" ht="19.899999999999999" customHeight="1">
      <c r="A1073" s="11" t="s">
        <v>8</v>
      </c>
      <c r="B1073" s="14" t="s">
        <v>41</v>
      </c>
      <c r="C1073" s="12"/>
      <c r="D1073" s="12">
        <v>1998</v>
      </c>
    </row>
    <row r="1074" spans="1:4" ht="19.899999999999999" customHeight="1">
      <c r="A1074" s="11" t="s">
        <v>1</v>
      </c>
      <c r="B1074" s="14" t="s">
        <v>41</v>
      </c>
      <c r="C1074" s="12"/>
      <c r="D1074" s="12">
        <v>1998</v>
      </c>
    </row>
    <row r="1075" spans="1:4" ht="19.899999999999999" customHeight="1">
      <c r="A1075" s="11" t="s">
        <v>9</v>
      </c>
      <c r="B1075" s="14" t="s">
        <v>41</v>
      </c>
      <c r="C1075" s="12"/>
      <c r="D1075" s="12">
        <v>1998</v>
      </c>
    </row>
    <row r="1076" spans="1:4" ht="19.899999999999999" customHeight="1">
      <c r="A1076" s="11" t="s">
        <v>10</v>
      </c>
      <c r="B1076" s="14" t="s">
        <v>41</v>
      </c>
      <c r="C1076" s="12"/>
      <c r="D1076" s="12">
        <v>1998</v>
      </c>
    </row>
    <row r="1077" spans="1:4" ht="19.899999999999999" customHeight="1">
      <c r="A1077" s="11" t="s">
        <v>11</v>
      </c>
      <c r="B1077" s="14" t="s">
        <v>41</v>
      </c>
      <c r="C1077" s="12"/>
      <c r="D1077" s="12">
        <v>1998</v>
      </c>
    </row>
    <row r="1078" spans="1:4" ht="19.899999999999999" customHeight="1">
      <c r="A1078" s="11" t="s">
        <v>38</v>
      </c>
      <c r="B1078" s="14" t="s">
        <v>41</v>
      </c>
      <c r="C1078" s="12"/>
      <c r="D1078" s="12">
        <v>1998</v>
      </c>
    </row>
    <row r="1079" spans="1:4" ht="19.899999999999999" customHeight="1">
      <c r="A1079" s="11" t="s">
        <v>12</v>
      </c>
      <c r="B1079" s="14" t="s">
        <v>41</v>
      </c>
      <c r="C1079" s="12"/>
      <c r="D1079" s="12">
        <v>1998</v>
      </c>
    </row>
    <row r="1080" spans="1:4" ht="19.899999999999999" customHeight="1">
      <c r="A1080" s="11" t="s">
        <v>13</v>
      </c>
      <c r="B1080" s="14" t="s">
        <v>41</v>
      </c>
      <c r="C1080" s="12">
        <v>9.3827695846557599</v>
      </c>
      <c r="D1080" s="12">
        <v>1998</v>
      </c>
    </row>
    <row r="1081" spans="1:4" ht="19.899999999999999" customHeight="1">
      <c r="A1081" s="11" t="s">
        <v>14</v>
      </c>
      <c r="B1081" s="14" t="s">
        <v>41</v>
      </c>
      <c r="C1081" s="12"/>
      <c r="D1081" s="12">
        <v>1998</v>
      </c>
    </row>
    <row r="1082" spans="1:4" ht="19.899999999999999" customHeight="1">
      <c r="A1082" s="11" t="s">
        <v>15</v>
      </c>
      <c r="B1082" s="14" t="s">
        <v>41</v>
      </c>
      <c r="C1082" s="12"/>
      <c r="D1082" s="12">
        <v>1998</v>
      </c>
    </row>
    <row r="1083" spans="1:4" ht="19.899999999999999" customHeight="1">
      <c r="A1083" s="11" t="s">
        <v>16</v>
      </c>
      <c r="B1083" s="14" t="s">
        <v>41</v>
      </c>
      <c r="C1083" s="12"/>
      <c r="D1083" s="12">
        <v>1998</v>
      </c>
    </row>
    <row r="1084" spans="1:4" ht="19.899999999999999" customHeight="1">
      <c r="A1084" s="11" t="s">
        <v>17</v>
      </c>
      <c r="B1084" s="14" t="s">
        <v>41</v>
      </c>
      <c r="C1084" s="12">
        <v>12.053750038146999</v>
      </c>
      <c r="D1084" s="12">
        <v>1998</v>
      </c>
    </row>
    <row r="1085" spans="1:4" ht="19.899999999999999" customHeight="1">
      <c r="A1085" s="11" t="s">
        <v>18</v>
      </c>
      <c r="B1085" s="14" t="s">
        <v>41</v>
      </c>
      <c r="C1085" s="12"/>
      <c r="D1085" s="12">
        <v>1998</v>
      </c>
    </row>
    <row r="1086" spans="1:4" ht="19.899999999999999" customHeight="1">
      <c r="A1086" s="11" t="s">
        <v>19</v>
      </c>
      <c r="B1086" s="14" t="s">
        <v>41</v>
      </c>
      <c r="C1086" s="12"/>
      <c r="D1086" s="12">
        <v>1998</v>
      </c>
    </row>
    <row r="1087" spans="1:4" ht="19.899999999999999" customHeight="1">
      <c r="A1087" s="11" t="s">
        <v>20</v>
      </c>
      <c r="B1087" s="14" t="s">
        <v>41</v>
      </c>
      <c r="C1087" s="12">
        <v>13.3818197250366</v>
      </c>
      <c r="D1087" s="12">
        <v>1998</v>
      </c>
    </row>
    <row r="1088" spans="1:4" ht="19.899999999999999" customHeight="1">
      <c r="A1088" s="11" t="s">
        <v>21</v>
      </c>
      <c r="B1088" s="14" t="s">
        <v>41</v>
      </c>
      <c r="C1088" s="12"/>
      <c r="D1088" s="12">
        <v>1998</v>
      </c>
    </row>
    <row r="1089" spans="1:4" ht="19.899999999999999" customHeight="1">
      <c r="A1089" s="11" t="s">
        <v>22</v>
      </c>
      <c r="B1089" s="14" t="s">
        <v>41</v>
      </c>
      <c r="C1089" s="12"/>
      <c r="D1089" s="12">
        <v>1998</v>
      </c>
    </row>
    <row r="1090" spans="1:4" ht="19.899999999999999" customHeight="1">
      <c r="A1090" s="11" t="s">
        <v>23</v>
      </c>
      <c r="B1090" s="14" t="s">
        <v>41</v>
      </c>
      <c r="C1090" s="12"/>
      <c r="D1090" s="12">
        <v>1998</v>
      </c>
    </row>
    <row r="1091" spans="1:4" ht="19.899999999999999" customHeight="1">
      <c r="A1091" s="11" t="s">
        <v>24</v>
      </c>
      <c r="B1091" s="14" t="s">
        <v>41</v>
      </c>
      <c r="C1091" s="12">
        <v>11.668829917907701</v>
      </c>
      <c r="D1091" s="12">
        <v>1998</v>
      </c>
    </row>
    <row r="1092" spans="1:4" ht="19.899999999999999" customHeight="1">
      <c r="A1092" s="11" t="s">
        <v>25</v>
      </c>
      <c r="B1092" s="14" t="s">
        <v>41</v>
      </c>
      <c r="C1092" s="12">
        <v>15.0724496841431</v>
      </c>
      <c r="D1092" s="12">
        <v>1998</v>
      </c>
    </row>
    <row r="1093" spans="1:4" ht="19.899999999999999" customHeight="1">
      <c r="A1093" s="11" t="s">
        <v>26</v>
      </c>
      <c r="B1093" s="14" t="s">
        <v>41</v>
      </c>
      <c r="C1093" s="12">
        <v>11.7939701080322</v>
      </c>
      <c r="D1093" s="12">
        <v>1998</v>
      </c>
    </row>
    <row r="1094" spans="1:4" ht="19.899999999999999" customHeight="1">
      <c r="A1094" s="11" t="s">
        <v>27</v>
      </c>
      <c r="B1094" s="14" t="s">
        <v>41</v>
      </c>
      <c r="C1094" s="12"/>
      <c r="D1094" s="12">
        <v>1998</v>
      </c>
    </row>
    <row r="1095" spans="1:4" ht="19.899999999999999" customHeight="1">
      <c r="A1095" s="11" t="s">
        <v>28</v>
      </c>
      <c r="B1095" s="14" t="s">
        <v>41</v>
      </c>
      <c r="C1095" s="12"/>
      <c r="D1095" s="12">
        <v>1998</v>
      </c>
    </row>
    <row r="1096" spans="1:4" ht="19.899999999999999" customHeight="1">
      <c r="A1096" s="11" t="s">
        <v>29</v>
      </c>
      <c r="B1096" s="14" t="s">
        <v>41</v>
      </c>
      <c r="C1096" s="12"/>
      <c r="D1096" s="12">
        <v>1998</v>
      </c>
    </row>
    <row r="1097" spans="1:4" ht="19.899999999999999" customHeight="1">
      <c r="A1097" s="11" t="s">
        <v>4</v>
      </c>
      <c r="B1097" s="14" t="s">
        <v>41</v>
      </c>
      <c r="C1097" s="12">
        <v>13.518639564514199</v>
      </c>
      <c r="D1097" s="12">
        <v>1999</v>
      </c>
    </row>
    <row r="1098" spans="1:4" ht="19.899999999999999" customHeight="1">
      <c r="A1098" s="11" t="s">
        <v>5</v>
      </c>
      <c r="B1098" s="14" t="s">
        <v>41</v>
      </c>
      <c r="C1098" s="12"/>
      <c r="D1098" s="12">
        <v>1999</v>
      </c>
    </row>
    <row r="1099" spans="1:4" ht="19.899999999999999" customHeight="1">
      <c r="A1099" s="11" t="s">
        <v>6</v>
      </c>
      <c r="B1099" s="14" t="s">
        <v>41</v>
      </c>
      <c r="C1099" s="12">
        <v>17.059980392456101</v>
      </c>
      <c r="D1099" s="12">
        <v>1999</v>
      </c>
    </row>
    <row r="1100" spans="1:4" ht="19.899999999999999" customHeight="1">
      <c r="A1100" s="11" t="s">
        <v>7</v>
      </c>
      <c r="B1100" s="14" t="s">
        <v>41</v>
      </c>
      <c r="C1100" s="12"/>
      <c r="D1100" s="12">
        <v>1999</v>
      </c>
    </row>
    <row r="1101" spans="1:4" ht="19.899999999999999" customHeight="1">
      <c r="A1101" s="11" t="s">
        <v>8</v>
      </c>
      <c r="B1101" s="14" t="s">
        <v>41</v>
      </c>
      <c r="C1101" s="12">
        <v>22.896070480346701</v>
      </c>
      <c r="D1101" s="12">
        <v>1999</v>
      </c>
    </row>
    <row r="1102" spans="1:4" ht="19.899999999999999" customHeight="1">
      <c r="A1102" s="11" t="s">
        <v>1</v>
      </c>
      <c r="B1102" s="14" t="s">
        <v>41</v>
      </c>
      <c r="C1102" s="12"/>
      <c r="D1102" s="12">
        <v>1999</v>
      </c>
    </row>
    <row r="1103" spans="1:4" ht="19.899999999999999" customHeight="1">
      <c r="A1103" s="11" t="s">
        <v>9</v>
      </c>
      <c r="B1103" s="14" t="s">
        <v>41</v>
      </c>
      <c r="C1103" s="12">
        <v>14.6585502624512</v>
      </c>
      <c r="D1103" s="12">
        <v>1999</v>
      </c>
    </row>
    <row r="1104" spans="1:4" ht="19.899999999999999" customHeight="1">
      <c r="A1104" s="11" t="s">
        <v>10</v>
      </c>
      <c r="B1104" s="14" t="s">
        <v>41</v>
      </c>
      <c r="C1104" s="12"/>
      <c r="D1104" s="12">
        <v>1999</v>
      </c>
    </row>
    <row r="1105" spans="1:4" ht="19.899999999999999" customHeight="1">
      <c r="A1105" s="11" t="s">
        <v>11</v>
      </c>
      <c r="B1105" s="14" t="s">
        <v>41</v>
      </c>
      <c r="C1105" s="12">
        <v>24.0459804534912</v>
      </c>
      <c r="D1105" s="12">
        <v>1999</v>
      </c>
    </row>
    <row r="1106" spans="1:4" ht="19.899999999999999" customHeight="1">
      <c r="A1106" s="11" t="s">
        <v>38</v>
      </c>
      <c r="B1106" s="14" t="s">
        <v>41</v>
      </c>
      <c r="C1106" s="12"/>
      <c r="D1106" s="12">
        <v>1999</v>
      </c>
    </row>
    <row r="1107" spans="1:4" ht="19.899999999999999" customHeight="1">
      <c r="A1107" s="11" t="s">
        <v>12</v>
      </c>
      <c r="B1107" s="14" t="s">
        <v>41</v>
      </c>
      <c r="C1107" s="12"/>
      <c r="D1107" s="12">
        <v>1999</v>
      </c>
    </row>
    <row r="1108" spans="1:4" ht="19.899999999999999" customHeight="1">
      <c r="A1108" s="11" t="s">
        <v>13</v>
      </c>
      <c r="B1108" s="14" t="s">
        <v>41</v>
      </c>
      <c r="C1108" s="12">
        <v>15.538700103759799</v>
      </c>
      <c r="D1108" s="12">
        <v>1999</v>
      </c>
    </row>
    <row r="1109" spans="1:4" ht="19.899999999999999" customHeight="1">
      <c r="A1109" s="11" t="s">
        <v>14</v>
      </c>
      <c r="B1109" s="14" t="s">
        <v>41</v>
      </c>
      <c r="C1109" s="12"/>
      <c r="D1109" s="12">
        <v>1999</v>
      </c>
    </row>
    <row r="1110" spans="1:4" ht="19.899999999999999" customHeight="1">
      <c r="A1110" s="11" t="s">
        <v>15</v>
      </c>
      <c r="B1110" s="14" t="s">
        <v>41</v>
      </c>
      <c r="C1110" s="12"/>
      <c r="D1110" s="12">
        <v>1999</v>
      </c>
    </row>
    <row r="1111" spans="1:4" ht="19.899999999999999" customHeight="1">
      <c r="A1111" s="11" t="s">
        <v>16</v>
      </c>
      <c r="B1111" s="14" t="s">
        <v>41</v>
      </c>
      <c r="C1111" s="12">
        <v>14.1224203109741</v>
      </c>
      <c r="D1111" s="12">
        <v>1999</v>
      </c>
    </row>
    <row r="1112" spans="1:4" ht="19.899999999999999" customHeight="1">
      <c r="A1112" s="11" t="s">
        <v>17</v>
      </c>
      <c r="B1112" s="14" t="s">
        <v>41</v>
      </c>
      <c r="C1112" s="12">
        <v>16.9233207702637</v>
      </c>
      <c r="D1112" s="12">
        <v>1999</v>
      </c>
    </row>
    <row r="1113" spans="1:4" ht="19.899999999999999" customHeight="1">
      <c r="A1113" s="11" t="s">
        <v>18</v>
      </c>
      <c r="B1113" s="14" t="s">
        <v>41</v>
      </c>
      <c r="C1113" s="12"/>
      <c r="D1113" s="12">
        <v>1999</v>
      </c>
    </row>
    <row r="1114" spans="1:4" ht="19.899999999999999" customHeight="1">
      <c r="A1114" s="11" t="s">
        <v>19</v>
      </c>
      <c r="B1114" s="14" t="s">
        <v>41</v>
      </c>
      <c r="C1114" s="12"/>
      <c r="D1114" s="12">
        <v>1999</v>
      </c>
    </row>
    <row r="1115" spans="1:4" ht="19.899999999999999" customHeight="1">
      <c r="A1115" s="11" t="s">
        <v>20</v>
      </c>
      <c r="B1115" s="14" t="s">
        <v>41</v>
      </c>
      <c r="C1115" s="12">
        <v>14.716799736022899</v>
      </c>
      <c r="D1115" s="12">
        <v>1999</v>
      </c>
    </row>
    <row r="1116" spans="1:4" ht="19.899999999999999" customHeight="1">
      <c r="A1116" s="11" t="s">
        <v>21</v>
      </c>
      <c r="B1116" s="14" t="s">
        <v>41</v>
      </c>
      <c r="C1116" s="12">
        <v>17.1178092956543</v>
      </c>
      <c r="D1116" s="12">
        <v>1999</v>
      </c>
    </row>
    <row r="1117" spans="1:4" ht="19.899999999999999" customHeight="1">
      <c r="A1117" s="11" t="s">
        <v>22</v>
      </c>
      <c r="B1117" s="14" t="s">
        <v>41</v>
      </c>
      <c r="C1117" s="12">
        <v>17.250669479370099</v>
      </c>
      <c r="D1117" s="12">
        <v>1999</v>
      </c>
    </row>
    <row r="1118" spans="1:4" ht="19.899999999999999" customHeight="1">
      <c r="A1118" s="11" t="s">
        <v>23</v>
      </c>
      <c r="B1118" s="14" t="s">
        <v>41</v>
      </c>
      <c r="C1118" s="12"/>
      <c r="D1118" s="12">
        <v>1999</v>
      </c>
    </row>
    <row r="1119" spans="1:4" ht="19.899999999999999" customHeight="1">
      <c r="A1119" s="11" t="s">
        <v>24</v>
      </c>
      <c r="B1119" s="14" t="s">
        <v>41</v>
      </c>
      <c r="C1119" s="12"/>
      <c r="D1119" s="12">
        <v>1999</v>
      </c>
    </row>
    <row r="1120" spans="1:4" ht="19.899999999999999" customHeight="1">
      <c r="A1120" s="11" t="s">
        <v>25</v>
      </c>
      <c r="B1120" s="14" t="s">
        <v>41</v>
      </c>
      <c r="C1120" s="12">
        <v>11.834389686584499</v>
      </c>
      <c r="D1120" s="12">
        <v>1999</v>
      </c>
    </row>
    <row r="1121" spans="1:4" ht="19.899999999999999" customHeight="1">
      <c r="A1121" s="11" t="s">
        <v>26</v>
      </c>
      <c r="B1121" s="14" t="s">
        <v>41</v>
      </c>
      <c r="C1121" s="12"/>
      <c r="D1121" s="12">
        <v>1999</v>
      </c>
    </row>
    <row r="1122" spans="1:4" ht="19.899999999999999" customHeight="1">
      <c r="A1122" s="11" t="s">
        <v>27</v>
      </c>
      <c r="B1122" s="14" t="s">
        <v>41</v>
      </c>
      <c r="C1122" s="12"/>
      <c r="D1122" s="12">
        <v>1999</v>
      </c>
    </row>
    <row r="1123" spans="1:4" ht="19.899999999999999" customHeight="1">
      <c r="A1123" s="11" t="s">
        <v>28</v>
      </c>
      <c r="B1123" s="14" t="s">
        <v>41</v>
      </c>
      <c r="C1123" s="12"/>
      <c r="D1123" s="12">
        <v>1999</v>
      </c>
    </row>
    <row r="1124" spans="1:4" ht="19.899999999999999" customHeight="1">
      <c r="A1124" s="11" t="s">
        <v>29</v>
      </c>
      <c r="B1124" s="14" t="s">
        <v>41</v>
      </c>
      <c r="C1124" s="12"/>
      <c r="D1124" s="12">
        <v>1999</v>
      </c>
    </row>
    <row r="1125" spans="1:4" ht="19.899999999999999" customHeight="1">
      <c r="A1125" s="11" t="s">
        <v>4</v>
      </c>
      <c r="B1125" s="14" t="s">
        <v>41</v>
      </c>
      <c r="C1125" s="12">
        <v>10.7352600097656</v>
      </c>
      <c r="D1125" s="12">
        <v>2000</v>
      </c>
    </row>
    <row r="1126" spans="1:4" ht="19.899999999999999" customHeight="1">
      <c r="A1126" s="11" t="s">
        <v>5</v>
      </c>
      <c r="B1126" s="14" t="s">
        <v>41</v>
      </c>
      <c r="C1126" s="12">
        <v>11.6836996078491</v>
      </c>
      <c r="D1126" s="12">
        <v>2000</v>
      </c>
    </row>
    <row r="1127" spans="1:4" ht="19.899999999999999" customHeight="1">
      <c r="A1127" s="11" t="s">
        <v>6</v>
      </c>
      <c r="B1127" s="14" t="s">
        <v>41</v>
      </c>
      <c r="C1127" s="12">
        <v>12.844490051269499</v>
      </c>
      <c r="D1127" s="12">
        <v>2000</v>
      </c>
    </row>
    <row r="1128" spans="1:4" ht="19.899999999999999" customHeight="1">
      <c r="A1128" s="11" t="s">
        <v>7</v>
      </c>
      <c r="B1128" s="14" t="s">
        <v>41</v>
      </c>
      <c r="C1128" s="12"/>
      <c r="D1128" s="12">
        <v>2000</v>
      </c>
    </row>
    <row r="1129" spans="1:4" ht="19.899999999999999" customHeight="1">
      <c r="A1129" s="11" t="s">
        <v>8</v>
      </c>
      <c r="B1129" s="14" t="s">
        <v>41</v>
      </c>
      <c r="C1129" s="12">
        <v>29.385950088501001</v>
      </c>
      <c r="D1129" s="12">
        <v>2000</v>
      </c>
    </row>
    <row r="1130" spans="1:4" ht="19.899999999999999" customHeight="1">
      <c r="A1130" s="11" t="s">
        <v>1</v>
      </c>
      <c r="B1130" s="14" t="s">
        <v>41</v>
      </c>
      <c r="C1130" s="12">
        <v>14.9077301025391</v>
      </c>
      <c r="D1130" s="12">
        <v>2000</v>
      </c>
    </row>
    <row r="1131" spans="1:4" ht="19.899999999999999" customHeight="1">
      <c r="A1131" s="11" t="s">
        <v>9</v>
      </c>
      <c r="B1131" s="14" t="s">
        <v>41</v>
      </c>
      <c r="C1131" s="12">
        <v>15.195969581604</v>
      </c>
      <c r="D1131" s="12">
        <v>2000</v>
      </c>
    </row>
    <row r="1132" spans="1:4" ht="19.899999999999999" customHeight="1">
      <c r="A1132" s="11" t="s">
        <v>10</v>
      </c>
      <c r="B1132" s="14" t="s">
        <v>41</v>
      </c>
      <c r="C1132" s="12"/>
      <c r="D1132" s="12">
        <v>2000</v>
      </c>
    </row>
    <row r="1133" spans="1:4" ht="19.899999999999999" customHeight="1">
      <c r="A1133" s="11" t="s">
        <v>11</v>
      </c>
      <c r="B1133" s="14" t="s">
        <v>41</v>
      </c>
      <c r="C1133" s="12">
        <v>23.397010803222699</v>
      </c>
      <c r="D1133" s="12">
        <v>2000</v>
      </c>
    </row>
    <row r="1134" spans="1:4" ht="19.899999999999999" customHeight="1">
      <c r="A1134" s="11" t="s">
        <v>38</v>
      </c>
      <c r="B1134" s="14" t="s">
        <v>41</v>
      </c>
      <c r="C1134" s="12"/>
      <c r="D1134" s="12">
        <v>2000</v>
      </c>
    </row>
    <row r="1135" spans="1:4" ht="19.899999999999999" customHeight="1">
      <c r="A1135" s="11" t="s">
        <v>12</v>
      </c>
      <c r="B1135" s="14" t="s">
        <v>41</v>
      </c>
      <c r="C1135" s="12"/>
      <c r="D1135" s="12">
        <v>2000</v>
      </c>
    </row>
    <row r="1136" spans="1:4" ht="19.899999999999999" customHeight="1">
      <c r="A1136" s="11" t="s">
        <v>13</v>
      </c>
      <c r="B1136" s="14" t="s">
        <v>41</v>
      </c>
      <c r="C1136" s="12">
        <v>15.890509605407701</v>
      </c>
      <c r="D1136" s="12">
        <v>2000</v>
      </c>
    </row>
    <row r="1137" spans="1:4" ht="19.899999999999999" customHeight="1">
      <c r="A1137" s="11" t="s">
        <v>14</v>
      </c>
      <c r="B1137" s="14" t="s">
        <v>41</v>
      </c>
      <c r="C1137" s="12"/>
      <c r="D1137" s="12">
        <v>2000</v>
      </c>
    </row>
    <row r="1138" spans="1:4" ht="19.899999999999999" customHeight="1">
      <c r="A1138" s="11" t="s">
        <v>15</v>
      </c>
      <c r="B1138" s="14" t="s">
        <v>41</v>
      </c>
      <c r="C1138" s="12">
        <v>15.323809623718301</v>
      </c>
      <c r="D1138" s="12">
        <v>2000</v>
      </c>
    </row>
    <row r="1139" spans="1:4" ht="19.899999999999999" customHeight="1">
      <c r="A1139" s="11" t="s">
        <v>16</v>
      </c>
      <c r="B1139" s="14" t="s">
        <v>41</v>
      </c>
      <c r="C1139" s="12">
        <v>12.9239301681519</v>
      </c>
      <c r="D1139" s="12">
        <v>2000</v>
      </c>
    </row>
    <row r="1140" spans="1:4" ht="19.899999999999999" customHeight="1">
      <c r="A1140" s="11" t="s">
        <v>17</v>
      </c>
      <c r="B1140" s="14" t="s">
        <v>41</v>
      </c>
      <c r="C1140" s="12"/>
      <c r="D1140" s="12">
        <v>2000</v>
      </c>
    </row>
    <row r="1141" spans="1:4" ht="19.899999999999999" customHeight="1">
      <c r="A1141" s="11" t="s">
        <v>18</v>
      </c>
      <c r="B1141" s="14" t="s">
        <v>41</v>
      </c>
      <c r="C1141" s="12"/>
      <c r="D1141" s="12">
        <v>2000</v>
      </c>
    </row>
    <row r="1142" spans="1:4" ht="19.899999999999999" customHeight="1">
      <c r="A1142" s="11" t="s">
        <v>19</v>
      </c>
      <c r="B1142" s="14" t="s">
        <v>41</v>
      </c>
      <c r="C1142" s="12">
        <v>19.113590240478501</v>
      </c>
      <c r="D1142" s="12">
        <v>2000</v>
      </c>
    </row>
    <row r="1143" spans="1:4" ht="19.899999999999999" customHeight="1">
      <c r="A1143" s="11" t="s">
        <v>20</v>
      </c>
      <c r="B1143" s="14" t="s">
        <v>41</v>
      </c>
      <c r="C1143" s="12">
        <v>14.5736999511719</v>
      </c>
      <c r="D1143" s="12">
        <v>2000</v>
      </c>
    </row>
    <row r="1144" spans="1:4" ht="19.899999999999999" customHeight="1">
      <c r="A1144" s="11" t="s">
        <v>21</v>
      </c>
      <c r="B1144" s="14" t="s">
        <v>41</v>
      </c>
      <c r="C1144" s="12">
        <v>18.7831707000732</v>
      </c>
      <c r="D1144" s="12">
        <v>2000</v>
      </c>
    </row>
    <row r="1145" spans="1:4" ht="19.899999999999999" customHeight="1">
      <c r="A1145" s="11" t="s">
        <v>22</v>
      </c>
      <c r="B1145" s="14" t="s">
        <v>41</v>
      </c>
      <c r="C1145" s="12">
        <v>18.835329055786101</v>
      </c>
      <c r="D1145" s="12">
        <v>2000</v>
      </c>
    </row>
    <row r="1146" spans="1:4" ht="19.899999999999999" customHeight="1">
      <c r="A1146" s="11" t="s">
        <v>23</v>
      </c>
      <c r="B1146" s="14" t="s">
        <v>41</v>
      </c>
      <c r="C1146" s="12"/>
      <c r="D1146" s="12">
        <v>2000</v>
      </c>
    </row>
    <row r="1147" spans="1:4" ht="19.899999999999999" customHeight="1">
      <c r="A1147" s="11" t="s">
        <v>24</v>
      </c>
      <c r="B1147" s="14" t="s">
        <v>41</v>
      </c>
      <c r="C1147" s="12"/>
      <c r="D1147" s="12">
        <v>2000</v>
      </c>
    </row>
    <row r="1148" spans="1:4" ht="19.899999999999999" customHeight="1">
      <c r="A1148" s="11" t="s">
        <v>25</v>
      </c>
      <c r="B1148" s="14" t="s">
        <v>41</v>
      </c>
      <c r="C1148" s="12">
        <v>12.025139808654799</v>
      </c>
      <c r="D1148" s="12">
        <v>2000</v>
      </c>
    </row>
    <row r="1149" spans="1:4" ht="19.899999999999999" customHeight="1">
      <c r="A1149" s="11" t="s">
        <v>26</v>
      </c>
      <c r="B1149" s="14" t="s">
        <v>41</v>
      </c>
      <c r="C1149" s="12"/>
      <c r="D1149" s="12">
        <v>2000</v>
      </c>
    </row>
    <row r="1150" spans="1:4" ht="19.899999999999999" customHeight="1">
      <c r="A1150" s="11" t="s">
        <v>27</v>
      </c>
      <c r="B1150" s="14" t="s">
        <v>41</v>
      </c>
      <c r="C1150" s="12">
        <v>10.3548698425293</v>
      </c>
      <c r="D1150" s="12">
        <v>2000</v>
      </c>
    </row>
    <row r="1151" spans="1:4" ht="19.899999999999999" customHeight="1">
      <c r="A1151" s="11" t="s">
        <v>28</v>
      </c>
      <c r="B1151" s="14" t="s">
        <v>41</v>
      </c>
      <c r="C1151" s="12">
        <v>8.3526201248168892</v>
      </c>
      <c r="D1151" s="12">
        <v>2000</v>
      </c>
    </row>
    <row r="1152" spans="1:4" ht="19.899999999999999" customHeight="1">
      <c r="A1152" s="11" t="s">
        <v>29</v>
      </c>
      <c r="B1152" s="14" t="s">
        <v>41</v>
      </c>
      <c r="C1152" s="12"/>
      <c r="D1152" s="12">
        <v>2000</v>
      </c>
    </row>
    <row r="1153" spans="1:4" ht="19.899999999999999" customHeight="1">
      <c r="A1153" s="11" t="s">
        <v>4</v>
      </c>
      <c r="B1153" s="14" t="s">
        <v>41</v>
      </c>
      <c r="C1153" s="12">
        <v>11.4331302642822</v>
      </c>
      <c r="D1153" s="12">
        <v>2001</v>
      </c>
    </row>
    <row r="1154" spans="1:4" ht="19.899999999999999" customHeight="1">
      <c r="A1154" s="11" t="s">
        <v>5</v>
      </c>
      <c r="B1154" s="14" t="s">
        <v>41</v>
      </c>
      <c r="C1154" s="12">
        <v>15.733940124511699</v>
      </c>
      <c r="D1154" s="12">
        <v>2001</v>
      </c>
    </row>
    <row r="1155" spans="1:4" ht="19.899999999999999" customHeight="1">
      <c r="A1155" s="11" t="s">
        <v>6</v>
      </c>
      <c r="B1155" s="14" t="s">
        <v>41</v>
      </c>
      <c r="C1155" s="12">
        <v>13.7868499755859</v>
      </c>
      <c r="D1155" s="12">
        <v>2001</v>
      </c>
    </row>
    <row r="1156" spans="1:4" ht="19.899999999999999" customHeight="1">
      <c r="A1156" s="11" t="s">
        <v>7</v>
      </c>
      <c r="B1156" s="14" t="s">
        <v>41</v>
      </c>
      <c r="C1156" s="12"/>
      <c r="D1156" s="12">
        <v>2001</v>
      </c>
    </row>
    <row r="1157" spans="1:4" ht="19.899999999999999" customHeight="1">
      <c r="A1157" s="11" t="s">
        <v>8</v>
      </c>
      <c r="B1157" s="14" t="s">
        <v>41</v>
      </c>
      <c r="C1157" s="12">
        <v>26.2800197601318</v>
      </c>
      <c r="D1157" s="12">
        <v>2001</v>
      </c>
    </row>
    <row r="1158" spans="1:4" ht="19.899999999999999" customHeight="1">
      <c r="A1158" s="11" t="s">
        <v>1</v>
      </c>
      <c r="B1158" s="14" t="s">
        <v>41</v>
      </c>
      <c r="C1158" s="12">
        <v>14.4617700576782</v>
      </c>
      <c r="D1158" s="12">
        <v>2001</v>
      </c>
    </row>
    <row r="1159" spans="1:4" ht="19.899999999999999" customHeight="1">
      <c r="A1159" s="11" t="s">
        <v>9</v>
      </c>
      <c r="B1159" s="14" t="s">
        <v>41</v>
      </c>
      <c r="C1159" s="12">
        <v>10.3157596588135</v>
      </c>
      <c r="D1159" s="12">
        <v>2001</v>
      </c>
    </row>
    <row r="1160" spans="1:4" ht="19.899999999999999" customHeight="1">
      <c r="A1160" s="11" t="s">
        <v>10</v>
      </c>
      <c r="B1160" s="14" t="s">
        <v>41</v>
      </c>
      <c r="C1160" s="12"/>
      <c r="D1160" s="12">
        <v>2001</v>
      </c>
    </row>
    <row r="1161" spans="1:4" ht="19.899999999999999" customHeight="1">
      <c r="A1161" s="11" t="s">
        <v>11</v>
      </c>
      <c r="B1161" s="14" t="s">
        <v>41</v>
      </c>
      <c r="C1161" s="12">
        <v>22.395709991455099</v>
      </c>
      <c r="D1161" s="12">
        <v>2001</v>
      </c>
    </row>
    <row r="1162" spans="1:4" ht="19.899999999999999" customHeight="1">
      <c r="A1162" s="11" t="s">
        <v>38</v>
      </c>
      <c r="B1162" s="14" t="s">
        <v>41</v>
      </c>
      <c r="C1162" s="12"/>
      <c r="D1162" s="12">
        <v>2001</v>
      </c>
    </row>
    <row r="1163" spans="1:4" ht="19.899999999999999" customHeight="1">
      <c r="A1163" s="11" t="s">
        <v>12</v>
      </c>
      <c r="B1163" s="14" t="s">
        <v>41</v>
      </c>
      <c r="C1163" s="12"/>
      <c r="D1163" s="12">
        <v>2001</v>
      </c>
    </row>
    <row r="1164" spans="1:4" ht="19.899999999999999" customHeight="1">
      <c r="A1164" s="11" t="s">
        <v>13</v>
      </c>
      <c r="B1164" s="14" t="s">
        <v>41</v>
      </c>
      <c r="C1164" s="12">
        <v>17.682470321655298</v>
      </c>
      <c r="D1164" s="12">
        <v>2001</v>
      </c>
    </row>
    <row r="1165" spans="1:4" ht="19.899999999999999" customHeight="1">
      <c r="A1165" s="11" t="s">
        <v>14</v>
      </c>
      <c r="B1165" s="14" t="s">
        <v>41</v>
      </c>
      <c r="C1165" s="12"/>
      <c r="D1165" s="12">
        <v>2001</v>
      </c>
    </row>
    <row r="1166" spans="1:4" ht="19.899999999999999" customHeight="1">
      <c r="A1166" s="11" t="s">
        <v>15</v>
      </c>
      <c r="B1166" s="14" t="s">
        <v>41</v>
      </c>
      <c r="C1166" s="12">
        <v>14.4931898117065</v>
      </c>
      <c r="D1166" s="12">
        <v>2001</v>
      </c>
    </row>
    <row r="1167" spans="1:4" ht="19.899999999999999" customHeight="1">
      <c r="A1167" s="11" t="s">
        <v>16</v>
      </c>
      <c r="B1167" s="14" t="s">
        <v>41</v>
      </c>
      <c r="C1167" s="12">
        <v>16.424760818481399</v>
      </c>
      <c r="D1167" s="12">
        <v>2001</v>
      </c>
    </row>
    <row r="1168" spans="1:4" ht="19.899999999999999" customHeight="1">
      <c r="A1168" s="11" t="s">
        <v>17</v>
      </c>
      <c r="B1168" s="14" t="s">
        <v>41</v>
      </c>
      <c r="C1168" s="12"/>
      <c r="D1168" s="12">
        <v>2001</v>
      </c>
    </row>
    <row r="1169" spans="1:4" ht="19.899999999999999" customHeight="1">
      <c r="A1169" s="11" t="s">
        <v>18</v>
      </c>
      <c r="B1169" s="14" t="s">
        <v>41</v>
      </c>
      <c r="C1169" s="12"/>
      <c r="D1169" s="12">
        <v>2001</v>
      </c>
    </row>
    <row r="1170" spans="1:4" ht="19.899999999999999" customHeight="1">
      <c r="A1170" s="11" t="s">
        <v>19</v>
      </c>
      <c r="B1170" s="14" t="s">
        <v>41</v>
      </c>
      <c r="C1170" s="12">
        <v>21.618940353393601</v>
      </c>
      <c r="D1170" s="12">
        <v>2001</v>
      </c>
    </row>
    <row r="1171" spans="1:4" ht="19.899999999999999" customHeight="1">
      <c r="A1171" s="11" t="s">
        <v>20</v>
      </c>
      <c r="B1171" s="14" t="s">
        <v>41</v>
      </c>
      <c r="C1171" s="12"/>
      <c r="D1171" s="12">
        <v>2001</v>
      </c>
    </row>
    <row r="1172" spans="1:4" ht="19.899999999999999" customHeight="1">
      <c r="A1172" s="11" t="s">
        <v>21</v>
      </c>
      <c r="B1172" s="14" t="s">
        <v>41</v>
      </c>
      <c r="C1172" s="12">
        <v>16.5955696105957</v>
      </c>
      <c r="D1172" s="12">
        <v>2001</v>
      </c>
    </row>
    <row r="1173" spans="1:4" ht="19.899999999999999" customHeight="1">
      <c r="A1173" s="11" t="s">
        <v>22</v>
      </c>
      <c r="B1173" s="14" t="s">
        <v>41</v>
      </c>
      <c r="C1173" s="12">
        <v>25.3131408691406</v>
      </c>
      <c r="D1173" s="12">
        <v>2001</v>
      </c>
    </row>
    <row r="1174" spans="1:4" ht="19.899999999999999" customHeight="1">
      <c r="A1174" s="11" t="s">
        <v>23</v>
      </c>
      <c r="B1174" s="14" t="s">
        <v>41</v>
      </c>
      <c r="C1174" s="12"/>
      <c r="D1174" s="12">
        <v>2001</v>
      </c>
    </row>
    <row r="1175" spans="1:4" ht="19.899999999999999" customHeight="1">
      <c r="A1175" s="11" t="s">
        <v>24</v>
      </c>
      <c r="B1175" s="14" t="s">
        <v>41</v>
      </c>
      <c r="C1175" s="12"/>
      <c r="D1175" s="12">
        <v>2001</v>
      </c>
    </row>
    <row r="1176" spans="1:4" ht="19.899999999999999" customHeight="1">
      <c r="A1176" s="11" t="s">
        <v>25</v>
      </c>
      <c r="B1176" s="14" t="s">
        <v>41</v>
      </c>
      <c r="C1176" s="12">
        <v>13.188529968261699</v>
      </c>
      <c r="D1176" s="12">
        <v>2001</v>
      </c>
    </row>
    <row r="1177" spans="1:4" ht="19.899999999999999" customHeight="1">
      <c r="A1177" s="11" t="s">
        <v>26</v>
      </c>
      <c r="B1177" s="14" t="s">
        <v>41</v>
      </c>
      <c r="C1177" s="12"/>
      <c r="D1177" s="12">
        <v>2001</v>
      </c>
    </row>
    <row r="1178" spans="1:4" ht="19.899999999999999" customHeight="1">
      <c r="A1178" s="11" t="s">
        <v>27</v>
      </c>
      <c r="B1178" s="14" t="s">
        <v>41</v>
      </c>
      <c r="C1178" s="12"/>
      <c r="D1178" s="12">
        <v>2001</v>
      </c>
    </row>
    <row r="1179" spans="1:4" ht="19.899999999999999" customHeight="1">
      <c r="A1179" s="11" t="s">
        <v>28</v>
      </c>
      <c r="B1179" s="14" t="s">
        <v>41</v>
      </c>
      <c r="C1179" s="12"/>
      <c r="D1179" s="12">
        <v>2001</v>
      </c>
    </row>
    <row r="1180" spans="1:4" ht="19.899999999999999" customHeight="1">
      <c r="A1180" s="11" t="s">
        <v>29</v>
      </c>
      <c r="B1180" s="14" t="s">
        <v>41</v>
      </c>
      <c r="C1180" s="12"/>
      <c r="D1180" s="12">
        <v>2001</v>
      </c>
    </row>
    <row r="1181" spans="1:4" ht="19.899999999999999" customHeight="1">
      <c r="A1181" s="11" t="s">
        <v>4</v>
      </c>
      <c r="B1181" s="14" t="s">
        <v>41</v>
      </c>
      <c r="C1181" s="12">
        <v>12.486080169677701</v>
      </c>
      <c r="D1181" s="12">
        <v>2002</v>
      </c>
    </row>
    <row r="1182" spans="1:4" ht="19.899999999999999" customHeight="1">
      <c r="A1182" s="11" t="s">
        <v>5</v>
      </c>
      <c r="B1182" s="14" t="s">
        <v>41</v>
      </c>
      <c r="C1182" s="12"/>
      <c r="D1182" s="12">
        <v>2002</v>
      </c>
    </row>
    <row r="1183" spans="1:4" ht="19.899999999999999" customHeight="1">
      <c r="A1183" s="11" t="s">
        <v>6</v>
      </c>
      <c r="B1183" s="14" t="s">
        <v>41</v>
      </c>
      <c r="C1183" s="12"/>
      <c r="D1183" s="12">
        <v>2002</v>
      </c>
    </row>
    <row r="1184" spans="1:4" ht="19.899999999999999" customHeight="1">
      <c r="A1184" s="11" t="s">
        <v>7</v>
      </c>
      <c r="B1184" s="14" t="s">
        <v>41</v>
      </c>
      <c r="C1184" s="12">
        <v>15.789719581604</v>
      </c>
      <c r="D1184" s="12">
        <v>2002</v>
      </c>
    </row>
    <row r="1185" spans="1:4" ht="19.899999999999999" customHeight="1">
      <c r="A1185" s="11" t="s">
        <v>8</v>
      </c>
      <c r="B1185" s="14" t="s">
        <v>41</v>
      </c>
      <c r="C1185" s="12">
        <v>25.4893093109131</v>
      </c>
      <c r="D1185" s="12">
        <v>2002</v>
      </c>
    </row>
    <row r="1186" spans="1:4" ht="19.899999999999999" customHeight="1">
      <c r="A1186" s="11" t="s">
        <v>1</v>
      </c>
      <c r="B1186" s="14" t="s">
        <v>41</v>
      </c>
      <c r="C1186" s="12">
        <v>16.187749862670799</v>
      </c>
      <c r="D1186" s="12">
        <v>2002</v>
      </c>
    </row>
    <row r="1187" spans="1:4" ht="19.899999999999999" customHeight="1">
      <c r="A1187" s="11" t="s">
        <v>9</v>
      </c>
      <c r="B1187" s="14" t="s">
        <v>41</v>
      </c>
      <c r="C1187" s="12">
        <v>13.0643196105957</v>
      </c>
      <c r="D1187" s="12">
        <v>2002</v>
      </c>
    </row>
    <row r="1188" spans="1:4" ht="19.899999999999999" customHeight="1">
      <c r="A1188" s="11" t="s">
        <v>10</v>
      </c>
      <c r="B1188" s="14" t="s">
        <v>41</v>
      </c>
      <c r="C1188" s="12"/>
      <c r="D1188" s="12">
        <v>2002</v>
      </c>
    </row>
    <row r="1189" spans="1:4" ht="19.899999999999999" customHeight="1">
      <c r="A1189" s="11" t="s">
        <v>11</v>
      </c>
      <c r="B1189" s="14" t="s">
        <v>41</v>
      </c>
      <c r="C1189" s="12">
        <v>25.628210067748999</v>
      </c>
      <c r="D1189" s="12">
        <v>2002</v>
      </c>
    </row>
    <row r="1190" spans="1:4" ht="19.899999999999999" customHeight="1">
      <c r="A1190" s="11" t="s">
        <v>38</v>
      </c>
      <c r="B1190" s="14" t="s">
        <v>41</v>
      </c>
      <c r="C1190" s="12"/>
      <c r="D1190" s="12">
        <v>2002</v>
      </c>
    </row>
    <row r="1191" spans="1:4" ht="19.899999999999999" customHeight="1">
      <c r="A1191" s="11" t="s">
        <v>12</v>
      </c>
      <c r="B1191" s="14" t="s">
        <v>41</v>
      </c>
      <c r="C1191" s="12"/>
      <c r="D1191" s="12">
        <v>2002</v>
      </c>
    </row>
    <row r="1192" spans="1:4" ht="19.899999999999999" customHeight="1">
      <c r="A1192" s="11" t="s">
        <v>13</v>
      </c>
      <c r="B1192" s="14" t="s">
        <v>41</v>
      </c>
      <c r="C1192" s="12">
        <v>17.936759948730501</v>
      </c>
      <c r="D1192" s="12">
        <v>2002</v>
      </c>
    </row>
    <row r="1193" spans="1:4" ht="19.899999999999999" customHeight="1">
      <c r="A1193" s="11" t="s">
        <v>14</v>
      </c>
      <c r="B1193" s="14" t="s">
        <v>41</v>
      </c>
      <c r="C1193" s="12"/>
      <c r="D1193" s="12">
        <v>2002</v>
      </c>
    </row>
    <row r="1194" spans="1:4" ht="19.899999999999999" customHeight="1">
      <c r="A1194" s="11" t="s">
        <v>15</v>
      </c>
      <c r="B1194" s="14" t="s">
        <v>41</v>
      </c>
      <c r="C1194" s="12">
        <v>14.5252103805541</v>
      </c>
      <c r="D1194" s="12">
        <v>2002</v>
      </c>
    </row>
    <row r="1195" spans="1:4" ht="19.899999999999999" customHeight="1">
      <c r="A1195" s="11" t="s">
        <v>16</v>
      </c>
      <c r="B1195" s="14" t="s">
        <v>41</v>
      </c>
      <c r="C1195" s="12">
        <v>17.884340286254901</v>
      </c>
      <c r="D1195" s="12">
        <v>2002</v>
      </c>
    </row>
    <row r="1196" spans="1:4" ht="19.899999999999999" customHeight="1">
      <c r="A1196" s="11" t="s">
        <v>17</v>
      </c>
      <c r="B1196" s="14" t="s">
        <v>41</v>
      </c>
      <c r="C1196" s="12"/>
      <c r="D1196" s="12">
        <v>2002</v>
      </c>
    </row>
    <row r="1197" spans="1:4" ht="19.899999999999999" customHeight="1">
      <c r="A1197" s="11" t="s">
        <v>18</v>
      </c>
      <c r="B1197" s="14" t="s">
        <v>41</v>
      </c>
      <c r="C1197" s="12"/>
      <c r="D1197" s="12">
        <v>2002</v>
      </c>
    </row>
    <row r="1198" spans="1:4" ht="19.899999999999999" customHeight="1">
      <c r="A1198" s="11" t="s">
        <v>19</v>
      </c>
      <c r="B1198" s="14" t="s">
        <v>41</v>
      </c>
      <c r="C1198" s="12">
        <v>20.426349639892599</v>
      </c>
      <c r="D1198" s="12">
        <v>2002</v>
      </c>
    </row>
    <row r="1199" spans="1:4" ht="19.899999999999999" customHeight="1">
      <c r="A1199" s="11" t="s">
        <v>20</v>
      </c>
      <c r="B1199" s="14" t="s">
        <v>41</v>
      </c>
      <c r="C1199" s="12">
        <v>15.6877899169922</v>
      </c>
      <c r="D1199" s="12">
        <v>2002</v>
      </c>
    </row>
    <row r="1200" spans="1:4" ht="19.899999999999999" customHeight="1">
      <c r="A1200" s="11" t="s">
        <v>21</v>
      </c>
      <c r="B1200" s="14" t="s">
        <v>41</v>
      </c>
      <c r="C1200" s="12">
        <v>16.652469635009801</v>
      </c>
      <c r="D1200" s="12">
        <v>2002</v>
      </c>
    </row>
    <row r="1201" spans="1:4" ht="19.899999999999999" customHeight="1">
      <c r="A1201" s="11" t="s">
        <v>22</v>
      </c>
      <c r="B1201" s="14" t="s">
        <v>41</v>
      </c>
      <c r="C1201" s="12"/>
      <c r="D1201" s="12">
        <v>2002</v>
      </c>
    </row>
    <row r="1202" spans="1:4" ht="19.899999999999999" customHeight="1">
      <c r="A1202" s="11" t="s">
        <v>23</v>
      </c>
      <c r="B1202" s="14" t="s">
        <v>41</v>
      </c>
      <c r="C1202" s="12">
        <v>6.4282898902893102</v>
      </c>
      <c r="D1202" s="12">
        <v>2002</v>
      </c>
    </row>
    <row r="1203" spans="1:4" ht="19.899999999999999" customHeight="1">
      <c r="A1203" s="11" t="s">
        <v>24</v>
      </c>
      <c r="B1203" s="14" t="s">
        <v>41</v>
      </c>
      <c r="C1203" s="12"/>
      <c r="D1203" s="12">
        <v>2002</v>
      </c>
    </row>
    <row r="1204" spans="1:4" ht="19.899999999999999" customHeight="1">
      <c r="A1204" s="11" t="s">
        <v>25</v>
      </c>
      <c r="B1204" s="14" t="s">
        <v>41</v>
      </c>
      <c r="C1204" s="12">
        <v>14.593640327453601</v>
      </c>
      <c r="D1204" s="12">
        <v>2002</v>
      </c>
    </row>
    <row r="1205" spans="1:4" ht="19.899999999999999" customHeight="1">
      <c r="A1205" s="11" t="s">
        <v>26</v>
      </c>
      <c r="B1205" s="14" t="s">
        <v>41</v>
      </c>
      <c r="C1205" s="12"/>
      <c r="D1205" s="12">
        <v>2002</v>
      </c>
    </row>
    <row r="1206" spans="1:4" ht="19.899999999999999" customHeight="1">
      <c r="A1206" s="11" t="s">
        <v>27</v>
      </c>
      <c r="B1206" s="14" t="s">
        <v>41</v>
      </c>
      <c r="C1206" s="12"/>
      <c r="D1206" s="12">
        <v>2002</v>
      </c>
    </row>
    <row r="1207" spans="1:4" ht="19.899999999999999" customHeight="1">
      <c r="A1207" s="11" t="s">
        <v>28</v>
      </c>
      <c r="B1207" s="14" t="s">
        <v>41</v>
      </c>
      <c r="C1207" s="12"/>
      <c r="D1207" s="12">
        <v>2002</v>
      </c>
    </row>
    <row r="1208" spans="1:4" ht="19.899999999999999" customHeight="1">
      <c r="A1208" s="11" t="s">
        <v>29</v>
      </c>
      <c r="B1208" s="14" t="s">
        <v>41</v>
      </c>
      <c r="C1208" s="12"/>
      <c r="D1208" s="12">
        <v>2002</v>
      </c>
    </row>
    <row r="1209" spans="1:4" ht="19.899999999999999" customHeight="1">
      <c r="A1209" s="11" t="s">
        <v>4</v>
      </c>
      <c r="B1209" s="14" t="s">
        <v>41</v>
      </c>
      <c r="C1209" s="12"/>
      <c r="D1209" s="12">
        <v>2003</v>
      </c>
    </row>
    <row r="1210" spans="1:4" ht="19.899999999999999" customHeight="1">
      <c r="A1210" s="11" t="s">
        <v>5</v>
      </c>
      <c r="B1210" s="14" t="s">
        <v>41</v>
      </c>
      <c r="C1210" s="12">
        <v>21.442020416259801</v>
      </c>
      <c r="D1210" s="12">
        <v>2003</v>
      </c>
    </row>
    <row r="1211" spans="1:4" ht="19.899999999999999" customHeight="1">
      <c r="A1211" s="11" t="s">
        <v>6</v>
      </c>
      <c r="B1211" s="14" t="s">
        <v>41</v>
      </c>
      <c r="C1211" s="12"/>
      <c r="D1211" s="12">
        <v>2003</v>
      </c>
    </row>
    <row r="1212" spans="1:4" ht="19.899999999999999" customHeight="1">
      <c r="A1212" s="11" t="s">
        <v>7</v>
      </c>
      <c r="B1212" s="14" t="s">
        <v>41</v>
      </c>
      <c r="C1212" s="12"/>
      <c r="D1212" s="12">
        <v>2003</v>
      </c>
    </row>
    <row r="1213" spans="1:4" ht="19.899999999999999" customHeight="1">
      <c r="A1213" s="11" t="s">
        <v>8</v>
      </c>
      <c r="B1213" s="14" t="s">
        <v>41</v>
      </c>
      <c r="C1213" s="12">
        <v>24.271490097045799</v>
      </c>
      <c r="D1213" s="12">
        <v>2003</v>
      </c>
    </row>
    <row r="1214" spans="1:4" ht="19.899999999999999" customHeight="1">
      <c r="A1214" s="11" t="s">
        <v>1</v>
      </c>
      <c r="B1214" s="14" t="s">
        <v>41</v>
      </c>
      <c r="C1214" s="12"/>
      <c r="D1214" s="12">
        <v>2003</v>
      </c>
    </row>
    <row r="1215" spans="1:4" ht="19.899999999999999" customHeight="1">
      <c r="A1215" s="11" t="s">
        <v>9</v>
      </c>
      <c r="B1215" s="14" t="s">
        <v>41</v>
      </c>
      <c r="C1215" s="12">
        <v>11.6247501373291</v>
      </c>
      <c r="D1215" s="12">
        <v>2003</v>
      </c>
    </row>
    <row r="1216" spans="1:4" ht="19.899999999999999" customHeight="1">
      <c r="A1216" s="11" t="s">
        <v>10</v>
      </c>
      <c r="B1216" s="14" t="s">
        <v>41</v>
      </c>
      <c r="C1216" s="12"/>
      <c r="D1216" s="12">
        <v>2003</v>
      </c>
    </row>
    <row r="1217" spans="1:4" ht="19.899999999999999" customHeight="1">
      <c r="A1217" s="11" t="s">
        <v>11</v>
      </c>
      <c r="B1217" s="14" t="s">
        <v>41</v>
      </c>
      <c r="C1217" s="12">
        <v>24.980089187622099</v>
      </c>
      <c r="D1217" s="12">
        <v>2003</v>
      </c>
    </row>
    <row r="1218" spans="1:4" ht="19.899999999999999" customHeight="1">
      <c r="A1218" s="11" t="s">
        <v>38</v>
      </c>
      <c r="B1218" s="14" t="s">
        <v>41</v>
      </c>
      <c r="C1218" s="12"/>
      <c r="D1218" s="12">
        <v>2003</v>
      </c>
    </row>
    <row r="1219" spans="1:4" ht="19.899999999999999" customHeight="1">
      <c r="A1219" s="11" t="s">
        <v>12</v>
      </c>
      <c r="B1219" s="14" t="s">
        <v>41</v>
      </c>
      <c r="C1219" s="12"/>
      <c r="D1219" s="12">
        <v>2003</v>
      </c>
    </row>
    <row r="1220" spans="1:4" ht="19.899999999999999" customHeight="1">
      <c r="A1220" s="11" t="s">
        <v>13</v>
      </c>
      <c r="B1220" s="14" t="s">
        <v>41</v>
      </c>
      <c r="C1220" s="12">
        <v>15.763139724731399</v>
      </c>
      <c r="D1220" s="12">
        <v>2003</v>
      </c>
    </row>
    <row r="1221" spans="1:4" ht="19.899999999999999" customHeight="1">
      <c r="A1221" s="11" t="s">
        <v>14</v>
      </c>
      <c r="B1221" s="14" t="s">
        <v>41</v>
      </c>
      <c r="C1221" s="12">
        <v>16.552570343017599</v>
      </c>
      <c r="D1221" s="12">
        <v>2003</v>
      </c>
    </row>
    <row r="1222" spans="1:4" ht="19.899999999999999" customHeight="1">
      <c r="A1222" s="11" t="s">
        <v>15</v>
      </c>
      <c r="B1222" s="14" t="s">
        <v>41</v>
      </c>
      <c r="C1222" s="12">
        <v>18.283760070800799</v>
      </c>
      <c r="D1222" s="12">
        <v>2003</v>
      </c>
    </row>
    <row r="1223" spans="1:4" ht="19.899999999999999" customHeight="1">
      <c r="A1223" s="11" t="s">
        <v>16</v>
      </c>
      <c r="B1223" s="14" t="s">
        <v>41</v>
      </c>
      <c r="C1223" s="12">
        <v>16.192590713501001</v>
      </c>
      <c r="D1223" s="12">
        <v>2003</v>
      </c>
    </row>
    <row r="1224" spans="1:4" ht="19.899999999999999" customHeight="1">
      <c r="A1224" s="11" t="s">
        <v>17</v>
      </c>
      <c r="B1224" s="14" t="s">
        <v>41</v>
      </c>
      <c r="C1224" s="12"/>
      <c r="D1224" s="12">
        <v>2003</v>
      </c>
    </row>
    <row r="1225" spans="1:4" ht="19.899999999999999" customHeight="1">
      <c r="A1225" s="11" t="s">
        <v>18</v>
      </c>
      <c r="B1225" s="14" t="s">
        <v>41</v>
      </c>
      <c r="C1225" s="12"/>
      <c r="D1225" s="12">
        <v>2003</v>
      </c>
    </row>
    <row r="1226" spans="1:4" ht="19.899999999999999" customHeight="1">
      <c r="A1226" s="11" t="s">
        <v>19</v>
      </c>
      <c r="B1226" s="14" t="s">
        <v>41</v>
      </c>
      <c r="C1226" s="12">
        <v>21.302179336547901</v>
      </c>
      <c r="D1226" s="12">
        <v>2003</v>
      </c>
    </row>
    <row r="1227" spans="1:4" ht="19.899999999999999" customHeight="1">
      <c r="A1227" s="11" t="s">
        <v>20</v>
      </c>
      <c r="B1227" s="14" t="s">
        <v>41</v>
      </c>
      <c r="C1227" s="12">
        <v>14.887000083923301</v>
      </c>
      <c r="D1227" s="12">
        <v>2003</v>
      </c>
    </row>
    <row r="1228" spans="1:4" ht="19.899999999999999" customHeight="1">
      <c r="A1228" s="11" t="s">
        <v>21</v>
      </c>
      <c r="B1228" s="14" t="s">
        <v>41</v>
      </c>
      <c r="C1228" s="12">
        <v>13.8454999923706</v>
      </c>
      <c r="D1228" s="12">
        <v>2003</v>
      </c>
    </row>
    <row r="1229" spans="1:4" ht="19.899999999999999" customHeight="1">
      <c r="A1229" s="11" t="s">
        <v>22</v>
      </c>
      <c r="B1229" s="14" t="s">
        <v>41</v>
      </c>
      <c r="C1229" s="12"/>
      <c r="D1229" s="12">
        <v>2003</v>
      </c>
    </row>
    <row r="1230" spans="1:4" ht="19.899999999999999" customHeight="1">
      <c r="A1230" s="11" t="s">
        <v>23</v>
      </c>
      <c r="B1230" s="14" t="s">
        <v>41</v>
      </c>
      <c r="C1230" s="12">
        <v>6.6890897750854501</v>
      </c>
      <c r="D1230" s="12">
        <v>2003</v>
      </c>
    </row>
    <row r="1231" spans="1:4" ht="19.899999999999999" customHeight="1">
      <c r="A1231" s="11" t="s">
        <v>24</v>
      </c>
      <c r="B1231" s="14" t="s">
        <v>41</v>
      </c>
      <c r="C1231" s="12"/>
      <c r="D1231" s="12">
        <v>2003</v>
      </c>
    </row>
    <row r="1232" spans="1:4" ht="19.899999999999999" customHeight="1">
      <c r="A1232" s="11" t="s">
        <v>25</v>
      </c>
      <c r="B1232" s="14" t="s">
        <v>41</v>
      </c>
      <c r="C1232" s="12">
        <v>12.694239616394</v>
      </c>
      <c r="D1232" s="12">
        <v>2003</v>
      </c>
    </row>
    <row r="1233" spans="1:4" ht="19.899999999999999" customHeight="1">
      <c r="A1233" s="11" t="s">
        <v>26</v>
      </c>
      <c r="B1233" s="14" t="s">
        <v>41</v>
      </c>
      <c r="C1233" s="12"/>
      <c r="D1233" s="12">
        <v>2003</v>
      </c>
    </row>
    <row r="1234" spans="1:4" ht="19.899999999999999" customHeight="1">
      <c r="A1234" s="11" t="s">
        <v>27</v>
      </c>
      <c r="B1234" s="14" t="s">
        <v>41</v>
      </c>
      <c r="C1234" s="12"/>
      <c r="D1234" s="12">
        <v>2003</v>
      </c>
    </row>
    <row r="1235" spans="1:4" ht="19.899999999999999" customHeight="1">
      <c r="A1235" s="11" t="s">
        <v>28</v>
      </c>
      <c r="B1235" s="14" t="s">
        <v>41</v>
      </c>
      <c r="C1235" s="12"/>
      <c r="D1235" s="12">
        <v>2003</v>
      </c>
    </row>
    <row r="1236" spans="1:4" ht="19.899999999999999" customHeight="1">
      <c r="A1236" s="11" t="s">
        <v>29</v>
      </c>
      <c r="B1236" s="14" t="s">
        <v>41</v>
      </c>
      <c r="C1236" s="12"/>
      <c r="D1236" s="12">
        <v>2003</v>
      </c>
    </row>
    <row r="1237" spans="1:4" ht="19.899999999999999" customHeight="1">
      <c r="A1237" s="11" t="s">
        <v>4</v>
      </c>
      <c r="B1237" s="14" t="s">
        <v>41</v>
      </c>
      <c r="C1237" s="12">
        <v>9.1790800094604403</v>
      </c>
      <c r="D1237" s="12">
        <v>2004</v>
      </c>
    </row>
    <row r="1238" spans="1:4" ht="19.899999999999999" customHeight="1">
      <c r="A1238" s="11" t="s">
        <v>5</v>
      </c>
      <c r="B1238" s="14" t="s">
        <v>41</v>
      </c>
      <c r="C1238" s="12">
        <v>20.847120285034201</v>
      </c>
      <c r="D1238" s="12">
        <v>2004</v>
      </c>
    </row>
    <row r="1239" spans="1:4" ht="19.899999999999999" customHeight="1">
      <c r="A1239" s="11" t="s">
        <v>6</v>
      </c>
      <c r="B1239" s="14" t="s">
        <v>41</v>
      </c>
      <c r="C1239" s="12">
        <v>11.0319004058838</v>
      </c>
      <c r="D1239" s="12">
        <v>2004</v>
      </c>
    </row>
    <row r="1240" spans="1:4" ht="19.899999999999999" customHeight="1">
      <c r="A1240" s="11" t="s">
        <v>7</v>
      </c>
      <c r="B1240" s="14" t="s">
        <v>41</v>
      </c>
      <c r="C1240" s="12"/>
      <c r="D1240" s="12">
        <v>2004</v>
      </c>
    </row>
    <row r="1241" spans="1:4" ht="19.899999999999999" customHeight="1">
      <c r="A1241" s="11" t="s">
        <v>8</v>
      </c>
      <c r="B1241" s="14" t="s">
        <v>41</v>
      </c>
      <c r="C1241" s="12">
        <v>24.7011394500732</v>
      </c>
      <c r="D1241" s="12">
        <v>2004</v>
      </c>
    </row>
    <row r="1242" spans="1:4" ht="19.899999999999999" customHeight="1">
      <c r="A1242" s="11" t="s">
        <v>1</v>
      </c>
      <c r="B1242" s="14" t="s">
        <v>41</v>
      </c>
      <c r="C1242" s="12"/>
      <c r="D1242" s="12">
        <v>2004</v>
      </c>
    </row>
    <row r="1243" spans="1:4" ht="19.899999999999999" customHeight="1">
      <c r="A1243" s="11" t="s">
        <v>9</v>
      </c>
      <c r="B1243" s="14" t="s">
        <v>41</v>
      </c>
      <c r="C1243" s="12">
        <v>12.3133001327515</v>
      </c>
      <c r="D1243" s="12">
        <v>2004</v>
      </c>
    </row>
    <row r="1244" spans="1:4" ht="19.899999999999999" customHeight="1">
      <c r="A1244" s="11" t="s">
        <v>10</v>
      </c>
      <c r="B1244" s="14" t="s">
        <v>41</v>
      </c>
      <c r="C1244" s="12"/>
      <c r="D1244" s="12">
        <v>2004</v>
      </c>
    </row>
    <row r="1245" spans="1:4" ht="19.899999999999999" customHeight="1">
      <c r="A1245" s="11" t="s">
        <v>11</v>
      </c>
      <c r="B1245" s="14" t="s">
        <v>41</v>
      </c>
      <c r="C1245" s="12">
        <v>26.668149948120099</v>
      </c>
      <c r="D1245" s="12">
        <v>2004</v>
      </c>
    </row>
    <row r="1246" spans="1:4" ht="19.899999999999999" customHeight="1">
      <c r="A1246" s="11" t="s">
        <v>38</v>
      </c>
      <c r="B1246" s="14" t="s">
        <v>41</v>
      </c>
      <c r="C1246" s="12"/>
      <c r="D1246" s="12">
        <v>2004</v>
      </c>
    </row>
    <row r="1247" spans="1:4" ht="19.899999999999999" customHeight="1">
      <c r="A1247" s="11" t="s">
        <v>12</v>
      </c>
      <c r="B1247" s="14" t="s">
        <v>41</v>
      </c>
      <c r="C1247" s="12"/>
      <c r="D1247" s="12">
        <v>2004</v>
      </c>
    </row>
    <row r="1248" spans="1:4" ht="19.899999999999999" customHeight="1">
      <c r="A1248" s="11" t="s">
        <v>13</v>
      </c>
      <c r="B1248" s="14" t="s">
        <v>41</v>
      </c>
      <c r="C1248" s="12">
        <v>12.9607696533203</v>
      </c>
      <c r="D1248" s="12">
        <v>2004</v>
      </c>
    </row>
    <row r="1249" spans="1:4" ht="19.899999999999999" customHeight="1">
      <c r="A1249" s="11" t="s">
        <v>14</v>
      </c>
      <c r="B1249" s="14" t="s">
        <v>41</v>
      </c>
      <c r="C1249" s="12"/>
      <c r="D1249" s="12">
        <v>2004</v>
      </c>
    </row>
    <row r="1250" spans="1:4" ht="19.899999999999999" customHeight="1">
      <c r="A1250" s="11" t="s">
        <v>15</v>
      </c>
      <c r="B1250" s="14" t="s">
        <v>41</v>
      </c>
      <c r="C1250" s="12">
        <v>17.736349105835</v>
      </c>
      <c r="D1250" s="12">
        <v>2004</v>
      </c>
    </row>
    <row r="1251" spans="1:4" ht="19.899999999999999" customHeight="1">
      <c r="A1251" s="11" t="s">
        <v>16</v>
      </c>
      <c r="B1251" s="14" t="s">
        <v>41</v>
      </c>
      <c r="C1251" s="12">
        <v>19.452020645141602</v>
      </c>
      <c r="D1251" s="12">
        <v>2004</v>
      </c>
    </row>
    <row r="1252" spans="1:4" ht="19.899999999999999" customHeight="1">
      <c r="A1252" s="11" t="s">
        <v>17</v>
      </c>
      <c r="B1252" s="14" t="s">
        <v>41</v>
      </c>
      <c r="C1252" s="12">
        <v>18.001539230346701</v>
      </c>
      <c r="D1252" s="12">
        <v>2004</v>
      </c>
    </row>
    <row r="1253" spans="1:4" ht="19.899999999999999" customHeight="1">
      <c r="A1253" s="11" t="s">
        <v>18</v>
      </c>
      <c r="B1253" s="14" t="s">
        <v>41</v>
      </c>
      <c r="C1253" s="12"/>
      <c r="D1253" s="12">
        <v>2004</v>
      </c>
    </row>
    <row r="1254" spans="1:4" ht="19.899999999999999" customHeight="1">
      <c r="A1254" s="11" t="s">
        <v>19</v>
      </c>
      <c r="B1254" s="14" t="s">
        <v>41</v>
      </c>
      <c r="C1254" s="12">
        <v>21.60618019104</v>
      </c>
      <c r="D1254" s="12">
        <v>2004</v>
      </c>
    </row>
    <row r="1255" spans="1:4" ht="19.899999999999999" customHeight="1">
      <c r="A1255" s="11" t="s">
        <v>20</v>
      </c>
      <c r="B1255" s="14" t="s">
        <v>41</v>
      </c>
      <c r="C1255" s="12"/>
      <c r="D1255" s="12">
        <v>2004</v>
      </c>
    </row>
    <row r="1256" spans="1:4" ht="19.899999999999999" customHeight="1">
      <c r="A1256" s="11" t="s">
        <v>21</v>
      </c>
      <c r="B1256" s="14" t="s">
        <v>41</v>
      </c>
      <c r="C1256" s="12"/>
      <c r="D1256" s="12">
        <v>2004</v>
      </c>
    </row>
    <row r="1257" spans="1:4" ht="19.899999999999999" customHeight="1">
      <c r="A1257" s="11" t="s">
        <v>22</v>
      </c>
      <c r="B1257" s="14" t="s">
        <v>41</v>
      </c>
      <c r="C1257" s="12"/>
      <c r="D1257" s="12">
        <v>2004</v>
      </c>
    </row>
    <row r="1258" spans="1:4" ht="19.899999999999999" customHeight="1">
      <c r="A1258" s="11" t="s">
        <v>23</v>
      </c>
      <c r="B1258" s="14" t="s">
        <v>41</v>
      </c>
      <c r="C1258" s="12">
        <v>5.8499097824096697</v>
      </c>
      <c r="D1258" s="12">
        <v>2004</v>
      </c>
    </row>
    <row r="1259" spans="1:4" ht="19.899999999999999" customHeight="1">
      <c r="A1259" s="11" t="s">
        <v>24</v>
      </c>
      <c r="B1259" s="14" t="s">
        <v>41</v>
      </c>
      <c r="C1259" s="12"/>
      <c r="D1259" s="12">
        <v>2004</v>
      </c>
    </row>
    <row r="1260" spans="1:4" ht="19.899999999999999" customHeight="1">
      <c r="A1260" s="11" t="s">
        <v>25</v>
      </c>
      <c r="B1260" s="14" t="s">
        <v>41</v>
      </c>
      <c r="C1260" s="12">
        <v>13.676759719848601</v>
      </c>
      <c r="D1260" s="12">
        <v>2004</v>
      </c>
    </row>
    <row r="1261" spans="1:4" ht="19.899999999999999" customHeight="1">
      <c r="A1261" s="11" t="s">
        <v>26</v>
      </c>
      <c r="B1261" s="14" t="s">
        <v>41</v>
      </c>
      <c r="C1261" s="12">
        <v>19.492639541626001</v>
      </c>
      <c r="D1261" s="12">
        <v>2004</v>
      </c>
    </row>
    <row r="1262" spans="1:4" ht="19.899999999999999" customHeight="1">
      <c r="A1262" s="11" t="s">
        <v>27</v>
      </c>
      <c r="B1262" s="14" t="s">
        <v>41</v>
      </c>
      <c r="C1262" s="12">
        <v>20.3083400726318</v>
      </c>
      <c r="D1262" s="12">
        <v>2004</v>
      </c>
    </row>
    <row r="1263" spans="1:4" ht="19.899999999999999" customHeight="1">
      <c r="A1263" s="11" t="s">
        <v>28</v>
      </c>
      <c r="B1263" s="14" t="s">
        <v>41</v>
      </c>
      <c r="C1263" s="12">
        <v>10.584989547729499</v>
      </c>
      <c r="D1263" s="12">
        <v>2004</v>
      </c>
    </row>
    <row r="1264" spans="1:4" ht="19.899999999999999" customHeight="1">
      <c r="A1264" s="11" t="s">
        <v>29</v>
      </c>
      <c r="B1264" s="14" t="s">
        <v>41</v>
      </c>
      <c r="C1264" s="12"/>
      <c r="D1264" s="12">
        <v>2004</v>
      </c>
    </row>
    <row r="1265" spans="1:4" ht="19.899999999999999" customHeight="1">
      <c r="A1265" s="11" t="s">
        <v>4</v>
      </c>
      <c r="B1265" s="14" t="s">
        <v>41</v>
      </c>
      <c r="C1265" s="12">
        <v>10.9592695236206</v>
      </c>
      <c r="D1265" s="12">
        <v>2005</v>
      </c>
    </row>
    <row r="1266" spans="1:4" ht="19.899999999999999" customHeight="1">
      <c r="A1266" s="11" t="s">
        <v>5</v>
      </c>
      <c r="B1266" s="14" t="s">
        <v>41</v>
      </c>
      <c r="C1266" s="12">
        <v>21.377609252929702</v>
      </c>
      <c r="D1266" s="12">
        <v>2005</v>
      </c>
    </row>
    <row r="1267" spans="1:4" ht="19.899999999999999" customHeight="1">
      <c r="A1267" s="11" t="s">
        <v>6</v>
      </c>
      <c r="B1267" s="14" t="s">
        <v>41</v>
      </c>
      <c r="C1267" s="12">
        <v>14.672820091247599</v>
      </c>
      <c r="D1267" s="12">
        <v>2005</v>
      </c>
    </row>
    <row r="1268" spans="1:4" ht="19.899999999999999" customHeight="1">
      <c r="A1268" s="11" t="s">
        <v>7</v>
      </c>
      <c r="B1268" s="14" t="s">
        <v>41</v>
      </c>
      <c r="C1268" s="12"/>
      <c r="D1268" s="12">
        <v>2005</v>
      </c>
    </row>
    <row r="1269" spans="1:4" ht="19.899999999999999" customHeight="1">
      <c r="A1269" s="11" t="s">
        <v>8</v>
      </c>
      <c r="B1269" s="14" t="s">
        <v>41</v>
      </c>
      <c r="C1269" s="12">
        <v>22.715049743652301</v>
      </c>
      <c r="D1269" s="12">
        <v>2005</v>
      </c>
    </row>
    <row r="1270" spans="1:4" ht="19.899999999999999" customHeight="1">
      <c r="A1270" s="11" t="s">
        <v>1</v>
      </c>
      <c r="B1270" s="14" t="s">
        <v>41</v>
      </c>
      <c r="C1270" s="12"/>
      <c r="D1270" s="12">
        <v>2005</v>
      </c>
    </row>
    <row r="1271" spans="1:4" ht="19.899999999999999" customHeight="1">
      <c r="A1271" s="11" t="s">
        <v>9</v>
      </c>
      <c r="B1271" s="14" t="s">
        <v>41</v>
      </c>
      <c r="C1271" s="12">
        <v>10.9474697113037</v>
      </c>
      <c r="D1271" s="12">
        <v>2005</v>
      </c>
    </row>
    <row r="1272" spans="1:4" ht="19.899999999999999" customHeight="1">
      <c r="A1272" s="11" t="s">
        <v>10</v>
      </c>
      <c r="B1272" s="14" t="s">
        <v>41</v>
      </c>
      <c r="C1272" s="12"/>
      <c r="D1272" s="12">
        <v>2005</v>
      </c>
    </row>
    <row r="1273" spans="1:4" ht="19.899999999999999" customHeight="1">
      <c r="A1273" s="11" t="s">
        <v>11</v>
      </c>
      <c r="B1273" s="14" t="s">
        <v>41</v>
      </c>
      <c r="C1273" s="12">
        <v>27.4693393707275</v>
      </c>
      <c r="D1273" s="12">
        <v>2005</v>
      </c>
    </row>
    <row r="1274" spans="1:4" ht="19.899999999999999" customHeight="1">
      <c r="A1274" s="11" t="s">
        <v>38</v>
      </c>
      <c r="B1274" s="14" t="s">
        <v>41</v>
      </c>
      <c r="C1274" s="12"/>
      <c r="D1274" s="12">
        <v>2005</v>
      </c>
    </row>
    <row r="1275" spans="1:4" ht="19.899999999999999" customHeight="1">
      <c r="A1275" s="11" t="s">
        <v>12</v>
      </c>
      <c r="B1275" s="14" t="s">
        <v>41</v>
      </c>
      <c r="C1275" s="12"/>
      <c r="D1275" s="12">
        <v>2005</v>
      </c>
    </row>
    <row r="1276" spans="1:4" ht="19.899999999999999" customHeight="1">
      <c r="A1276" s="11" t="s">
        <v>13</v>
      </c>
      <c r="B1276" s="14" t="s">
        <v>41</v>
      </c>
      <c r="C1276" s="12">
        <v>18.033039093017599</v>
      </c>
      <c r="D1276" s="12">
        <v>2005</v>
      </c>
    </row>
    <row r="1277" spans="1:4" ht="19.899999999999999" customHeight="1">
      <c r="A1277" s="11" t="s">
        <v>14</v>
      </c>
      <c r="B1277" s="14" t="s">
        <v>41</v>
      </c>
      <c r="C1277" s="12"/>
      <c r="D1277" s="12">
        <v>2005</v>
      </c>
    </row>
    <row r="1278" spans="1:4" ht="19.899999999999999" customHeight="1">
      <c r="A1278" s="11" t="s">
        <v>15</v>
      </c>
      <c r="B1278" s="14" t="s">
        <v>41</v>
      </c>
      <c r="C1278" s="12">
        <v>16.280300140380898</v>
      </c>
      <c r="D1278" s="12">
        <v>2005</v>
      </c>
    </row>
    <row r="1279" spans="1:4" ht="19.899999999999999" customHeight="1">
      <c r="A1279" s="11" t="s">
        <v>16</v>
      </c>
      <c r="B1279" s="14" t="s">
        <v>41</v>
      </c>
      <c r="C1279" s="12">
        <v>19.2966499328613</v>
      </c>
      <c r="D1279" s="12">
        <v>2005</v>
      </c>
    </row>
    <row r="1280" spans="1:4" ht="19.899999999999999" customHeight="1">
      <c r="A1280" s="11" t="s">
        <v>17</v>
      </c>
      <c r="B1280" s="14" t="s">
        <v>41</v>
      </c>
      <c r="C1280" s="12">
        <v>22.7181797027588</v>
      </c>
      <c r="D1280" s="12">
        <v>2005</v>
      </c>
    </row>
    <row r="1281" spans="1:4" ht="19.899999999999999" customHeight="1">
      <c r="A1281" s="11" t="s">
        <v>18</v>
      </c>
      <c r="B1281" s="14" t="s">
        <v>41</v>
      </c>
      <c r="C1281" s="12"/>
      <c r="D1281" s="12">
        <v>2005</v>
      </c>
    </row>
    <row r="1282" spans="1:4" ht="19.899999999999999" customHeight="1">
      <c r="A1282" s="11" t="s">
        <v>19</v>
      </c>
      <c r="B1282" s="14" t="s">
        <v>41</v>
      </c>
      <c r="C1282" s="12">
        <v>22.276889801025401</v>
      </c>
      <c r="D1282" s="12">
        <v>2005</v>
      </c>
    </row>
    <row r="1283" spans="1:4" ht="19.899999999999999" customHeight="1">
      <c r="A1283" s="11" t="s">
        <v>20</v>
      </c>
      <c r="B1283" s="14" t="s">
        <v>41</v>
      </c>
      <c r="C1283" s="12"/>
      <c r="D1283" s="12">
        <v>2005</v>
      </c>
    </row>
    <row r="1284" spans="1:4" ht="19.899999999999999" customHeight="1">
      <c r="A1284" s="11" t="s">
        <v>21</v>
      </c>
      <c r="B1284" s="14" t="s">
        <v>41</v>
      </c>
      <c r="C1284" s="12"/>
      <c r="D1284" s="12">
        <v>2005</v>
      </c>
    </row>
    <row r="1285" spans="1:4" ht="19.899999999999999" customHeight="1">
      <c r="A1285" s="11" t="s">
        <v>22</v>
      </c>
      <c r="B1285" s="14" t="s">
        <v>41</v>
      </c>
      <c r="C1285" s="12"/>
      <c r="D1285" s="12">
        <v>2005</v>
      </c>
    </row>
    <row r="1286" spans="1:4" ht="19.899999999999999" customHeight="1">
      <c r="A1286" s="11" t="s">
        <v>23</v>
      </c>
      <c r="B1286" s="14" t="s">
        <v>41</v>
      </c>
      <c r="C1286" s="12">
        <v>12.1264896392822</v>
      </c>
      <c r="D1286" s="12">
        <v>2005</v>
      </c>
    </row>
    <row r="1287" spans="1:4" ht="19.899999999999999" customHeight="1">
      <c r="A1287" s="11" t="s">
        <v>24</v>
      </c>
      <c r="B1287" s="14" t="s">
        <v>41</v>
      </c>
      <c r="C1287" s="12"/>
      <c r="D1287" s="12">
        <v>2005</v>
      </c>
    </row>
    <row r="1288" spans="1:4" ht="19.899999999999999" customHeight="1">
      <c r="A1288" s="11" t="s">
        <v>25</v>
      </c>
      <c r="B1288" s="14" t="s">
        <v>41</v>
      </c>
      <c r="C1288" s="12">
        <v>15.2933797836304</v>
      </c>
      <c r="D1288" s="12">
        <v>2005</v>
      </c>
    </row>
    <row r="1289" spans="1:4" ht="19.899999999999999" customHeight="1">
      <c r="A1289" s="11" t="s">
        <v>26</v>
      </c>
      <c r="B1289" s="14" t="s">
        <v>41</v>
      </c>
      <c r="C1289" s="12">
        <v>18.143140792846701</v>
      </c>
      <c r="D1289" s="12">
        <v>2005</v>
      </c>
    </row>
    <row r="1290" spans="1:4" ht="19.899999999999999" customHeight="1">
      <c r="A1290" s="11" t="s">
        <v>27</v>
      </c>
      <c r="B1290" s="14" t="s">
        <v>41</v>
      </c>
      <c r="C1290" s="12"/>
      <c r="D1290" s="12">
        <v>2005</v>
      </c>
    </row>
    <row r="1291" spans="1:4" ht="19.899999999999999" customHeight="1">
      <c r="A1291" s="11" t="s">
        <v>28</v>
      </c>
      <c r="B1291" s="14" t="s">
        <v>41</v>
      </c>
      <c r="C1291" s="12">
        <v>7.7297301292419398</v>
      </c>
      <c r="D1291" s="12">
        <v>2005</v>
      </c>
    </row>
    <row r="1292" spans="1:4" ht="19.899999999999999" customHeight="1">
      <c r="A1292" s="11" t="s">
        <v>29</v>
      </c>
      <c r="B1292" s="14" t="s">
        <v>41</v>
      </c>
      <c r="C1292" s="12"/>
      <c r="D1292" s="12">
        <v>2005</v>
      </c>
    </row>
    <row r="1293" spans="1:4" ht="19.899999999999999" customHeight="1">
      <c r="A1293" s="11" t="s">
        <v>4</v>
      </c>
      <c r="B1293" s="14" t="s">
        <v>41</v>
      </c>
      <c r="C1293" s="12"/>
      <c r="D1293" s="12">
        <v>2006</v>
      </c>
    </row>
    <row r="1294" spans="1:4" ht="19.899999999999999" customHeight="1">
      <c r="A1294" s="11" t="s">
        <v>5</v>
      </c>
      <c r="B1294" s="14" t="s">
        <v>41</v>
      </c>
      <c r="C1294" s="12">
        <v>20.312650680541999</v>
      </c>
      <c r="D1294" s="12">
        <v>2006</v>
      </c>
    </row>
    <row r="1295" spans="1:4" ht="19.899999999999999" customHeight="1">
      <c r="A1295" s="11" t="s">
        <v>6</v>
      </c>
      <c r="B1295" s="14" t="s">
        <v>41</v>
      </c>
      <c r="C1295" s="12"/>
      <c r="D1295" s="12">
        <v>2006</v>
      </c>
    </row>
    <row r="1296" spans="1:4" ht="19.899999999999999" customHeight="1">
      <c r="A1296" s="11" t="s">
        <v>7</v>
      </c>
      <c r="B1296" s="14" t="s">
        <v>41</v>
      </c>
      <c r="C1296" s="12"/>
      <c r="D1296" s="12">
        <v>2006</v>
      </c>
    </row>
    <row r="1297" spans="1:4" ht="19.899999999999999" customHeight="1">
      <c r="A1297" s="11" t="s">
        <v>8</v>
      </c>
      <c r="B1297" s="14" t="s">
        <v>41</v>
      </c>
      <c r="C1297" s="12">
        <v>24.707960128784201</v>
      </c>
      <c r="D1297" s="12">
        <v>2006</v>
      </c>
    </row>
    <row r="1298" spans="1:4" ht="19.899999999999999" customHeight="1">
      <c r="A1298" s="11" t="s">
        <v>1</v>
      </c>
      <c r="B1298" s="14" t="s">
        <v>41</v>
      </c>
      <c r="C1298" s="12">
        <v>23.975379943847699</v>
      </c>
      <c r="D1298" s="12">
        <v>2006</v>
      </c>
    </row>
    <row r="1299" spans="1:4" ht="19.899999999999999" customHeight="1">
      <c r="A1299" s="11" t="s">
        <v>9</v>
      </c>
      <c r="B1299" s="14" t="s">
        <v>41</v>
      </c>
      <c r="C1299" s="12"/>
      <c r="D1299" s="12">
        <v>2006</v>
      </c>
    </row>
    <row r="1300" spans="1:4" ht="19.899999999999999" customHeight="1">
      <c r="A1300" s="11" t="s">
        <v>10</v>
      </c>
      <c r="B1300" s="14" t="s">
        <v>41</v>
      </c>
      <c r="C1300" s="12"/>
      <c r="D1300" s="12">
        <v>2006</v>
      </c>
    </row>
    <row r="1301" spans="1:4" ht="19.899999999999999" customHeight="1">
      <c r="A1301" s="11" t="s">
        <v>11</v>
      </c>
      <c r="B1301" s="14" t="s">
        <v>41</v>
      </c>
      <c r="C1301" s="12">
        <v>25.0813999176025</v>
      </c>
      <c r="D1301" s="12">
        <v>2006</v>
      </c>
    </row>
    <row r="1302" spans="1:4" ht="19.899999999999999" customHeight="1">
      <c r="A1302" s="11" t="s">
        <v>38</v>
      </c>
      <c r="B1302" s="14" t="s">
        <v>41</v>
      </c>
      <c r="C1302" s="12"/>
      <c r="D1302" s="12">
        <v>2006</v>
      </c>
    </row>
    <row r="1303" spans="1:4" ht="19.899999999999999" customHeight="1">
      <c r="A1303" s="11" t="s">
        <v>12</v>
      </c>
      <c r="B1303" s="14" t="s">
        <v>41</v>
      </c>
      <c r="C1303" s="12"/>
      <c r="D1303" s="12">
        <v>2006</v>
      </c>
    </row>
    <row r="1304" spans="1:4" ht="19.899999999999999" customHeight="1">
      <c r="A1304" s="11" t="s">
        <v>13</v>
      </c>
      <c r="B1304" s="14" t="s">
        <v>41</v>
      </c>
      <c r="C1304" s="12">
        <v>15.324190139770501</v>
      </c>
      <c r="D1304" s="12">
        <v>2006</v>
      </c>
    </row>
    <row r="1305" spans="1:4" ht="19.899999999999999" customHeight="1">
      <c r="A1305" s="11" t="s">
        <v>14</v>
      </c>
      <c r="B1305" s="14" t="s">
        <v>41</v>
      </c>
      <c r="C1305" s="12"/>
      <c r="D1305" s="12">
        <v>2006</v>
      </c>
    </row>
    <row r="1306" spans="1:4" ht="19.899999999999999" customHeight="1">
      <c r="A1306" s="11" t="s">
        <v>15</v>
      </c>
      <c r="B1306" s="14" t="s">
        <v>41</v>
      </c>
      <c r="C1306" s="12"/>
      <c r="D1306" s="12">
        <v>2006</v>
      </c>
    </row>
    <row r="1307" spans="1:4" ht="19.899999999999999" customHeight="1">
      <c r="A1307" s="11" t="s">
        <v>16</v>
      </c>
      <c r="B1307" s="14" t="s">
        <v>41</v>
      </c>
      <c r="C1307" s="12">
        <v>18.608819961547901</v>
      </c>
      <c r="D1307" s="12">
        <v>2006</v>
      </c>
    </row>
    <row r="1308" spans="1:4" ht="19.899999999999999" customHeight="1">
      <c r="A1308" s="11" t="s">
        <v>17</v>
      </c>
      <c r="B1308" s="14" t="s">
        <v>41</v>
      </c>
      <c r="C1308" s="12">
        <v>18.5500392913818</v>
      </c>
      <c r="D1308" s="12">
        <v>2006</v>
      </c>
    </row>
    <row r="1309" spans="1:4" ht="19.899999999999999" customHeight="1">
      <c r="A1309" s="11" t="s">
        <v>18</v>
      </c>
      <c r="B1309" s="14" t="s">
        <v>41</v>
      </c>
      <c r="C1309" s="12"/>
      <c r="D1309" s="12">
        <v>2006</v>
      </c>
    </row>
    <row r="1310" spans="1:4" ht="19.899999999999999" customHeight="1">
      <c r="A1310" s="11" t="s">
        <v>19</v>
      </c>
      <c r="B1310" s="14" t="s">
        <v>41</v>
      </c>
      <c r="C1310" s="12">
        <v>25.485040664672901</v>
      </c>
      <c r="D1310" s="12">
        <v>2006</v>
      </c>
    </row>
    <row r="1311" spans="1:4" ht="19.899999999999999" customHeight="1">
      <c r="A1311" s="11" t="s">
        <v>20</v>
      </c>
      <c r="B1311" s="14" t="s">
        <v>41</v>
      </c>
      <c r="C1311" s="12"/>
      <c r="D1311" s="12">
        <v>2006</v>
      </c>
    </row>
    <row r="1312" spans="1:4" ht="19.899999999999999" customHeight="1">
      <c r="A1312" s="11" t="s">
        <v>21</v>
      </c>
      <c r="B1312" s="14" t="s">
        <v>41</v>
      </c>
      <c r="C1312" s="12">
        <v>16.8837699890137</v>
      </c>
      <c r="D1312" s="12">
        <v>2006</v>
      </c>
    </row>
    <row r="1313" spans="1:4" ht="19.899999999999999" customHeight="1">
      <c r="A1313" s="11" t="s">
        <v>22</v>
      </c>
      <c r="B1313" s="14" t="s">
        <v>41</v>
      </c>
      <c r="C1313" s="12"/>
      <c r="D1313" s="12">
        <v>2006</v>
      </c>
    </row>
    <row r="1314" spans="1:4" ht="19.899999999999999" customHeight="1">
      <c r="A1314" s="11" t="s">
        <v>23</v>
      </c>
      <c r="B1314" s="14" t="s">
        <v>41</v>
      </c>
      <c r="C1314" s="12">
        <v>14.088410377502401</v>
      </c>
      <c r="D1314" s="12">
        <v>2006</v>
      </c>
    </row>
    <row r="1315" spans="1:4" ht="19.899999999999999" customHeight="1">
      <c r="A1315" s="11" t="s">
        <v>24</v>
      </c>
      <c r="B1315" s="14" t="s">
        <v>41</v>
      </c>
      <c r="C1315" s="12"/>
      <c r="D1315" s="12">
        <v>2006</v>
      </c>
    </row>
    <row r="1316" spans="1:4" ht="19.899999999999999" customHeight="1">
      <c r="A1316" s="11" t="s">
        <v>25</v>
      </c>
      <c r="B1316" s="14" t="s">
        <v>41</v>
      </c>
      <c r="C1316" s="12">
        <v>15.636010169982899</v>
      </c>
      <c r="D1316" s="12">
        <v>2006</v>
      </c>
    </row>
    <row r="1317" spans="1:4" ht="19.899999999999999" customHeight="1">
      <c r="A1317" s="11" t="s">
        <v>26</v>
      </c>
      <c r="B1317" s="14" t="s">
        <v>41</v>
      </c>
      <c r="C1317" s="12">
        <v>15.0141201019287</v>
      </c>
      <c r="D1317" s="12">
        <v>2006</v>
      </c>
    </row>
    <row r="1318" spans="1:4" ht="19.899999999999999" customHeight="1">
      <c r="A1318" s="11" t="s">
        <v>27</v>
      </c>
      <c r="B1318" s="14" t="s">
        <v>41</v>
      </c>
      <c r="C1318" s="12"/>
      <c r="D1318" s="12">
        <v>2006</v>
      </c>
    </row>
    <row r="1319" spans="1:4" ht="19.899999999999999" customHeight="1">
      <c r="A1319" s="11" t="s">
        <v>28</v>
      </c>
      <c r="B1319" s="14" t="s">
        <v>41</v>
      </c>
      <c r="C1319" s="12"/>
      <c r="D1319" s="12">
        <v>2006</v>
      </c>
    </row>
    <row r="1320" spans="1:4" ht="19.899999999999999" customHeight="1">
      <c r="A1320" s="11" t="s">
        <v>29</v>
      </c>
      <c r="B1320" s="14" t="s">
        <v>41</v>
      </c>
      <c r="C1320" s="12"/>
      <c r="D1320" s="12">
        <v>2006</v>
      </c>
    </row>
    <row r="1321" spans="1:4" ht="19.899999999999999" customHeight="1">
      <c r="A1321" s="11" t="s">
        <v>4</v>
      </c>
      <c r="B1321" s="14" t="s">
        <v>41</v>
      </c>
      <c r="C1321" s="12"/>
      <c r="D1321" s="12">
        <v>2007</v>
      </c>
    </row>
    <row r="1322" spans="1:4" ht="19.899999999999999" customHeight="1">
      <c r="A1322" s="11" t="s">
        <v>5</v>
      </c>
      <c r="B1322" s="14" t="s">
        <v>41</v>
      </c>
      <c r="C1322" s="12">
        <v>21.568220138549801</v>
      </c>
      <c r="D1322" s="12">
        <v>2007</v>
      </c>
    </row>
    <row r="1323" spans="1:4" ht="19.899999999999999" customHeight="1">
      <c r="A1323" s="11" t="s">
        <v>6</v>
      </c>
      <c r="B1323" s="14" t="s">
        <v>41</v>
      </c>
      <c r="C1323" s="12"/>
      <c r="D1323" s="12">
        <v>2007</v>
      </c>
    </row>
    <row r="1324" spans="1:4" ht="19.899999999999999" customHeight="1">
      <c r="A1324" s="11" t="s">
        <v>7</v>
      </c>
      <c r="B1324" s="14" t="s">
        <v>41</v>
      </c>
      <c r="C1324" s="12"/>
      <c r="D1324" s="12">
        <v>2007</v>
      </c>
    </row>
    <row r="1325" spans="1:4" ht="19.899999999999999" customHeight="1">
      <c r="A1325" s="11" t="s">
        <v>8</v>
      </c>
      <c r="B1325" s="14" t="s">
        <v>41</v>
      </c>
      <c r="C1325" s="12">
        <v>22.527439117431602</v>
      </c>
      <c r="D1325" s="12">
        <v>2007</v>
      </c>
    </row>
    <row r="1326" spans="1:4" ht="19.899999999999999" customHeight="1">
      <c r="A1326" s="11" t="s">
        <v>1</v>
      </c>
      <c r="B1326" s="14" t="s">
        <v>41</v>
      </c>
      <c r="C1326" s="12">
        <v>24.699449539184599</v>
      </c>
      <c r="D1326" s="12">
        <v>2007</v>
      </c>
    </row>
    <row r="1327" spans="1:4" ht="19.899999999999999" customHeight="1">
      <c r="A1327" s="11" t="s">
        <v>9</v>
      </c>
      <c r="B1327" s="14" t="s">
        <v>41</v>
      </c>
      <c r="C1327" s="12"/>
      <c r="D1327" s="12">
        <v>2007</v>
      </c>
    </row>
    <row r="1328" spans="1:4" ht="19.899999999999999" customHeight="1">
      <c r="A1328" s="11" t="s">
        <v>10</v>
      </c>
      <c r="B1328" s="14" t="s">
        <v>41</v>
      </c>
      <c r="C1328" s="12"/>
      <c r="D1328" s="12">
        <v>2007</v>
      </c>
    </row>
    <row r="1329" spans="1:4" ht="19.899999999999999" customHeight="1">
      <c r="A1329" s="11" t="s">
        <v>11</v>
      </c>
      <c r="B1329" s="14" t="s">
        <v>41</v>
      </c>
      <c r="C1329" s="12"/>
      <c r="D1329" s="12">
        <v>2007</v>
      </c>
    </row>
    <row r="1330" spans="1:4" ht="19.899999999999999" customHeight="1">
      <c r="A1330" s="11" t="s">
        <v>38</v>
      </c>
      <c r="B1330" s="14" t="s">
        <v>41</v>
      </c>
      <c r="C1330" s="12"/>
      <c r="D1330" s="12">
        <v>2007</v>
      </c>
    </row>
    <row r="1331" spans="1:4" ht="19.899999999999999" customHeight="1">
      <c r="A1331" s="11" t="s">
        <v>12</v>
      </c>
      <c r="B1331" s="14" t="s">
        <v>41</v>
      </c>
      <c r="C1331" s="12"/>
      <c r="D1331" s="12">
        <v>2007</v>
      </c>
    </row>
    <row r="1332" spans="1:4" ht="19.899999999999999" customHeight="1">
      <c r="A1332" s="11" t="s">
        <v>13</v>
      </c>
      <c r="B1332" s="14" t="s">
        <v>41</v>
      </c>
      <c r="C1332" s="12">
        <v>18.044549942016602</v>
      </c>
      <c r="D1332" s="12">
        <v>2007</v>
      </c>
    </row>
    <row r="1333" spans="1:4" ht="19.899999999999999" customHeight="1">
      <c r="A1333" s="11" t="s">
        <v>14</v>
      </c>
      <c r="B1333" s="14" t="s">
        <v>41</v>
      </c>
      <c r="C1333" s="12"/>
      <c r="D1333" s="12">
        <v>2007</v>
      </c>
    </row>
    <row r="1334" spans="1:4" ht="19.899999999999999" customHeight="1">
      <c r="A1334" s="11" t="s">
        <v>15</v>
      </c>
      <c r="B1334" s="14" t="s">
        <v>41</v>
      </c>
      <c r="C1334" s="12"/>
      <c r="D1334" s="12">
        <v>2007</v>
      </c>
    </row>
    <row r="1335" spans="1:4" ht="19.899999999999999" customHeight="1">
      <c r="A1335" s="11" t="s">
        <v>16</v>
      </c>
      <c r="B1335" s="14" t="s">
        <v>41</v>
      </c>
      <c r="C1335" s="12">
        <v>19.416969299316399</v>
      </c>
      <c r="D1335" s="12">
        <v>2007</v>
      </c>
    </row>
    <row r="1336" spans="1:4" ht="19.899999999999999" customHeight="1">
      <c r="A1336" s="11" t="s">
        <v>17</v>
      </c>
      <c r="B1336" s="14" t="s">
        <v>41</v>
      </c>
      <c r="C1336" s="12"/>
      <c r="D1336" s="12">
        <v>2007</v>
      </c>
    </row>
    <row r="1337" spans="1:4" ht="19.899999999999999" customHeight="1">
      <c r="A1337" s="11" t="s">
        <v>18</v>
      </c>
      <c r="B1337" s="14" t="s">
        <v>41</v>
      </c>
      <c r="C1337" s="12"/>
      <c r="D1337" s="12">
        <v>2007</v>
      </c>
    </row>
    <row r="1338" spans="1:4" ht="19.899999999999999" customHeight="1">
      <c r="A1338" s="11" t="s">
        <v>19</v>
      </c>
      <c r="B1338" s="14" t="s">
        <v>41</v>
      </c>
      <c r="C1338" s="12">
        <v>21.128669738769499</v>
      </c>
      <c r="D1338" s="12">
        <v>2007</v>
      </c>
    </row>
    <row r="1339" spans="1:4" ht="19.899999999999999" customHeight="1">
      <c r="A1339" s="11" t="s">
        <v>20</v>
      </c>
      <c r="B1339" s="14" t="s">
        <v>41</v>
      </c>
      <c r="C1339" s="12"/>
      <c r="D1339" s="12">
        <v>2007</v>
      </c>
    </row>
    <row r="1340" spans="1:4" ht="19.899999999999999" customHeight="1">
      <c r="A1340" s="11" t="s">
        <v>21</v>
      </c>
      <c r="B1340" s="14" t="s">
        <v>41</v>
      </c>
      <c r="C1340" s="12">
        <v>17.375970840454102</v>
      </c>
      <c r="D1340" s="12">
        <v>2007</v>
      </c>
    </row>
    <row r="1341" spans="1:4" ht="19.899999999999999" customHeight="1">
      <c r="A1341" s="11" t="s">
        <v>22</v>
      </c>
      <c r="B1341" s="14" t="s">
        <v>41</v>
      </c>
      <c r="C1341" s="12">
        <v>17.7865505218506</v>
      </c>
      <c r="D1341" s="12">
        <v>2007</v>
      </c>
    </row>
    <row r="1342" spans="1:4" ht="19.899999999999999" customHeight="1">
      <c r="A1342" s="11" t="s">
        <v>23</v>
      </c>
      <c r="B1342" s="14" t="s">
        <v>41</v>
      </c>
      <c r="C1342" s="12">
        <v>16.659690856933601</v>
      </c>
      <c r="D1342" s="12">
        <v>2007</v>
      </c>
    </row>
    <row r="1343" spans="1:4" ht="19.899999999999999" customHeight="1">
      <c r="A1343" s="11" t="s">
        <v>24</v>
      </c>
      <c r="B1343" s="14" t="s">
        <v>41</v>
      </c>
      <c r="C1343" s="12"/>
      <c r="D1343" s="12">
        <v>2007</v>
      </c>
    </row>
    <row r="1344" spans="1:4" ht="19.899999999999999" customHeight="1">
      <c r="A1344" s="11" t="s">
        <v>25</v>
      </c>
      <c r="B1344" s="14" t="s">
        <v>41</v>
      </c>
      <c r="C1344" s="12">
        <v>12.214879989624</v>
      </c>
      <c r="D1344" s="12">
        <v>2007</v>
      </c>
    </row>
    <row r="1345" spans="1:4" ht="19.899999999999999" customHeight="1">
      <c r="A1345" s="11" t="s">
        <v>26</v>
      </c>
      <c r="B1345" s="14" t="s">
        <v>41</v>
      </c>
      <c r="C1345" s="12">
        <v>19.431739807128899</v>
      </c>
      <c r="D1345" s="12">
        <v>2007</v>
      </c>
    </row>
    <row r="1346" spans="1:4" ht="19.899999999999999" customHeight="1">
      <c r="A1346" s="11" t="s">
        <v>27</v>
      </c>
      <c r="B1346" s="14" t="s">
        <v>41</v>
      </c>
      <c r="C1346" s="12"/>
      <c r="D1346" s="12">
        <v>2007</v>
      </c>
    </row>
    <row r="1347" spans="1:4" ht="19.899999999999999" customHeight="1">
      <c r="A1347" s="11" t="s">
        <v>28</v>
      </c>
      <c r="B1347" s="14" t="s">
        <v>41</v>
      </c>
      <c r="C1347" s="12">
        <v>6.2279100418090803</v>
      </c>
      <c r="D1347" s="12">
        <v>2007</v>
      </c>
    </row>
    <row r="1348" spans="1:4" ht="19.899999999999999" customHeight="1">
      <c r="A1348" s="11" t="s">
        <v>29</v>
      </c>
      <c r="B1348" s="14" t="s">
        <v>41</v>
      </c>
      <c r="C1348" s="12"/>
      <c r="D1348" s="12">
        <v>2007</v>
      </c>
    </row>
    <row r="1349" spans="1:4" ht="19.899999999999999" customHeight="1">
      <c r="A1349" s="11" t="s">
        <v>4</v>
      </c>
      <c r="B1349" s="14" t="s">
        <v>41</v>
      </c>
      <c r="C1349" s="12">
        <v>12.6155395507813</v>
      </c>
      <c r="D1349" s="12">
        <v>2008</v>
      </c>
    </row>
    <row r="1350" spans="1:4" ht="19.899999999999999" customHeight="1">
      <c r="A1350" s="11" t="s">
        <v>5</v>
      </c>
      <c r="B1350" s="14" t="s">
        <v>41</v>
      </c>
      <c r="C1350" s="12">
        <v>15.588640213012701</v>
      </c>
      <c r="D1350" s="12">
        <v>2008</v>
      </c>
    </row>
    <row r="1351" spans="1:4" ht="19.899999999999999" customHeight="1">
      <c r="A1351" s="11" t="s">
        <v>6</v>
      </c>
      <c r="B1351" s="14" t="s">
        <v>41</v>
      </c>
      <c r="C1351" s="12"/>
      <c r="D1351" s="12">
        <v>2008</v>
      </c>
    </row>
    <row r="1352" spans="1:4" ht="19.899999999999999" customHeight="1">
      <c r="A1352" s="11" t="s">
        <v>7</v>
      </c>
      <c r="B1352" s="14" t="s">
        <v>41</v>
      </c>
      <c r="C1352" s="12">
        <v>29.233119964599599</v>
      </c>
      <c r="D1352" s="12">
        <v>2008</v>
      </c>
    </row>
    <row r="1353" spans="1:4" ht="19.899999999999999" customHeight="1">
      <c r="A1353" s="11" t="s">
        <v>8</v>
      </c>
      <c r="B1353" s="14" t="s">
        <v>41</v>
      </c>
      <c r="C1353" s="12"/>
      <c r="D1353" s="12">
        <v>2008</v>
      </c>
    </row>
    <row r="1354" spans="1:4" ht="19.899999999999999" customHeight="1">
      <c r="A1354" s="11" t="s">
        <v>1</v>
      </c>
      <c r="B1354" s="14" t="s">
        <v>41</v>
      </c>
      <c r="C1354" s="12">
        <v>26.355730056762699</v>
      </c>
      <c r="D1354" s="12">
        <v>2008</v>
      </c>
    </row>
    <row r="1355" spans="1:4" ht="19.899999999999999" customHeight="1">
      <c r="A1355" s="11" t="s">
        <v>9</v>
      </c>
      <c r="B1355" s="14" t="s">
        <v>41</v>
      </c>
      <c r="C1355" s="12">
        <v>15.678259849548301</v>
      </c>
      <c r="D1355" s="12">
        <v>2008</v>
      </c>
    </row>
    <row r="1356" spans="1:4" ht="19.899999999999999" customHeight="1">
      <c r="A1356" s="11" t="s">
        <v>10</v>
      </c>
      <c r="B1356" s="14" t="s">
        <v>41</v>
      </c>
      <c r="C1356" s="12"/>
      <c r="D1356" s="12">
        <v>2008</v>
      </c>
    </row>
    <row r="1357" spans="1:4" ht="19.899999999999999" customHeight="1">
      <c r="A1357" s="11" t="s">
        <v>11</v>
      </c>
      <c r="B1357" s="14" t="s">
        <v>41</v>
      </c>
      <c r="C1357" s="12"/>
      <c r="D1357" s="12">
        <v>2008</v>
      </c>
    </row>
    <row r="1358" spans="1:4" ht="19.899999999999999" customHeight="1">
      <c r="A1358" s="11" t="s">
        <v>38</v>
      </c>
      <c r="B1358" s="14" t="s">
        <v>41</v>
      </c>
      <c r="C1358" s="12"/>
      <c r="D1358" s="12">
        <v>2008</v>
      </c>
    </row>
    <row r="1359" spans="1:4" ht="19.899999999999999" customHeight="1">
      <c r="A1359" s="11" t="s">
        <v>12</v>
      </c>
      <c r="B1359" s="14" t="s">
        <v>41</v>
      </c>
      <c r="C1359" s="12">
        <v>7.27841997146606</v>
      </c>
      <c r="D1359" s="12">
        <v>2008</v>
      </c>
    </row>
    <row r="1360" spans="1:4" ht="19.899999999999999" customHeight="1">
      <c r="A1360" s="11" t="s">
        <v>13</v>
      </c>
      <c r="B1360" s="14" t="s">
        <v>41</v>
      </c>
      <c r="C1360" s="12">
        <v>16.258140563964801</v>
      </c>
      <c r="D1360" s="12">
        <v>2008</v>
      </c>
    </row>
    <row r="1361" spans="1:4" ht="19.899999999999999" customHeight="1">
      <c r="A1361" s="11" t="s">
        <v>14</v>
      </c>
      <c r="B1361" s="14" t="s">
        <v>41</v>
      </c>
      <c r="C1361" s="12"/>
      <c r="D1361" s="12">
        <v>2008</v>
      </c>
    </row>
    <row r="1362" spans="1:4" ht="19.899999999999999" customHeight="1">
      <c r="A1362" s="11" t="s">
        <v>15</v>
      </c>
      <c r="B1362" s="14" t="s">
        <v>41</v>
      </c>
      <c r="C1362" s="12">
        <v>18.031690597534201</v>
      </c>
      <c r="D1362" s="12">
        <v>2008</v>
      </c>
    </row>
    <row r="1363" spans="1:4" ht="19.899999999999999" customHeight="1">
      <c r="A1363" s="11" t="s">
        <v>16</v>
      </c>
      <c r="B1363" s="14" t="s">
        <v>41</v>
      </c>
      <c r="C1363" s="12">
        <v>19.850080490112301</v>
      </c>
      <c r="D1363" s="12">
        <v>2008</v>
      </c>
    </row>
    <row r="1364" spans="1:4" ht="19.899999999999999" customHeight="1">
      <c r="A1364" s="11" t="s">
        <v>17</v>
      </c>
      <c r="B1364" s="14" t="s">
        <v>41</v>
      </c>
      <c r="C1364" s="12"/>
      <c r="D1364" s="12">
        <v>2008</v>
      </c>
    </row>
    <row r="1365" spans="1:4" ht="19.899999999999999" customHeight="1">
      <c r="A1365" s="11" t="s">
        <v>18</v>
      </c>
      <c r="B1365" s="14" t="s">
        <v>41</v>
      </c>
      <c r="C1365" s="12"/>
      <c r="D1365" s="12">
        <v>2008</v>
      </c>
    </row>
    <row r="1366" spans="1:4" ht="19.899999999999999" customHeight="1">
      <c r="A1366" s="11" t="s">
        <v>19</v>
      </c>
      <c r="B1366" s="14" t="s">
        <v>41</v>
      </c>
      <c r="C1366" s="12">
        <v>22.114820480346701</v>
      </c>
      <c r="D1366" s="12">
        <v>2008</v>
      </c>
    </row>
    <row r="1367" spans="1:4" ht="19.899999999999999" customHeight="1">
      <c r="A1367" s="11" t="s">
        <v>20</v>
      </c>
      <c r="B1367" s="14" t="s">
        <v>41</v>
      </c>
      <c r="C1367" s="12"/>
      <c r="D1367" s="12">
        <v>2008</v>
      </c>
    </row>
    <row r="1368" spans="1:4" ht="19.899999999999999" customHeight="1">
      <c r="A1368" s="11" t="s">
        <v>21</v>
      </c>
      <c r="B1368" s="14" t="s">
        <v>41</v>
      </c>
      <c r="C1368" s="12">
        <v>16.177330017089801</v>
      </c>
      <c r="D1368" s="12">
        <v>2008</v>
      </c>
    </row>
    <row r="1369" spans="1:4" ht="19.899999999999999" customHeight="1">
      <c r="A1369" s="11" t="s">
        <v>22</v>
      </c>
      <c r="B1369" s="14" t="s">
        <v>41</v>
      </c>
      <c r="C1369" s="12">
        <v>15.591509819030801</v>
      </c>
      <c r="D1369" s="12">
        <v>2008</v>
      </c>
    </row>
    <row r="1370" spans="1:4" ht="19.899999999999999" customHeight="1">
      <c r="A1370" s="11" t="s">
        <v>23</v>
      </c>
      <c r="B1370" s="14" t="s">
        <v>41</v>
      </c>
      <c r="C1370" s="12">
        <v>18.243320465087901</v>
      </c>
      <c r="D1370" s="12">
        <v>2008</v>
      </c>
    </row>
    <row r="1371" spans="1:4" ht="19.899999999999999" customHeight="1">
      <c r="A1371" s="11" t="s">
        <v>24</v>
      </c>
      <c r="B1371" s="14" t="s">
        <v>41</v>
      </c>
      <c r="C1371" s="12"/>
      <c r="D1371" s="12">
        <v>2008</v>
      </c>
    </row>
    <row r="1372" spans="1:4" ht="19.899999999999999" customHeight="1">
      <c r="A1372" s="11" t="s">
        <v>25</v>
      </c>
      <c r="B1372" s="14" t="s">
        <v>41</v>
      </c>
      <c r="C1372" s="12">
        <v>12.800499916076699</v>
      </c>
      <c r="D1372" s="12">
        <v>2008</v>
      </c>
    </row>
    <row r="1373" spans="1:4" ht="19.899999999999999" customHeight="1">
      <c r="A1373" s="11" t="s">
        <v>26</v>
      </c>
      <c r="B1373" s="14" t="s">
        <v>41</v>
      </c>
      <c r="C1373" s="12">
        <v>18.7784099578857</v>
      </c>
      <c r="D1373" s="12">
        <v>2008</v>
      </c>
    </row>
    <row r="1374" spans="1:4" ht="19.899999999999999" customHeight="1">
      <c r="A1374" s="11" t="s">
        <v>27</v>
      </c>
      <c r="B1374" s="14" t="s">
        <v>41</v>
      </c>
      <c r="C1374" s="12"/>
      <c r="D1374" s="12">
        <v>2008</v>
      </c>
    </row>
    <row r="1375" spans="1:4" ht="19.899999999999999" customHeight="1">
      <c r="A1375" s="11" t="s">
        <v>28</v>
      </c>
      <c r="B1375" s="14" t="s">
        <v>41</v>
      </c>
      <c r="C1375" s="12">
        <v>5.6518001556396502</v>
      </c>
      <c r="D1375" s="12">
        <v>2008</v>
      </c>
    </row>
    <row r="1376" spans="1:4" ht="19.899999999999999" customHeight="1">
      <c r="A1376" s="11" t="s">
        <v>29</v>
      </c>
      <c r="B1376" s="14" t="s">
        <v>41</v>
      </c>
      <c r="C1376" s="12"/>
      <c r="D1376" s="12">
        <v>2008</v>
      </c>
    </row>
    <row r="1377" spans="1:4" ht="19.899999999999999" customHeight="1">
      <c r="A1377" s="11" t="s">
        <v>4</v>
      </c>
      <c r="B1377" s="14" t="s">
        <v>41</v>
      </c>
      <c r="C1377" s="12">
        <v>16.301689147949201</v>
      </c>
      <c r="D1377" s="12">
        <v>2009</v>
      </c>
    </row>
    <row r="1378" spans="1:4" ht="19.899999999999999" customHeight="1">
      <c r="A1378" s="11" t="s">
        <v>5</v>
      </c>
      <c r="B1378" s="14" t="s">
        <v>41</v>
      </c>
      <c r="C1378" s="12">
        <v>19.779790878295799</v>
      </c>
      <c r="D1378" s="12">
        <v>2009</v>
      </c>
    </row>
    <row r="1379" spans="1:4" ht="19.899999999999999" customHeight="1">
      <c r="A1379" s="11" t="s">
        <v>6</v>
      </c>
      <c r="B1379" s="14" t="s">
        <v>41</v>
      </c>
      <c r="C1379" s="12">
        <v>9.5415897369384801</v>
      </c>
      <c r="D1379" s="12">
        <v>2009</v>
      </c>
    </row>
    <row r="1380" spans="1:4" ht="19.899999999999999" customHeight="1">
      <c r="A1380" s="11" t="s">
        <v>7</v>
      </c>
      <c r="B1380" s="14" t="s">
        <v>41</v>
      </c>
      <c r="C1380" s="12"/>
      <c r="D1380" s="12">
        <v>2009</v>
      </c>
    </row>
    <row r="1381" spans="1:4" ht="19.899999999999999" customHeight="1">
      <c r="A1381" s="11" t="s">
        <v>8</v>
      </c>
      <c r="B1381" s="14" t="s">
        <v>41</v>
      </c>
      <c r="C1381" s="12"/>
      <c r="D1381" s="12">
        <v>2009</v>
      </c>
    </row>
    <row r="1382" spans="1:4" ht="19.899999999999999" customHeight="1">
      <c r="A1382" s="11" t="s">
        <v>1</v>
      </c>
      <c r="B1382" s="14" t="s">
        <v>41</v>
      </c>
      <c r="C1382" s="12">
        <v>23.5837497711182</v>
      </c>
      <c r="D1382" s="12">
        <v>2009</v>
      </c>
    </row>
    <row r="1383" spans="1:4" ht="19.899999999999999" customHeight="1">
      <c r="A1383" s="11" t="s">
        <v>9</v>
      </c>
      <c r="B1383" s="14" t="s">
        <v>41</v>
      </c>
      <c r="C1383" s="12">
        <v>13.583399772644</v>
      </c>
      <c r="D1383" s="12">
        <v>2009</v>
      </c>
    </row>
    <row r="1384" spans="1:4" ht="19.899999999999999" customHeight="1">
      <c r="A1384" s="11" t="s">
        <v>10</v>
      </c>
      <c r="B1384" s="14" t="s">
        <v>41</v>
      </c>
      <c r="C1384" s="12"/>
      <c r="D1384" s="12">
        <v>2009</v>
      </c>
    </row>
    <row r="1385" spans="1:4" ht="19.899999999999999" customHeight="1">
      <c r="A1385" s="11" t="s">
        <v>11</v>
      </c>
      <c r="B1385" s="14" t="s">
        <v>41</v>
      </c>
      <c r="C1385" s="12"/>
      <c r="D1385" s="12">
        <v>2009</v>
      </c>
    </row>
    <row r="1386" spans="1:4" ht="19.899999999999999" customHeight="1">
      <c r="A1386" s="11" t="s">
        <v>38</v>
      </c>
      <c r="B1386" s="14" t="s">
        <v>41</v>
      </c>
      <c r="C1386" s="12"/>
      <c r="D1386" s="12">
        <v>2009</v>
      </c>
    </row>
    <row r="1387" spans="1:4" ht="19.899999999999999" customHeight="1">
      <c r="A1387" s="11" t="s">
        <v>12</v>
      </c>
      <c r="B1387" s="14" t="s">
        <v>41</v>
      </c>
      <c r="C1387" s="12"/>
      <c r="D1387" s="12">
        <v>2009</v>
      </c>
    </row>
    <row r="1388" spans="1:4" ht="19.899999999999999" customHeight="1">
      <c r="A1388" s="11" t="s">
        <v>13</v>
      </c>
      <c r="B1388" s="14" t="s">
        <v>41</v>
      </c>
      <c r="C1388" s="12">
        <v>22.585830688476602</v>
      </c>
      <c r="D1388" s="12">
        <v>2009</v>
      </c>
    </row>
    <row r="1389" spans="1:4" ht="19.899999999999999" customHeight="1">
      <c r="A1389" s="11" t="s">
        <v>14</v>
      </c>
      <c r="B1389" s="14" t="s">
        <v>41</v>
      </c>
      <c r="C1389" s="12"/>
      <c r="D1389" s="12">
        <v>2009</v>
      </c>
    </row>
    <row r="1390" spans="1:4" ht="19.899999999999999" customHeight="1">
      <c r="A1390" s="11" t="s">
        <v>15</v>
      </c>
      <c r="B1390" s="14" t="s">
        <v>41</v>
      </c>
      <c r="C1390" s="12">
        <v>16.959409713745099</v>
      </c>
      <c r="D1390" s="12">
        <v>2009</v>
      </c>
    </row>
    <row r="1391" spans="1:4" ht="19.899999999999999" customHeight="1">
      <c r="A1391" s="11" t="s">
        <v>16</v>
      </c>
      <c r="B1391" s="14" t="s">
        <v>41</v>
      </c>
      <c r="C1391" s="12">
        <v>20.992630004882798</v>
      </c>
      <c r="D1391" s="12">
        <v>2009</v>
      </c>
    </row>
    <row r="1392" spans="1:4" ht="19.899999999999999" customHeight="1">
      <c r="A1392" s="11" t="s">
        <v>17</v>
      </c>
      <c r="B1392" s="14" t="s">
        <v>41</v>
      </c>
      <c r="C1392" s="12"/>
      <c r="D1392" s="12">
        <v>2009</v>
      </c>
    </row>
    <row r="1393" spans="1:4" ht="19.899999999999999" customHeight="1">
      <c r="A1393" s="11" t="s">
        <v>18</v>
      </c>
      <c r="B1393" s="14" t="s">
        <v>41</v>
      </c>
      <c r="C1393" s="12"/>
      <c r="D1393" s="12">
        <v>2009</v>
      </c>
    </row>
    <row r="1394" spans="1:4" ht="19.899999999999999" customHeight="1">
      <c r="A1394" s="11" t="s">
        <v>19</v>
      </c>
      <c r="B1394" s="14" t="s">
        <v>41</v>
      </c>
      <c r="C1394" s="12">
        <v>19.847530364990199</v>
      </c>
      <c r="D1394" s="12">
        <v>2009</v>
      </c>
    </row>
    <row r="1395" spans="1:4" ht="19.899999999999999" customHeight="1">
      <c r="A1395" s="11" t="s">
        <v>20</v>
      </c>
      <c r="B1395" s="14" t="s">
        <v>41</v>
      </c>
      <c r="C1395" s="12"/>
      <c r="D1395" s="12">
        <v>2009</v>
      </c>
    </row>
    <row r="1396" spans="1:4" ht="19.899999999999999" customHeight="1">
      <c r="A1396" s="11" t="s">
        <v>21</v>
      </c>
      <c r="B1396" s="14" t="s">
        <v>41</v>
      </c>
      <c r="C1396" s="12">
        <v>18.912939071655298</v>
      </c>
      <c r="D1396" s="12">
        <v>2009</v>
      </c>
    </row>
    <row r="1397" spans="1:4" ht="19.899999999999999" customHeight="1">
      <c r="A1397" s="11" t="s">
        <v>22</v>
      </c>
      <c r="B1397" s="14" t="s">
        <v>41</v>
      </c>
      <c r="C1397" s="12"/>
      <c r="D1397" s="12">
        <v>2009</v>
      </c>
    </row>
    <row r="1398" spans="1:4" ht="19.899999999999999" customHeight="1">
      <c r="A1398" s="11" t="s">
        <v>23</v>
      </c>
      <c r="B1398" s="14" t="s">
        <v>41</v>
      </c>
      <c r="C1398" s="12">
        <v>20.5594997406006</v>
      </c>
      <c r="D1398" s="12">
        <v>2009</v>
      </c>
    </row>
    <row r="1399" spans="1:4" ht="19.899999999999999" customHeight="1">
      <c r="A1399" s="11" t="s">
        <v>24</v>
      </c>
      <c r="B1399" s="14" t="s">
        <v>41</v>
      </c>
      <c r="C1399" s="12">
        <v>8.2707901000976598</v>
      </c>
      <c r="D1399" s="12">
        <v>2009</v>
      </c>
    </row>
    <row r="1400" spans="1:4" ht="19.899999999999999" customHeight="1">
      <c r="A1400" s="11" t="s">
        <v>25</v>
      </c>
      <c r="B1400" s="14" t="s">
        <v>41</v>
      </c>
      <c r="C1400" s="12">
        <v>14.312159538269</v>
      </c>
      <c r="D1400" s="12">
        <v>2009</v>
      </c>
    </row>
    <row r="1401" spans="1:4" ht="19.899999999999999" customHeight="1">
      <c r="A1401" s="11" t="s">
        <v>26</v>
      </c>
      <c r="B1401" s="14" t="s">
        <v>41</v>
      </c>
      <c r="C1401" s="12">
        <v>17.4109191894531</v>
      </c>
      <c r="D1401" s="12">
        <v>2009</v>
      </c>
    </row>
    <row r="1402" spans="1:4" ht="19.899999999999999" customHeight="1">
      <c r="A1402" s="11" t="s">
        <v>27</v>
      </c>
      <c r="B1402" s="14" t="s">
        <v>41</v>
      </c>
      <c r="C1402" s="12"/>
      <c r="D1402" s="12">
        <v>2009</v>
      </c>
    </row>
    <row r="1403" spans="1:4" ht="19.899999999999999" customHeight="1">
      <c r="A1403" s="11" t="s">
        <v>28</v>
      </c>
      <c r="B1403" s="14" t="s">
        <v>41</v>
      </c>
      <c r="C1403" s="12"/>
      <c r="D1403" s="12">
        <v>2009</v>
      </c>
    </row>
    <row r="1404" spans="1:4" ht="19.899999999999999" customHeight="1">
      <c r="A1404" s="11" t="s">
        <v>29</v>
      </c>
      <c r="B1404" s="14" t="s">
        <v>41</v>
      </c>
      <c r="C1404" s="12"/>
      <c r="D1404" s="12">
        <v>2009</v>
      </c>
    </row>
    <row r="1405" spans="1:4" ht="19.899999999999999" customHeight="1">
      <c r="A1405" s="11" t="s">
        <v>4</v>
      </c>
      <c r="B1405" s="14" t="s">
        <v>41</v>
      </c>
      <c r="C1405" s="12">
        <v>16.588100433349599</v>
      </c>
      <c r="D1405" s="12">
        <v>2010</v>
      </c>
    </row>
    <row r="1406" spans="1:4" ht="19.899999999999999" customHeight="1">
      <c r="A1406" s="11" t="s">
        <v>5</v>
      </c>
      <c r="B1406" s="14" t="s">
        <v>41</v>
      </c>
      <c r="C1406" s="12">
        <v>18.753889083862301</v>
      </c>
      <c r="D1406" s="12">
        <v>2010</v>
      </c>
    </row>
    <row r="1407" spans="1:4" ht="19.899999999999999" customHeight="1">
      <c r="A1407" s="11" t="s">
        <v>6</v>
      </c>
      <c r="B1407" s="14" t="s">
        <v>41</v>
      </c>
      <c r="C1407" s="12">
        <v>8.1192798614502006</v>
      </c>
      <c r="D1407" s="12">
        <v>2010</v>
      </c>
    </row>
    <row r="1408" spans="1:4" ht="19.899999999999999" customHeight="1">
      <c r="A1408" s="11" t="s">
        <v>7</v>
      </c>
      <c r="B1408" s="14" t="s">
        <v>41</v>
      </c>
      <c r="C1408" s="12"/>
      <c r="D1408" s="12">
        <v>2010</v>
      </c>
    </row>
    <row r="1409" spans="1:4" ht="19.899999999999999" customHeight="1">
      <c r="A1409" s="11" t="s">
        <v>8</v>
      </c>
      <c r="B1409" s="14" t="s">
        <v>41</v>
      </c>
      <c r="C1409" s="12">
        <v>12.3283996582031</v>
      </c>
      <c r="D1409" s="12">
        <v>2010</v>
      </c>
    </row>
    <row r="1410" spans="1:4" ht="19.899999999999999" customHeight="1">
      <c r="A1410" s="11" t="s">
        <v>1</v>
      </c>
      <c r="B1410" s="14" t="s">
        <v>41</v>
      </c>
      <c r="C1410" s="12">
        <v>26.304040908813501</v>
      </c>
      <c r="D1410" s="12">
        <v>2010</v>
      </c>
    </row>
    <row r="1411" spans="1:4" ht="19.899999999999999" customHeight="1">
      <c r="A1411" s="11" t="s">
        <v>9</v>
      </c>
      <c r="B1411" s="14" t="s">
        <v>41</v>
      </c>
      <c r="C1411" s="12">
        <v>12.4383201599121</v>
      </c>
      <c r="D1411" s="12">
        <v>2010</v>
      </c>
    </row>
    <row r="1412" spans="1:4" ht="19.899999999999999" customHeight="1">
      <c r="A1412" s="11" t="s">
        <v>10</v>
      </c>
      <c r="B1412" s="14" t="s">
        <v>41</v>
      </c>
      <c r="C1412" s="12"/>
      <c r="D1412" s="12">
        <v>2010</v>
      </c>
    </row>
    <row r="1413" spans="1:4" ht="19.899999999999999" customHeight="1">
      <c r="A1413" s="11" t="s">
        <v>11</v>
      </c>
      <c r="B1413" s="14" t="s">
        <v>41</v>
      </c>
      <c r="C1413" s="12">
        <v>20.5559902191162</v>
      </c>
      <c r="D1413" s="12">
        <v>2010</v>
      </c>
    </row>
    <row r="1414" spans="1:4" ht="19.899999999999999" customHeight="1">
      <c r="A1414" s="11" t="s">
        <v>38</v>
      </c>
      <c r="B1414" s="14" t="s">
        <v>41</v>
      </c>
      <c r="C1414" s="12"/>
      <c r="D1414" s="12">
        <v>2010</v>
      </c>
    </row>
    <row r="1415" spans="1:4" ht="19.899999999999999" customHeight="1">
      <c r="A1415" s="11" t="s">
        <v>12</v>
      </c>
      <c r="B1415" s="14" t="s">
        <v>41</v>
      </c>
      <c r="C1415" s="12"/>
      <c r="D1415" s="12">
        <v>2010</v>
      </c>
    </row>
    <row r="1416" spans="1:4" ht="19.899999999999999" customHeight="1">
      <c r="A1416" s="11" t="s">
        <v>13</v>
      </c>
      <c r="B1416" s="14" t="s">
        <v>41</v>
      </c>
      <c r="C1416" s="12"/>
      <c r="D1416" s="12">
        <v>2010</v>
      </c>
    </row>
    <row r="1417" spans="1:4" ht="19.899999999999999" customHeight="1">
      <c r="A1417" s="11" t="s">
        <v>14</v>
      </c>
      <c r="B1417" s="14" t="s">
        <v>41</v>
      </c>
      <c r="C1417" s="12">
        <v>12.5179595947266</v>
      </c>
      <c r="D1417" s="12">
        <v>2010</v>
      </c>
    </row>
    <row r="1418" spans="1:4" ht="19.899999999999999" customHeight="1">
      <c r="A1418" s="11" t="s">
        <v>15</v>
      </c>
      <c r="B1418" s="14" t="s">
        <v>41</v>
      </c>
      <c r="C1418" s="12">
        <v>16.503910064697301</v>
      </c>
      <c r="D1418" s="12">
        <v>2010</v>
      </c>
    </row>
    <row r="1419" spans="1:4" ht="19.899999999999999" customHeight="1">
      <c r="A1419" s="11" t="s">
        <v>16</v>
      </c>
      <c r="B1419" s="14" t="s">
        <v>41</v>
      </c>
      <c r="C1419" s="12">
        <v>22.267009735107401</v>
      </c>
      <c r="D1419" s="12">
        <v>2010</v>
      </c>
    </row>
    <row r="1420" spans="1:4" ht="19.899999999999999" customHeight="1">
      <c r="A1420" s="11" t="s">
        <v>17</v>
      </c>
      <c r="B1420" s="14" t="s">
        <v>41</v>
      </c>
      <c r="C1420" s="12"/>
      <c r="D1420" s="12">
        <v>2010</v>
      </c>
    </row>
    <row r="1421" spans="1:4" ht="19.899999999999999" customHeight="1">
      <c r="A1421" s="11" t="s">
        <v>18</v>
      </c>
      <c r="B1421" s="14" t="s">
        <v>41</v>
      </c>
      <c r="C1421" s="12"/>
      <c r="D1421" s="12">
        <v>2010</v>
      </c>
    </row>
    <row r="1422" spans="1:4" ht="19.899999999999999" customHeight="1">
      <c r="A1422" s="11" t="s">
        <v>19</v>
      </c>
      <c r="B1422" s="14" t="s">
        <v>41</v>
      </c>
      <c r="C1422" s="12">
        <v>16.024829864501999</v>
      </c>
      <c r="D1422" s="12">
        <v>2010</v>
      </c>
    </row>
    <row r="1423" spans="1:4" ht="19.899999999999999" customHeight="1">
      <c r="A1423" s="11" t="s">
        <v>20</v>
      </c>
      <c r="B1423" s="14" t="s">
        <v>41</v>
      </c>
      <c r="C1423" s="12">
        <v>22.753669738769499</v>
      </c>
      <c r="D1423" s="12">
        <v>2010</v>
      </c>
    </row>
    <row r="1424" spans="1:4" ht="19.899999999999999" customHeight="1">
      <c r="A1424" s="11" t="s">
        <v>21</v>
      </c>
      <c r="B1424" s="14" t="s">
        <v>41</v>
      </c>
      <c r="C1424" s="12">
        <v>18.104040145873999</v>
      </c>
      <c r="D1424" s="12">
        <v>2010</v>
      </c>
    </row>
    <row r="1425" spans="1:4" ht="19.899999999999999" customHeight="1">
      <c r="A1425" s="11" t="s">
        <v>22</v>
      </c>
      <c r="B1425" s="14" t="s">
        <v>41</v>
      </c>
      <c r="C1425" s="12">
        <v>17.548059463501001</v>
      </c>
      <c r="D1425" s="12">
        <v>2010</v>
      </c>
    </row>
    <row r="1426" spans="1:4" ht="19.899999999999999" customHeight="1">
      <c r="A1426" s="11" t="s">
        <v>23</v>
      </c>
      <c r="B1426" s="14" t="s">
        <v>41</v>
      </c>
      <c r="C1426" s="12">
        <v>19.3235893249512</v>
      </c>
      <c r="D1426" s="12">
        <v>2010</v>
      </c>
    </row>
    <row r="1427" spans="1:4" ht="19.899999999999999" customHeight="1">
      <c r="A1427" s="11" t="s">
        <v>24</v>
      </c>
      <c r="B1427" s="14" t="s">
        <v>41</v>
      </c>
      <c r="C1427" s="12">
        <v>8.6056604385375994</v>
      </c>
      <c r="D1427" s="12">
        <v>2010</v>
      </c>
    </row>
    <row r="1428" spans="1:4" ht="19.899999999999999" customHeight="1">
      <c r="A1428" s="11" t="s">
        <v>25</v>
      </c>
      <c r="B1428" s="14" t="s">
        <v>41</v>
      </c>
      <c r="C1428" s="12">
        <v>15.3314504623413</v>
      </c>
      <c r="D1428" s="12">
        <v>2010</v>
      </c>
    </row>
    <row r="1429" spans="1:4" ht="19.899999999999999" customHeight="1">
      <c r="A1429" s="11" t="s">
        <v>26</v>
      </c>
      <c r="B1429" s="14" t="s">
        <v>41</v>
      </c>
      <c r="C1429" s="12">
        <v>19.6480102539063</v>
      </c>
      <c r="D1429" s="12">
        <v>2010</v>
      </c>
    </row>
    <row r="1430" spans="1:4" ht="19.899999999999999" customHeight="1">
      <c r="A1430" s="11" t="s">
        <v>27</v>
      </c>
      <c r="B1430" s="14" t="s">
        <v>41</v>
      </c>
      <c r="C1430" s="12">
        <v>10.104889869689901</v>
      </c>
      <c r="D1430" s="12">
        <v>2010</v>
      </c>
    </row>
    <row r="1431" spans="1:4" ht="19.899999999999999" customHeight="1">
      <c r="A1431" s="11" t="s">
        <v>28</v>
      </c>
      <c r="B1431" s="14" t="s">
        <v>41</v>
      </c>
      <c r="C1431" s="12"/>
      <c r="D1431" s="12">
        <v>2010</v>
      </c>
    </row>
    <row r="1432" spans="1:4" ht="19.899999999999999" customHeight="1">
      <c r="A1432" s="11" t="s">
        <v>29</v>
      </c>
      <c r="B1432" s="14" t="s">
        <v>41</v>
      </c>
      <c r="C1432" s="12">
        <v>8.7209100723266602</v>
      </c>
      <c r="D1432" s="12">
        <v>2010</v>
      </c>
    </row>
    <row r="1433" spans="1:4" ht="19.899999999999999" customHeight="1">
      <c r="A1433" s="11" t="s">
        <v>4</v>
      </c>
      <c r="B1433" s="14" t="s">
        <v>41</v>
      </c>
      <c r="C1433" s="12">
        <v>14.9792995452881</v>
      </c>
      <c r="D1433" s="12">
        <v>2011</v>
      </c>
    </row>
    <row r="1434" spans="1:4" ht="19.899999999999999" customHeight="1">
      <c r="A1434" s="11" t="s">
        <v>5</v>
      </c>
      <c r="B1434" s="14" t="s">
        <v>41</v>
      </c>
      <c r="C1434" s="12">
        <v>14.867770195007299</v>
      </c>
      <c r="D1434" s="12">
        <v>2011</v>
      </c>
    </row>
    <row r="1435" spans="1:4" ht="19.899999999999999" customHeight="1">
      <c r="A1435" s="11" t="s">
        <v>6</v>
      </c>
      <c r="B1435" s="14" t="s">
        <v>41</v>
      </c>
      <c r="C1435" s="12">
        <v>10.083259582519499</v>
      </c>
      <c r="D1435" s="12">
        <v>2011</v>
      </c>
    </row>
    <row r="1436" spans="1:4" ht="19.899999999999999" customHeight="1">
      <c r="A1436" s="11" t="s">
        <v>7</v>
      </c>
      <c r="B1436" s="14" t="s">
        <v>41</v>
      </c>
      <c r="C1436" s="12">
        <v>21.414869308471701</v>
      </c>
      <c r="D1436" s="12">
        <v>2011</v>
      </c>
    </row>
    <row r="1437" spans="1:4" ht="19.899999999999999" customHeight="1">
      <c r="A1437" s="11" t="s">
        <v>8</v>
      </c>
      <c r="B1437" s="14" t="s">
        <v>41</v>
      </c>
      <c r="C1437" s="12"/>
      <c r="D1437" s="12">
        <v>2011</v>
      </c>
    </row>
    <row r="1438" spans="1:4" ht="19.899999999999999" customHeight="1">
      <c r="A1438" s="11" t="s">
        <v>1</v>
      </c>
      <c r="B1438" s="14" t="s">
        <v>41</v>
      </c>
      <c r="C1438" s="12">
        <v>29.674430847168001</v>
      </c>
      <c r="D1438" s="12">
        <v>2011</v>
      </c>
    </row>
    <row r="1439" spans="1:4" ht="19.899999999999999" customHeight="1">
      <c r="A1439" s="11" t="s">
        <v>9</v>
      </c>
      <c r="B1439" s="14" t="s">
        <v>41</v>
      </c>
      <c r="C1439" s="12">
        <v>14.2593097686768</v>
      </c>
      <c r="D1439" s="12">
        <v>2011</v>
      </c>
    </row>
    <row r="1440" spans="1:4" ht="19.899999999999999" customHeight="1">
      <c r="A1440" s="11" t="s">
        <v>10</v>
      </c>
      <c r="B1440" s="14" t="s">
        <v>41</v>
      </c>
      <c r="C1440" s="12"/>
      <c r="D1440" s="12">
        <v>2011</v>
      </c>
    </row>
    <row r="1441" spans="1:4" ht="19.899999999999999" customHeight="1">
      <c r="A1441" s="11" t="s">
        <v>11</v>
      </c>
      <c r="B1441" s="14" t="s">
        <v>41</v>
      </c>
      <c r="C1441" s="12">
        <v>19.252830505371101</v>
      </c>
      <c r="D1441" s="12">
        <v>2011</v>
      </c>
    </row>
    <row r="1442" spans="1:4" ht="19.899999999999999" customHeight="1">
      <c r="A1442" s="11" t="s">
        <v>38</v>
      </c>
      <c r="B1442" s="14" t="s">
        <v>41</v>
      </c>
      <c r="C1442" s="12"/>
      <c r="D1442" s="12">
        <v>2011</v>
      </c>
    </row>
    <row r="1443" spans="1:4" ht="19.899999999999999" customHeight="1">
      <c r="A1443" s="11" t="s">
        <v>12</v>
      </c>
      <c r="B1443" s="14" t="s">
        <v>41</v>
      </c>
      <c r="C1443" s="12"/>
      <c r="D1443" s="12">
        <v>2011</v>
      </c>
    </row>
    <row r="1444" spans="1:4" ht="19.899999999999999" customHeight="1">
      <c r="A1444" s="11" t="s">
        <v>13</v>
      </c>
      <c r="B1444" s="14" t="s">
        <v>41</v>
      </c>
      <c r="C1444" s="12">
        <v>19.779699325561499</v>
      </c>
      <c r="D1444" s="12">
        <v>2011</v>
      </c>
    </row>
    <row r="1445" spans="1:4" ht="19.899999999999999" customHeight="1">
      <c r="A1445" s="11" t="s">
        <v>14</v>
      </c>
      <c r="B1445" s="14" t="s">
        <v>41</v>
      </c>
      <c r="C1445" s="12">
        <v>15.0978803634644</v>
      </c>
      <c r="D1445" s="12">
        <v>2011</v>
      </c>
    </row>
    <row r="1446" spans="1:4" ht="19.899999999999999" customHeight="1">
      <c r="A1446" s="11" t="s">
        <v>15</v>
      </c>
      <c r="B1446" s="14" t="s">
        <v>41</v>
      </c>
      <c r="C1446" s="12">
        <v>18.2583408355713</v>
      </c>
      <c r="D1446" s="12">
        <v>2011</v>
      </c>
    </row>
    <row r="1447" spans="1:4" ht="19.899999999999999" customHeight="1">
      <c r="A1447" s="11" t="s">
        <v>16</v>
      </c>
      <c r="B1447" s="14" t="s">
        <v>41</v>
      </c>
      <c r="C1447" s="12">
        <v>21.915880203247099</v>
      </c>
      <c r="D1447" s="12">
        <v>2011</v>
      </c>
    </row>
    <row r="1448" spans="1:4" ht="19.899999999999999" customHeight="1">
      <c r="A1448" s="11" t="s">
        <v>17</v>
      </c>
      <c r="B1448" s="14" t="s">
        <v>41</v>
      </c>
      <c r="C1448" s="12"/>
      <c r="D1448" s="12">
        <v>2011</v>
      </c>
    </row>
    <row r="1449" spans="1:4" ht="19.899999999999999" customHeight="1">
      <c r="A1449" s="11" t="s">
        <v>18</v>
      </c>
      <c r="B1449" s="14" t="s">
        <v>41</v>
      </c>
      <c r="C1449" s="12">
        <v>5.3991999626159703</v>
      </c>
      <c r="D1449" s="12">
        <v>2011</v>
      </c>
    </row>
    <row r="1450" spans="1:4" ht="19.899999999999999" customHeight="1">
      <c r="A1450" s="11" t="s">
        <v>19</v>
      </c>
      <c r="B1450" s="14" t="s">
        <v>41</v>
      </c>
      <c r="C1450" s="12">
        <v>17.976860046386701</v>
      </c>
      <c r="D1450" s="12">
        <v>2011</v>
      </c>
    </row>
    <row r="1451" spans="1:4" ht="19.899999999999999" customHeight="1">
      <c r="A1451" s="11" t="s">
        <v>20</v>
      </c>
      <c r="B1451" s="14" t="s">
        <v>41</v>
      </c>
      <c r="C1451" s="12"/>
      <c r="D1451" s="12">
        <v>2011</v>
      </c>
    </row>
    <row r="1452" spans="1:4" ht="19.899999999999999" customHeight="1">
      <c r="A1452" s="11" t="s">
        <v>21</v>
      </c>
      <c r="B1452" s="14" t="s">
        <v>41</v>
      </c>
      <c r="C1452" s="12">
        <v>21.675809860229499</v>
      </c>
      <c r="D1452" s="12">
        <v>2011</v>
      </c>
    </row>
    <row r="1453" spans="1:4" ht="19.899999999999999" customHeight="1">
      <c r="A1453" s="11" t="s">
        <v>22</v>
      </c>
      <c r="B1453" s="14" t="s">
        <v>41</v>
      </c>
      <c r="C1453" s="12">
        <v>15.343379974365201</v>
      </c>
      <c r="D1453" s="12">
        <v>2011</v>
      </c>
    </row>
    <row r="1454" spans="1:4" ht="19.899999999999999" customHeight="1">
      <c r="A1454" s="11" t="s">
        <v>23</v>
      </c>
      <c r="B1454" s="14" t="s">
        <v>41</v>
      </c>
      <c r="C1454" s="12"/>
      <c r="D1454" s="12">
        <v>2011</v>
      </c>
    </row>
    <row r="1455" spans="1:4" ht="19.899999999999999" customHeight="1">
      <c r="A1455" s="11" t="s">
        <v>24</v>
      </c>
      <c r="B1455" s="14" t="s">
        <v>41</v>
      </c>
      <c r="C1455" s="12">
        <v>9.1101598739624006</v>
      </c>
      <c r="D1455" s="12">
        <v>2011</v>
      </c>
    </row>
    <row r="1456" spans="1:4" ht="19.899999999999999" customHeight="1">
      <c r="A1456" s="11" t="s">
        <v>25</v>
      </c>
      <c r="B1456" s="14" t="s">
        <v>41</v>
      </c>
      <c r="C1456" s="12">
        <v>14.560509681701699</v>
      </c>
      <c r="D1456" s="12">
        <v>2011</v>
      </c>
    </row>
    <row r="1457" spans="1:4" ht="19.899999999999999" customHeight="1">
      <c r="A1457" s="11" t="s">
        <v>26</v>
      </c>
      <c r="B1457" s="14" t="s">
        <v>41</v>
      </c>
      <c r="C1457" s="12"/>
      <c r="D1457" s="12">
        <v>2011</v>
      </c>
    </row>
    <row r="1458" spans="1:4" ht="19.899999999999999" customHeight="1">
      <c r="A1458" s="11" t="s">
        <v>27</v>
      </c>
      <c r="B1458" s="14" t="s">
        <v>41</v>
      </c>
      <c r="C1458" s="12">
        <v>13.611370086669901</v>
      </c>
      <c r="D1458" s="12">
        <v>2011</v>
      </c>
    </row>
    <row r="1459" spans="1:4" ht="19.899999999999999" customHeight="1">
      <c r="A1459" s="11" t="s">
        <v>28</v>
      </c>
      <c r="B1459" s="14" t="s">
        <v>41</v>
      </c>
      <c r="C1459" s="12"/>
      <c r="D1459" s="12">
        <v>2011</v>
      </c>
    </row>
    <row r="1460" spans="1:4" ht="19.899999999999999" customHeight="1">
      <c r="A1460" s="11" t="s">
        <v>29</v>
      </c>
      <c r="B1460" s="14" t="s">
        <v>41</v>
      </c>
      <c r="C1460" s="12"/>
      <c r="D1460" s="12">
        <v>2011</v>
      </c>
    </row>
    <row r="1461" spans="1:4" ht="19.899999999999999" customHeight="1">
      <c r="A1461" s="11" t="s">
        <v>4</v>
      </c>
      <c r="B1461" s="14" t="s">
        <v>41</v>
      </c>
      <c r="C1461" s="12">
        <v>16.428319931030298</v>
      </c>
      <c r="D1461" s="12">
        <v>2012</v>
      </c>
    </row>
    <row r="1462" spans="1:4" ht="19.899999999999999" customHeight="1">
      <c r="A1462" s="11" t="s">
        <v>5</v>
      </c>
      <c r="B1462" s="14" t="s">
        <v>41</v>
      </c>
      <c r="C1462" s="12">
        <v>15.176219940185501</v>
      </c>
      <c r="D1462" s="12">
        <v>2012</v>
      </c>
    </row>
    <row r="1463" spans="1:4" ht="19.899999999999999" customHeight="1">
      <c r="A1463" s="11" t="s">
        <v>6</v>
      </c>
      <c r="B1463" s="14" t="s">
        <v>41</v>
      </c>
      <c r="C1463" s="12">
        <v>9.2124099731445295</v>
      </c>
      <c r="D1463" s="12">
        <v>2012</v>
      </c>
    </row>
    <row r="1464" spans="1:4" ht="19.899999999999999" customHeight="1">
      <c r="A1464" s="11" t="s">
        <v>7</v>
      </c>
      <c r="B1464" s="14" t="s">
        <v>41</v>
      </c>
      <c r="C1464" s="12">
        <v>18.491510391235401</v>
      </c>
      <c r="D1464" s="12">
        <v>2012</v>
      </c>
    </row>
    <row r="1465" spans="1:4" ht="19.899999999999999" customHeight="1">
      <c r="A1465" s="11" t="s">
        <v>8</v>
      </c>
      <c r="B1465" s="14" t="s">
        <v>41</v>
      </c>
      <c r="C1465" s="12"/>
      <c r="D1465" s="12">
        <v>2012</v>
      </c>
    </row>
    <row r="1466" spans="1:4" ht="19.899999999999999" customHeight="1">
      <c r="A1466" s="11" t="s">
        <v>1</v>
      </c>
      <c r="B1466" s="14" t="s">
        <v>41</v>
      </c>
      <c r="C1466" s="12">
        <v>30.5395393371582</v>
      </c>
      <c r="D1466" s="12">
        <v>2012</v>
      </c>
    </row>
    <row r="1467" spans="1:4" ht="19.899999999999999" customHeight="1">
      <c r="A1467" s="11" t="s">
        <v>9</v>
      </c>
      <c r="B1467" s="14" t="s">
        <v>41</v>
      </c>
      <c r="C1467" s="12">
        <v>9.4606103897094709</v>
      </c>
      <c r="D1467" s="12">
        <v>2012</v>
      </c>
    </row>
    <row r="1468" spans="1:4" ht="19.899999999999999" customHeight="1">
      <c r="A1468" s="11" t="s">
        <v>10</v>
      </c>
      <c r="B1468" s="14" t="s">
        <v>41</v>
      </c>
      <c r="C1468" s="12"/>
      <c r="D1468" s="12">
        <v>2012</v>
      </c>
    </row>
    <row r="1469" spans="1:4" ht="19.899999999999999" customHeight="1">
      <c r="A1469" s="11" t="s">
        <v>11</v>
      </c>
      <c r="B1469" s="14" t="s">
        <v>41</v>
      </c>
      <c r="C1469" s="12">
        <v>19.923900604248001</v>
      </c>
      <c r="D1469" s="12">
        <v>2012</v>
      </c>
    </row>
    <row r="1470" spans="1:4" ht="19.899999999999999" customHeight="1">
      <c r="A1470" s="11" t="s">
        <v>38</v>
      </c>
      <c r="B1470" s="14" t="s">
        <v>41</v>
      </c>
      <c r="C1470" s="12"/>
      <c r="D1470" s="12">
        <v>2012</v>
      </c>
    </row>
    <row r="1471" spans="1:4" ht="19.899999999999999" customHeight="1">
      <c r="A1471" s="11" t="s">
        <v>12</v>
      </c>
      <c r="B1471" s="14" t="s">
        <v>41</v>
      </c>
      <c r="C1471" s="12">
        <v>8.1017599105834996</v>
      </c>
      <c r="D1471" s="12">
        <v>2012</v>
      </c>
    </row>
    <row r="1472" spans="1:4" ht="19.899999999999999" customHeight="1">
      <c r="A1472" s="11" t="s">
        <v>13</v>
      </c>
      <c r="B1472" s="14" t="s">
        <v>41</v>
      </c>
      <c r="C1472" s="12">
        <v>20.325799942016602</v>
      </c>
      <c r="D1472" s="12">
        <v>2012</v>
      </c>
    </row>
    <row r="1473" spans="1:4" ht="19.899999999999999" customHeight="1">
      <c r="A1473" s="11" t="s">
        <v>14</v>
      </c>
      <c r="B1473" s="14" t="s">
        <v>41</v>
      </c>
      <c r="C1473" s="12"/>
      <c r="D1473" s="12">
        <v>2012</v>
      </c>
    </row>
    <row r="1474" spans="1:4" ht="19.899999999999999" customHeight="1">
      <c r="A1474" s="11" t="s">
        <v>15</v>
      </c>
      <c r="B1474" s="14" t="s">
        <v>41</v>
      </c>
      <c r="C1474" s="12">
        <v>22.403379440307599</v>
      </c>
      <c r="D1474" s="12">
        <v>2012</v>
      </c>
    </row>
    <row r="1475" spans="1:4" ht="19.899999999999999" customHeight="1">
      <c r="A1475" s="11" t="s">
        <v>16</v>
      </c>
      <c r="B1475" s="14" t="s">
        <v>41</v>
      </c>
      <c r="C1475" s="12">
        <v>20.741970062255898</v>
      </c>
      <c r="D1475" s="12">
        <v>2012</v>
      </c>
    </row>
    <row r="1476" spans="1:4" ht="19.899999999999999" customHeight="1">
      <c r="A1476" s="11" t="s">
        <v>17</v>
      </c>
      <c r="B1476" s="14" t="s">
        <v>41</v>
      </c>
      <c r="C1476" s="12">
        <v>19.701820373535199</v>
      </c>
      <c r="D1476" s="12">
        <v>2012</v>
      </c>
    </row>
    <row r="1477" spans="1:4" ht="19.899999999999999" customHeight="1">
      <c r="A1477" s="11" t="s">
        <v>18</v>
      </c>
      <c r="B1477" s="14" t="s">
        <v>41</v>
      </c>
      <c r="C1477" s="12"/>
      <c r="D1477" s="12">
        <v>2012</v>
      </c>
    </row>
    <row r="1478" spans="1:4" ht="19.899999999999999" customHeight="1">
      <c r="A1478" s="11" t="s">
        <v>19</v>
      </c>
      <c r="B1478" s="14" t="s">
        <v>41</v>
      </c>
      <c r="C1478" s="12">
        <v>17.437080383300799</v>
      </c>
      <c r="D1478" s="12">
        <v>2012</v>
      </c>
    </row>
    <row r="1479" spans="1:4" ht="19.899999999999999" customHeight="1">
      <c r="A1479" s="11" t="s">
        <v>20</v>
      </c>
      <c r="B1479" s="14" t="s">
        <v>41</v>
      </c>
      <c r="C1479" s="12"/>
      <c r="D1479" s="12">
        <v>2012</v>
      </c>
    </row>
    <row r="1480" spans="1:4" ht="19.899999999999999" customHeight="1">
      <c r="A1480" s="11" t="s">
        <v>21</v>
      </c>
      <c r="B1480" s="14" t="s">
        <v>41</v>
      </c>
      <c r="C1480" s="12">
        <v>19.192020416259801</v>
      </c>
      <c r="D1480" s="12">
        <v>2012</v>
      </c>
    </row>
    <row r="1481" spans="1:4" ht="19.899999999999999" customHeight="1">
      <c r="A1481" s="11" t="s">
        <v>22</v>
      </c>
      <c r="B1481" s="14" t="s">
        <v>41</v>
      </c>
      <c r="C1481" s="12">
        <v>15.8154697418213</v>
      </c>
      <c r="D1481" s="12">
        <v>2012</v>
      </c>
    </row>
    <row r="1482" spans="1:4" ht="19.899999999999999" customHeight="1">
      <c r="A1482" s="11" t="s">
        <v>23</v>
      </c>
      <c r="B1482" s="14" t="s">
        <v>41</v>
      </c>
      <c r="C1482" s="12">
        <v>13.7196702957153</v>
      </c>
      <c r="D1482" s="12">
        <v>2012</v>
      </c>
    </row>
    <row r="1483" spans="1:4" ht="19.899999999999999" customHeight="1">
      <c r="A1483" s="11" t="s">
        <v>24</v>
      </c>
      <c r="B1483" s="14" t="s">
        <v>41</v>
      </c>
      <c r="C1483" s="12">
        <v>8.3940296173095703</v>
      </c>
      <c r="D1483" s="12">
        <v>2012</v>
      </c>
    </row>
    <row r="1484" spans="1:4" ht="19.899999999999999" customHeight="1">
      <c r="A1484" s="11" t="s">
        <v>25</v>
      </c>
      <c r="B1484" s="14" t="s">
        <v>41</v>
      </c>
      <c r="C1484" s="12">
        <v>16.3502407073975</v>
      </c>
      <c r="D1484" s="12">
        <v>2012</v>
      </c>
    </row>
    <row r="1485" spans="1:4" ht="19.899999999999999" customHeight="1">
      <c r="A1485" s="11" t="s">
        <v>26</v>
      </c>
      <c r="B1485" s="14" t="s">
        <v>41</v>
      </c>
      <c r="C1485" s="12"/>
      <c r="D1485" s="12">
        <v>2012</v>
      </c>
    </row>
    <row r="1486" spans="1:4" ht="19.899999999999999" customHeight="1">
      <c r="A1486" s="11" t="s">
        <v>27</v>
      </c>
      <c r="B1486" s="14" t="s">
        <v>41</v>
      </c>
      <c r="C1486" s="12">
        <v>11.4518995285034</v>
      </c>
      <c r="D1486" s="12">
        <v>2012</v>
      </c>
    </row>
    <row r="1487" spans="1:4" ht="19.899999999999999" customHeight="1">
      <c r="A1487" s="11" t="s">
        <v>28</v>
      </c>
      <c r="B1487" s="14" t="s">
        <v>41</v>
      </c>
      <c r="C1487" s="12"/>
      <c r="D1487" s="12">
        <v>2012</v>
      </c>
    </row>
    <row r="1488" spans="1:4" ht="19.899999999999999" customHeight="1">
      <c r="A1488" s="11" t="s">
        <v>29</v>
      </c>
      <c r="B1488" s="14" t="s">
        <v>41</v>
      </c>
      <c r="C1488" s="12">
        <v>29.7510890960693</v>
      </c>
      <c r="D1488" s="12">
        <v>2012</v>
      </c>
    </row>
    <row r="1489" spans="1:4" ht="19.899999999999999" customHeight="1">
      <c r="A1489" s="11" t="s">
        <v>4</v>
      </c>
      <c r="B1489" s="14" t="s">
        <v>41</v>
      </c>
      <c r="C1489" s="12">
        <v>17.243259429931602</v>
      </c>
      <c r="D1489" s="12">
        <v>2013</v>
      </c>
    </row>
    <row r="1490" spans="1:4" ht="19.899999999999999" customHeight="1">
      <c r="A1490" s="11" t="s">
        <v>5</v>
      </c>
      <c r="B1490" s="14" t="s">
        <v>41</v>
      </c>
      <c r="C1490" s="12">
        <v>13.8249502182007</v>
      </c>
      <c r="D1490" s="12">
        <v>2013</v>
      </c>
    </row>
    <row r="1491" spans="1:4" ht="19.899999999999999" customHeight="1">
      <c r="A1491" s="11" t="s">
        <v>6</v>
      </c>
      <c r="B1491" s="14" t="s">
        <v>41</v>
      </c>
      <c r="C1491" s="12">
        <v>12.4614601135254</v>
      </c>
      <c r="D1491" s="12">
        <v>2013</v>
      </c>
    </row>
    <row r="1492" spans="1:4" ht="19.899999999999999" customHeight="1">
      <c r="A1492" s="11" t="s">
        <v>7</v>
      </c>
      <c r="B1492" s="14" t="s">
        <v>41</v>
      </c>
      <c r="C1492" s="12">
        <v>16.0707302093506</v>
      </c>
      <c r="D1492" s="12">
        <v>2013</v>
      </c>
    </row>
    <row r="1493" spans="1:4" ht="19.899999999999999" customHeight="1">
      <c r="A1493" s="11" t="s">
        <v>8</v>
      </c>
      <c r="B1493" s="14" t="s">
        <v>41</v>
      </c>
      <c r="C1493" s="12"/>
      <c r="D1493" s="12">
        <v>2013</v>
      </c>
    </row>
    <row r="1494" spans="1:4" ht="19.899999999999999" customHeight="1">
      <c r="A1494" s="11" t="s">
        <v>1</v>
      </c>
      <c r="B1494" s="14" t="s">
        <v>41</v>
      </c>
      <c r="C1494" s="12">
        <v>27.0210990905762</v>
      </c>
      <c r="D1494" s="12">
        <v>2013</v>
      </c>
    </row>
    <row r="1495" spans="1:4" ht="19.899999999999999" customHeight="1">
      <c r="A1495" s="11" t="s">
        <v>9</v>
      </c>
      <c r="B1495" s="14" t="s">
        <v>41</v>
      </c>
      <c r="C1495" s="12">
        <v>14.132809638977101</v>
      </c>
      <c r="D1495" s="12">
        <v>2013</v>
      </c>
    </row>
    <row r="1496" spans="1:4" ht="19.899999999999999" customHeight="1">
      <c r="A1496" s="11" t="s">
        <v>10</v>
      </c>
      <c r="B1496" s="14" t="s">
        <v>41</v>
      </c>
      <c r="C1496" s="12"/>
      <c r="D1496" s="12">
        <v>2013</v>
      </c>
    </row>
    <row r="1497" spans="1:4" ht="19.899999999999999" customHeight="1">
      <c r="A1497" s="11" t="s">
        <v>11</v>
      </c>
      <c r="B1497" s="14" t="s">
        <v>41</v>
      </c>
      <c r="C1497" s="12">
        <v>19.1356906890869</v>
      </c>
      <c r="D1497" s="12">
        <v>2013</v>
      </c>
    </row>
    <row r="1498" spans="1:4" ht="19.899999999999999" customHeight="1">
      <c r="A1498" s="11" t="s">
        <v>38</v>
      </c>
      <c r="B1498" s="14" t="s">
        <v>41</v>
      </c>
      <c r="C1498" s="12"/>
      <c r="D1498" s="12">
        <v>2013</v>
      </c>
    </row>
    <row r="1499" spans="1:4" ht="19.899999999999999" customHeight="1">
      <c r="A1499" s="11" t="s">
        <v>12</v>
      </c>
      <c r="B1499" s="14" t="s">
        <v>41</v>
      </c>
      <c r="C1499" s="12"/>
      <c r="D1499" s="12">
        <v>2013</v>
      </c>
    </row>
    <row r="1500" spans="1:4" ht="19.899999999999999" customHeight="1">
      <c r="A1500" s="11" t="s">
        <v>13</v>
      </c>
      <c r="B1500" s="14" t="s">
        <v>41</v>
      </c>
      <c r="C1500" s="12">
        <v>13.9893798828125</v>
      </c>
      <c r="D1500" s="12">
        <v>2013</v>
      </c>
    </row>
    <row r="1501" spans="1:4" ht="19.899999999999999" customHeight="1">
      <c r="A1501" s="11" t="s">
        <v>14</v>
      </c>
      <c r="B1501" s="14" t="s">
        <v>41</v>
      </c>
      <c r="C1501" s="12">
        <v>20.424200057983299</v>
      </c>
      <c r="D1501" s="12">
        <v>2013</v>
      </c>
    </row>
    <row r="1502" spans="1:4" ht="19.899999999999999" customHeight="1">
      <c r="A1502" s="11" t="s">
        <v>15</v>
      </c>
      <c r="B1502" s="14" t="s">
        <v>41</v>
      </c>
      <c r="C1502" s="12">
        <v>16.623449325561499</v>
      </c>
      <c r="D1502" s="12">
        <v>2013</v>
      </c>
    </row>
    <row r="1503" spans="1:4" ht="19.899999999999999" customHeight="1">
      <c r="A1503" s="11" t="s">
        <v>16</v>
      </c>
      <c r="B1503" s="14" t="s">
        <v>41</v>
      </c>
      <c r="C1503" s="12"/>
      <c r="D1503" s="12">
        <v>2013</v>
      </c>
    </row>
    <row r="1504" spans="1:4" ht="19.899999999999999" customHeight="1">
      <c r="A1504" s="11" t="s">
        <v>17</v>
      </c>
      <c r="B1504" s="14" t="s">
        <v>41</v>
      </c>
      <c r="C1504" s="12">
        <v>18.978090286254901</v>
      </c>
      <c r="D1504" s="12">
        <v>2013</v>
      </c>
    </row>
    <row r="1505" spans="1:4" ht="19.899999999999999" customHeight="1">
      <c r="A1505" s="11" t="s">
        <v>18</v>
      </c>
      <c r="B1505" s="14" t="s">
        <v>41</v>
      </c>
      <c r="C1505" s="12"/>
      <c r="D1505" s="12">
        <v>2013</v>
      </c>
    </row>
    <row r="1506" spans="1:4" ht="19.899999999999999" customHeight="1">
      <c r="A1506" s="11" t="s">
        <v>19</v>
      </c>
      <c r="B1506" s="14" t="s">
        <v>41</v>
      </c>
      <c r="C1506" s="12">
        <v>17.569639205932599</v>
      </c>
      <c r="D1506" s="12">
        <v>2013</v>
      </c>
    </row>
    <row r="1507" spans="1:4" ht="19.899999999999999" customHeight="1">
      <c r="A1507" s="11" t="s">
        <v>20</v>
      </c>
      <c r="B1507" s="14" t="s">
        <v>41</v>
      </c>
      <c r="C1507" s="12"/>
      <c r="D1507" s="12">
        <v>2013</v>
      </c>
    </row>
    <row r="1508" spans="1:4" ht="19.899999999999999" customHeight="1">
      <c r="A1508" s="11" t="s">
        <v>21</v>
      </c>
      <c r="B1508" s="14" t="s">
        <v>41</v>
      </c>
      <c r="C1508" s="12">
        <v>18.084529876708999</v>
      </c>
      <c r="D1508" s="12">
        <v>2013</v>
      </c>
    </row>
    <row r="1509" spans="1:4" ht="19.899999999999999" customHeight="1">
      <c r="A1509" s="11" t="s">
        <v>22</v>
      </c>
      <c r="B1509" s="14" t="s">
        <v>41</v>
      </c>
      <c r="C1509" s="12">
        <v>16.8596305847168</v>
      </c>
      <c r="D1509" s="12">
        <v>2013</v>
      </c>
    </row>
    <row r="1510" spans="1:4" ht="19.899999999999999" customHeight="1">
      <c r="A1510" s="11" t="s">
        <v>23</v>
      </c>
      <c r="B1510" s="14" t="s">
        <v>41</v>
      </c>
      <c r="C1510" s="12">
        <v>18.8266296386719</v>
      </c>
      <c r="D1510" s="12">
        <v>2013</v>
      </c>
    </row>
    <row r="1511" spans="1:4" ht="19.899999999999999" customHeight="1">
      <c r="A1511" s="11" t="s">
        <v>24</v>
      </c>
      <c r="B1511" s="14" t="s">
        <v>41</v>
      </c>
      <c r="C1511" s="12">
        <v>9.4199495315551793</v>
      </c>
      <c r="D1511" s="12">
        <v>2013</v>
      </c>
    </row>
    <row r="1512" spans="1:4" ht="19.899999999999999" customHeight="1">
      <c r="A1512" s="11" t="s">
        <v>25</v>
      </c>
      <c r="B1512" s="14" t="s">
        <v>41</v>
      </c>
      <c r="C1512" s="12"/>
      <c r="D1512" s="12">
        <v>2013</v>
      </c>
    </row>
    <row r="1513" spans="1:4" ht="19.899999999999999" customHeight="1">
      <c r="A1513" s="11" t="s">
        <v>26</v>
      </c>
      <c r="B1513" s="14" t="s">
        <v>41</v>
      </c>
      <c r="C1513" s="12"/>
      <c r="D1513" s="12">
        <v>2013</v>
      </c>
    </row>
    <row r="1514" spans="1:4" ht="19.899999999999999" customHeight="1">
      <c r="A1514" s="11" t="s">
        <v>27</v>
      </c>
      <c r="B1514" s="14" t="s">
        <v>41</v>
      </c>
      <c r="C1514" s="12">
        <v>11.743120193481399</v>
      </c>
      <c r="D1514" s="12">
        <v>2013</v>
      </c>
    </row>
    <row r="1515" spans="1:4" ht="19.899999999999999" customHeight="1">
      <c r="A1515" s="11" t="s">
        <v>28</v>
      </c>
      <c r="B1515" s="14" t="s">
        <v>41</v>
      </c>
      <c r="C1515" s="12"/>
      <c r="D1515" s="12">
        <v>2013</v>
      </c>
    </row>
    <row r="1516" spans="1:4" ht="19.899999999999999" customHeight="1">
      <c r="A1516" s="11" t="s">
        <v>29</v>
      </c>
      <c r="B1516" s="14" t="s">
        <v>41</v>
      </c>
      <c r="C1516" s="12">
        <v>28.6603393554688</v>
      </c>
      <c r="D1516" s="12">
        <v>2013</v>
      </c>
    </row>
    <row r="1517" spans="1:4" ht="19.899999999999999" customHeight="1">
      <c r="A1517" s="11" t="s">
        <v>4</v>
      </c>
      <c r="B1517" s="14" t="s">
        <v>41</v>
      </c>
      <c r="C1517" s="12"/>
      <c r="D1517" s="12">
        <v>2014</v>
      </c>
    </row>
    <row r="1518" spans="1:4" ht="19.899999999999999" customHeight="1">
      <c r="A1518" s="11" t="s">
        <v>5</v>
      </c>
      <c r="B1518" s="14" t="s">
        <v>41</v>
      </c>
      <c r="C1518" s="12"/>
      <c r="D1518" s="12">
        <v>2014</v>
      </c>
    </row>
    <row r="1519" spans="1:4" ht="19.899999999999999" customHeight="1">
      <c r="A1519" s="11" t="s">
        <v>6</v>
      </c>
      <c r="B1519" s="14" t="s">
        <v>41</v>
      </c>
      <c r="C1519" s="12"/>
      <c r="D1519" s="12">
        <v>2014</v>
      </c>
    </row>
    <row r="1520" spans="1:4" ht="19.899999999999999" customHeight="1">
      <c r="A1520" s="11" t="s">
        <v>7</v>
      </c>
      <c r="B1520" s="14" t="s">
        <v>41</v>
      </c>
      <c r="C1520" s="12">
        <v>18.910009384155298</v>
      </c>
      <c r="D1520" s="12">
        <v>2014</v>
      </c>
    </row>
    <row r="1521" spans="1:4" ht="19.899999999999999" customHeight="1">
      <c r="A1521" s="11" t="s">
        <v>8</v>
      </c>
      <c r="B1521" s="14" t="s">
        <v>41</v>
      </c>
      <c r="C1521" s="12"/>
      <c r="D1521" s="12">
        <v>2014</v>
      </c>
    </row>
    <row r="1522" spans="1:4" ht="19.899999999999999" customHeight="1">
      <c r="A1522" s="11" t="s">
        <v>1</v>
      </c>
      <c r="B1522" s="14" t="s">
        <v>41</v>
      </c>
      <c r="C1522" s="12"/>
      <c r="D1522" s="12">
        <v>2014</v>
      </c>
    </row>
    <row r="1523" spans="1:4" ht="19.899999999999999" customHeight="1">
      <c r="A1523" s="11" t="s">
        <v>9</v>
      </c>
      <c r="B1523" s="14" t="s">
        <v>41</v>
      </c>
      <c r="C1523" s="12">
        <v>11.989509582519499</v>
      </c>
      <c r="D1523" s="12">
        <v>2014</v>
      </c>
    </row>
    <row r="1524" spans="1:4" ht="19.899999999999999" customHeight="1">
      <c r="A1524" s="11" t="s">
        <v>10</v>
      </c>
      <c r="B1524" s="14" t="s">
        <v>41</v>
      </c>
      <c r="C1524" s="12"/>
      <c r="D1524" s="12">
        <v>2014</v>
      </c>
    </row>
    <row r="1525" spans="1:4" ht="19.899999999999999" customHeight="1">
      <c r="A1525" s="11" t="s">
        <v>11</v>
      </c>
      <c r="B1525" s="14" t="s">
        <v>41</v>
      </c>
      <c r="C1525" s="12">
        <v>17.081029891967798</v>
      </c>
      <c r="D1525" s="12">
        <v>2014</v>
      </c>
    </row>
    <row r="1526" spans="1:4" ht="19.899999999999999" customHeight="1">
      <c r="A1526" s="11" t="s">
        <v>38</v>
      </c>
      <c r="B1526" s="14" t="s">
        <v>41</v>
      </c>
      <c r="C1526" s="12"/>
      <c r="D1526" s="12">
        <v>2014</v>
      </c>
    </row>
    <row r="1527" spans="1:4" ht="19.899999999999999" customHeight="1">
      <c r="A1527" s="11" t="s">
        <v>12</v>
      </c>
      <c r="B1527" s="14" t="s">
        <v>41</v>
      </c>
      <c r="C1527" s="12"/>
      <c r="D1527" s="12">
        <v>2014</v>
      </c>
    </row>
    <row r="1528" spans="1:4" ht="19.899999999999999" customHeight="1">
      <c r="A1528" s="11" t="s">
        <v>13</v>
      </c>
      <c r="B1528" s="14" t="s">
        <v>41</v>
      </c>
      <c r="C1528" s="12"/>
      <c r="D1528" s="12">
        <v>2014</v>
      </c>
    </row>
    <row r="1529" spans="1:4" ht="19.899999999999999" customHeight="1">
      <c r="A1529" s="11" t="s">
        <v>14</v>
      </c>
      <c r="B1529" s="14" t="s">
        <v>41</v>
      </c>
      <c r="C1529" s="12">
        <v>16.334030151367202</v>
      </c>
      <c r="D1529" s="12">
        <v>2014</v>
      </c>
    </row>
    <row r="1530" spans="1:4" ht="19.899999999999999" customHeight="1">
      <c r="A1530" s="11" t="s">
        <v>15</v>
      </c>
      <c r="B1530" s="14" t="s">
        <v>41</v>
      </c>
      <c r="C1530" s="12">
        <v>18.224260330200199</v>
      </c>
      <c r="D1530" s="12">
        <v>2014</v>
      </c>
    </row>
    <row r="1531" spans="1:4" ht="19.899999999999999" customHeight="1">
      <c r="A1531" s="11" t="s">
        <v>16</v>
      </c>
      <c r="B1531" s="14" t="s">
        <v>41</v>
      </c>
      <c r="C1531" s="12">
        <v>18.765100479126001</v>
      </c>
      <c r="D1531" s="12">
        <v>2014</v>
      </c>
    </row>
    <row r="1532" spans="1:4" ht="19.899999999999999" customHeight="1">
      <c r="A1532" s="11" t="s">
        <v>17</v>
      </c>
      <c r="B1532" s="14" t="s">
        <v>41</v>
      </c>
      <c r="C1532" s="12"/>
      <c r="D1532" s="12">
        <v>2014</v>
      </c>
    </row>
    <row r="1533" spans="1:4" ht="19.899999999999999" customHeight="1">
      <c r="A1533" s="11" t="s">
        <v>18</v>
      </c>
      <c r="B1533" s="14" t="s">
        <v>41</v>
      </c>
      <c r="C1533" s="12"/>
      <c r="D1533" s="12">
        <v>2014</v>
      </c>
    </row>
    <row r="1534" spans="1:4" ht="19.899999999999999" customHeight="1">
      <c r="A1534" s="11" t="s">
        <v>19</v>
      </c>
      <c r="B1534" s="14" t="s">
        <v>41</v>
      </c>
      <c r="C1534" s="12">
        <v>18.2812900543213</v>
      </c>
      <c r="D1534" s="12">
        <v>2014</v>
      </c>
    </row>
    <row r="1535" spans="1:4" ht="19.899999999999999" customHeight="1">
      <c r="A1535" s="11" t="s">
        <v>20</v>
      </c>
      <c r="B1535" s="14" t="s">
        <v>41</v>
      </c>
      <c r="C1535" s="12"/>
      <c r="D1535" s="12">
        <v>2014</v>
      </c>
    </row>
    <row r="1536" spans="1:4" ht="19.899999999999999" customHeight="1">
      <c r="A1536" s="11" t="s">
        <v>21</v>
      </c>
      <c r="B1536" s="14" t="s">
        <v>41</v>
      </c>
      <c r="C1536" s="12">
        <v>21.661500930786101</v>
      </c>
      <c r="D1536" s="12">
        <v>2014</v>
      </c>
    </row>
    <row r="1537" spans="1:4" ht="19.899999999999999" customHeight="1">
      <c r="A1537" s="11" t="s">
        <v>22</v>
      </c>
      <c r="B1537" s="14" t="s">
        <v>41</v>
      </c>
      <c r="C1537" s="12"/>
      <c r="D1537" s="12">
        <v>2014</v>
      </c>
    </row>
    <row r="1538" spans="1:4" ht="19.899999999999999" customHeight="1">
      <c r="A1538" s="11" t="s">
        <v>23</v>
      </c>
      <c r="B1538" s="14" t="s">
        <v>41</v>
      </c>
      <c r="C1538" s="12">
        <v>12.322600364685099</v>
      </c>
      <c r="D1538" s="12">
        <v>2014</v>
      </c>
    </row>
    <row r="1539" spans="1:4" ht="19.899999999999999" customHeight="1">
      <c r="A1539" s="11" t="s">
        <v>24</v>
      </c>
      <c r="B1539" s="14" t="s">
        <v>41</v>
      </c>
      <c r="C1539" s="12">
        <v>10.8239603042603</v>
      </c>
      <c r="D1539" s="12">
        <v>2014</v>
      </c>
    </row>
    <row r="1540" spans="1:4" ht="19.899999999999999" customHeight="1">
      <c r="A1540" s="11" t="s">
        <v>25</v>
      </c>
      <c r="B1540" s="14" t="s">
        <v>41</v>
      </c>
      <c r="C1540" s="12"/>
      <c r="D1540" s="12">
        <v>2014</v>
      </c>
    </row>
    <row r="1541" spans="1:4" ht="19.899999999999999" customHeight="1">
      <c r="A1541" s="11" t="s">
        <v>26</v>
      </c>
      <c r="B1541" s="14" t="s">
        <v>41</v>
      </c>
      <c r="C1541" s="12">
        <v>17.2971000671387</v>
      </c>
      <c r="D1541" s="12">
        <v>2014</v>
      </c>
    </row>
    <row r="1542" spans="1:4" ht="19.899999999999999" customHeight="1">
      <c r="A1542" s="11" t="s">
        <v>27</v>
      </c>
      <c r="B1542" s="14" t="s">
        <v>41</v>
      </c>
      <c r="C1542" s="12">
        <v>10.8759603500366</v>
      </c>
      <c r="D1542" s="12">
        <v>2014</v>
      </c>
    </row>
    <row r="1543" spans="1:4" ht="19.899999999999999" customHeight="1">
      <c r="A1543" s="11" t="s">
        <v>28</v>
      </c>
      <c r="B1543" s="14" t="s">
        <v>41</v>
      </c>
      <c r="C1543" s="12"/>
      <c r="D1543" s="12">
        <v>2014</v>
      </c>
    </row>
    <row r="1544" spans="1:4" ht="19.899999999999999" customHeight="1">
      <c r="A1544" s="11" t="s">
        <v>29</v>
      </c>
      <c r="B1544" s="14" t="s">
        <v>41</v>
      </c>
      <c r="C1544" s="12">
        <v>30.0076198577881</v>
      </c>
      <c r="D1544" s="12">
        <v>2014</v>
      </c>
    </row>
    <row r="1545" spans="1:4" ht="19.899999999999999" customHeight="1">
      <c r="A1545" s="11" t="s">
        <v>4</v>
      </c>
      <c r="B1545" s="14" t="s">
        <v>41</v>
      </c>
      <c r="C1545" s="12"/>
      <c r="D1545" s="12">
        <v>2015</v>
      </c>
    </row>
    <row r="1546" spans="1:4" ht="19.899999999999999" customHeight="1">
      <c r="A1546" s="11" t="s">
        <v>5</v>
      </c>
      <c r="B1546" s="14" t="s">
        <v>41</v>
      </c>
      <c r="C1546" s="12"/>
      <c r="D1546" s="12">
        <v>2015</v>
      </c>
    </row>
    <row r="1547" spans="1:4" ht="19.899999999999999" customHeight="1">
      <c r="A1547" s="11" t="s">
        <v>6</v>
      </c>
      <c r="B1547" s="14" t="s">
        <v>41</v>
      </c>
      <c r="C1547" s="12"/>
      <c r="D1547" s="12">
        <v>2015</v>
      </c>
    </row>
    <row r="1548" spans="1:4" ht="19.899999999999999" customHeight="1">
      <c r="A1548" s="11" t="s">
        <v>7</v>
      </c>
      <c r="B1548" s="14" t="s">
        <v>41</v>
      </c>
      <c r="C1548" s="12">
        <v>15.3416900634766</v>
      </c>
      <c r="D1548" s="12">
        <v>2015</v>
      </c>
    </row>
    <row r="1549" spans="1:4" ht="19.899999999999999" customHeight="1">
      <c r="A1549" s="11" t="s">
        <v>8</v>
      </c>
      <c r="B1549" s="14" t="s">
        <v>41</v>
      </c>
      <c r="C1549" s="12"/>
      <c r="D1549" s="12">
        <v>2015</v>
      </c>
    </row>
    <row r="1550" spans="1:4" ht="19.899999999999999" customHeight="1">
      <c r="A1550" s="11" t="s">
        <v>1</v>
      </c>
      <c r="B1550" s="14" t="s">
        <v>41</v>
      </c>
      <c r="C1550" s="12"/>
      <c r="D1550" s="12">
        <v>2015</v>
      </c>
    </row>
    <row r="1551" spans="1:4" ht="19.899999999999999" customHeight="1">
      <c r="A1551" s="11" t="s">
        <v>9</v>
      </c>
      <c r="B1551" s="14" t="s">
        <v>41</v>
      </c>
      <c r="C1551" s="12"/>
      <c r="D1551" s="12">
        <v>2015</v>
      </c>
    </row>
    <row r="1552" spans="1:4" ht="19.899999999999999" customHeight="1">
      <c r="A1552" s="11" t="s">
        <v>10</v>
      </c>
      <c r="B1552" s="14" t="s">
        <v>41</v>
      </c>
      <c r="C1552" s="12"/>
      <c r="D1552" s="12">
        <v>2015</v>
      </c>
    </row>
    <row r="1553" spans="1:4" ht="19.899999999999999" customHeight="1">
      <c r="A1553" s="11" t="s">
        <v>11</v>
      </c>
      <c r="B1553" s="14" t="s">
        <v>41</v>
      </c>
      <c r="C1553" s="12">
        <v>16.664659500122099</v>
      </c>
      <c r="D1553" s="12">
        <v>2015</v>
      </c>
    </row>
    <row r="1554" spans="1:4" ht="19.899999999999999" customHeight="1">
      <c r="A1554" s="11" t="s">
        <v>38</v>
      </c>
      <c r="B1554" s="14" t="s">
        <v>41</v>
      </c>
      <c r="C1554" s="12"/>
      <c r="D1554" s="12">
        <v>2015</v>
      </c>
    </row>
    <row r="1555" spans="1:4" ht="19.899999999999999" customHeight="1">
      <c r="A1555" s="11" t="s">
        <v>12</v>
      </c>
      <c r="B1555" s="14" t="s">
        <v>41</v>
      </c>
      <c r="C1555" s="12"/>
      <c r="D1555" s="12">
        <v>2015</v>
      </c>
    </row>
    <row r="1556" spans="1:4" ht="19.899999999999999" customHeight="1">
      <c r="A1556" s="11" t="s">
        <v>13</v>
      </c>
      <c r="B1556" s="14" t="s">
        <v>41</v>
      </c>
      <c r="C1556" s="12"/>
      <c r="D1556" s="12">
        <v>2015</v>
      </c>
    </row>
    <row r="1557" spans="1:4" ht="19.899999999999999" customHeight="1">
      <c r="A1557" s="11" t="s">
        <v>14</v>
      </c>
      <c r="B1557" s="14" t="s">
        <v>41</v>
      </c>
      <c r="C1557" s="12">
        <v>21.551580429077099</v>
      </c>
      <c r="D1557" s="12">
        <v>2015</v>
      </c>
    </row>
    <row r="1558" spans="1:4" ht="19.899999999999999" customHeight="1">
      <c r="A1558" s="11" t="s">
        <v>15</v>
      </c>
      <c r="B1558" s="14" t="s">
        <v>41</v>
      </c>
      <c r="C1558" s="12">
        <v>18.155490875244102</v>
      </c>
      <c r="D1558" s="12">
        <v>2015</v>
      </c>
    </row>
    <row r="1559" spans="1:4" ht="19.899999999999999" customHeight="1">
      <c r="A1559" s="11" t="s">
        <v>16</v>
      </c>
      <c r="B1559" s="14" t="s">
        <v>41</v>
      </c>
      <c r="C1559" s="12"/>
      <c r="D1559" s="12">
        <v>2015</v>
      </c>
    </row>
    <row r="1560" spans="1:4" ht="19.899999999999999" customHeight="1">
      <c r="A1560" s="11" t="s">
        <v>17</v>
      </c>
      <c r="B1560" s="14" t="s">
        <v>41</v>
      </c>
      <c r="C1560" s="12"/>
      <c r="D1560" s="12">
        <v>2015</v>
      </c>
    </row>
    <row r="1561" spans="1:4" ht="19.899999999999999" customHeight="1">
      <c r="A1561" s="11" t="s">
        <v>18</v>
      </c>
      <c r="B1561" s="14" t="s">
        <v>41</v>
      </c>
      <c r="C1561" s="12"/>
      <c r="D1561" s="12">
        <v>2015</v>
      </c>
    </row>
    <row r="1562" spans="1:4" ht="19.899999999999999" customHeight="1">
      <c r="A1562" s="11" t="s">
        <v>19</v>
      </c>
      <c r="B1562" s="14" t="s">
        <v>41</v>
      </c>
      <c r="C1562" s="12">
        <v>16.989660263061499</v>
      </c>
      <c r="D1562" s="12">
        <v>2015</v>
      </c>
    </row>
    <row r="1563" spans="1:4" ht="19.899999999999999" customHeight="1">
      <c r="A1563" s="11" t="s">
        <v>20</v>
      </c>
      <c r="B1563" s="14" t="s">
        <v>41</v>
      </c>
      <c r="C1563" s="12"/>
      <c r="D1563" s="12">
        <v>2015</v>
      </c>
    </row>
    <row r="1564" spans="1:4" ht="19.899999999999999" customHeight="1">
      <c r="A1564" s="11" t="s">
        <v>21</v>
      </c>
      <c r="B1564" s="14" t="s">
        <v>41</v>
      </c>
      <c r="C1564" s="12">
        <v>18.510860443115199</v>
      </c>
      <c r="D1564" s="12">
        <v>2015</v>
      </c>
    </row>
    <row r="1565" spans="1:4" ht="19.899999999999999" customHeight="1">
      <c r="A1565" s="11" t="s">
        <v>22</v>
      </c>
      <c r="B1565" s="14" t="s">
        <v>41</v>
      </c>
      <c r="C1565" s="12"/>
      <c r="D1565" s="12">
        <v>2015</v>
      </c>
    </row>
    <row r="1566" spans="1:4" ht="19.899999999999999" customHeight="1">
      <c r="A1566" s="11" t="s">
        <v>23</v>
      </c>
      <c r="B1566" s="14" t="s">
        <v>41</v>
      </c>
      <c r="C1566" s="12"/>
      <c r="D1566" s="12">
        <v>2015</v>
      </c>
    </row>
    <row r="1567" spans="1:4" ht="19.899999999999999" customHeight="1">
      <c r="A1567" s="11" t="s">
        <v>24</v>
      </c>
      <c r="B1567" s="14" t="s">
        <v>41</v>
      </c>
      <c r="C1567" s="12">
        <v>10.9502601623535</v>
      </c>
      <c r="D1567" s="12">
        <v>2015</v>
      </c>
    </row>
    <row r="1568" spans="1:4" ht="19.899999999999999" customHeight="1">
      <c r="A1568" s="11" t="s">
        <v>25</v>
      </c>
      <c r="B1568" s="14" t="s">
        <v>41</v>
      </c>
      <c r="C1568" s="12">
        <v>16.4433898925781</v>
      </c>
      <c r="D1568" s="12">
        <v>2015</v>
      </c>
    </row>
    <row r="1569" spans="1:4" ht="19.899999999999999" customHeight="1">
      <c r="A1569" s="11" t="s">
        <v>26</v>
      </c>
      <c r="B1569" s="14" t="s">
        <v>41</v>
      </c>
      <c r="C1569" s="12"/>
      <c r="D1569" s="12">
        <v>2015</v>
      </c>
    </row>
    <row r="1570" spans="1:4" ht="19.899999999999999" customHeight="1">
      <c r="A1570" s="11" t="s">
        <v>27</v>
      </c>
      <c r="B1570" s="14" t="s">
        <v>41</v>
      </c>
      <c r="C1570" s="12"/>
      <c r="D1570" s="12">
        <v>2015</v>
      </c>
    </row>
    <row r="1571" spans="1:4" ht="19.899999999999999" customHeight="1">
      <c r="A1571" s="11" t="s">
        <v>28</v>
      </c>
      <c r="B1571" s="14" t="s">
        <v>41</v>
      </c>
      <c r="C1571" s="12"/>
      <c r="D1571" s="12">
        <v>2015</v>
      </c>
    </row>
    <row r="1572" spans="1:4" ht="19.899999999999999" customHeight="1">
      <c r="A1572" s="11" t="s">
        <v>29</v>
      </c>
      <c r="B1572" s="14" t="s">
        <v>41</v>
      </c>
      <c r="C1572" s="12"/>
      <c r="D1572" s="12">
        <v>2015</v>
      </c>
    </row>
    <row r="1573" spans="1:4" ht="19.899999999999999" customHeight="1">
      <c r="A1573" s="11" t="s">
        <v>4</v>
      </c>
      <c r="B1573" s="14" t="s">
        <v>41</v>
      </c>
      <c r="C1573" s="12"/>
      <c r="D1573" s="12">
        <v>2016</v>
      </c>
    </row>
    <row r="1574" spans="1:4" ht="19.899999999999999" customHeight="1">
      <c r="A1574" s="11" t="s">
        <v>5</v>
      </c>
      <c r="B1574" s="14" t="s">
        <v>41</v>
      </c>
      <c r="C1574" s="12"/>
      <c r="D1574" s="12">
        <v>2016</v>
      </c>
    </row>
    <row r="1575" spans="1:4" ht="19.899999999999999" customHeight="1">
      <c r="A1575" s="11" t="s">
        <v>6</v>
      </c>
      <c r="B1575" s="14" t="s">
        <v>41</v>
      </c>
      <c r="C1575" s="12"/>
      <c r="D1575" s="12">
        <v>2016</v>
      </c>
    </row>
    <row r="1576" spans="1:4" ht="19.899999999999999" customHeight="1">
      <c r="A1576" s="11" t="s">
        <v>7</v>
      </c>
      <c r="B1576" s="14" t="s">
        <v>41</v>
      </c>
      <c r="C1576" s="12"/>
      <c r="D1576" s="12">
        <v>2016</v>
      </c>
    </row>
    <row r="1577" spans="1:4" ht="19.899999999999999" customHeight="1">
      <c r="A1577" s="11" t="s">
        <v>8</v>
      </c>
      <c r="B1577" s="14" t="s">
        <v>41</v>
      </c>
      <c r="C1577" s="12"/>
      <c r="D1577" s="12">
        <v>2016</v>
      </c>
    </row>
    <row r="1578" spans="1:4" ht="19.899999999999999" customHeight="1">
      <c r="A1578" s="11" t="s">
        <v>1</v>
      </c>
      <c r="B1578" s="14" t="s">
        <v>41</v>
      </c>
      <c r="C1578" s="12"/>
      <c r="D1578" s="12">
        <v>2016</v>
      </c>
    </row>
    <row r="1579" spans="1:4" ht="19.899999999999999" customHeight="1">
      <c r="A1579" s="11" t="s">
        <v>9</v>
      </c>
      <c r="B1579" s="14" t="s">
        <v>41</v>
      </c>
      <c r="C1579" s="12"/>
      <c r="D1579" s="12">
        <v>2016</v>
      </c>
    </row>
    <row r="1580" spans="1:4" ht="19.899999999999999" customHeight="1">
      <c r="A1580" s="11" t="s">
        <v>10</v>
      </c>
      <c r="B1580" s="14" t="s">
        <v>41</v>
      </c>
      <c r="C1580" s="12"/>
      <c r="D1580" s="12">
        <v>2016</v>
      </c>
    </row>
    <row r="1581" spans="1:4" ht="19.899999999999999" customHeight="1">
      <c r="A1581" s="11" t="s">
        <v>11</v>
      </c>
      <c r="B1581" s="14" t="s">
        <v>41</v>
      </c>
      <c r="C1581" s="12"/>
      <c r="D1581" s="12">
        <v>2016</v>
      </c>
    </row>
    <row r="1582" spans="1:4" ht="19.899999999999999" customHeight="1">
      <c r="A1582" s="11" t="s">
        <v>38</v>
      </c>
      <c r="B1582" s="14" t="s">
        <v>41</v>
      </c>
      <c r="C1582" s="12"/>
      <c r="D1582" s="12">
        <v>2016</v>
      </c>
    </row>
    <row r="1583" spans="1:4" ht="19.899999999999999" customHeight="1">
      <c r="A1583" s="11" t="s">
        <v>12</v>
      </c>
      <c r="B1583" s="14" t="s">
        <v>41</v>
      </c>
      <c r="C1583" s="12"/>
      <c r="D1583" s="12">
        <v>2016</v>
      </c>
    </row>
    <row r="1584" spans="1:4" ht="19.899999999999999" customHeight="1">
      <c r="A1584" s="11" t="s">
        <v>13</v>
      </c>
      <c r="B1584" s="14" t="s">
        <v>41</v>
      </c>
      <c r="C1584" s="12"/>
      <c r="D1584" s="12">
        <v>2016</v>
      </c>
    </row>
    <row r="1585" spans="1:4" ht="19.899999999999999" customHeight="1">
      <c r="A1585" s="11" t="s">
        <v>14</v>
      </c>
      <c r="B1585" s="14" t="s">
        <v>41</v>
      </c>
      <c r="C1585" s="12">
        <v>17.161849975585898</v>
      </c>
      <c r="D1585" s="12">
        <v>2016</v>
      </c>
    </row>
    <row r="1586" spans="1:4" ht="19.899999999999999" customHeight="1">
      <c r="A1586" s="11" t="s">
        <v>15</v>
      </c>
      <c r="B1586" s="14" t="s">
        <v>41</v>
      </c>
      <c r="C1586" s="12"/>
      <c r="D1586" s="12">
        <v>2016</v>
      </c>
    </row>
    <row r="1587" spans="1:4" ht="19.899999999999999" customHeight="1">
      <c r="A1587" s="11" t="s">
        <v>16</v>
      </c>
      <c r="B1587" s="14" t="s">
        <v>41</v>
      </c>
      <c r="C1587" s="12">
        <v>18.491819381713899</v>
      </c>
      <c r="D1587" s="12">
        <v>2016</v>
      </c>
    </row>
    <row r="1588" spans="1:4" ht="19.899999999999999" customHeight="1">
      <c r="A1588" s="11" t="s">
        <v>17</v>
      </c>
      <c r="B1588" s="14" t="s">
        <v>41</v>
      </c>
      <c r="C1588" s="12"/>
      <c r="D1588" s="12">
        <v>2016</v>
      </c>
    </row>
    <row r="1589" spans="1:4" ht="19.899999999999999" customHeight="1">
      <c r="A1589" s="11" t="s">
        <v>18</v>
      </c>
      <c r="B1589" s="14" t="s">
        <v>41</v>
      </c>
      <c r="C1589" s="12"/>
      <c r="D1589" s="12">
        <v>2016</v>
      </c>
    </row>
    <row r="1590" spans="1:4" ht="19.899999999999999" customHeight="1">
      <c r="A1590" s="11" t="s">
        <v>19</v>
      </c>
      <c r="B1590" s="14" t="s">
        <v>41</v>
      </c>
      <c r="C1590" s="12"/>
      <c r="D1590" s="12">
        <v>2016</v>
      </c>
    </row>
    <row r="1591" spans="1:4" ht="19.899999999999999" customHeight="1">
      <c r="A1591" s="11" t="s">
        <v>20</v>
      </c>
      <c r="B1591" s="14" t="s">
        <v>41</v>
      </c>
      <c r="C1591" s="12"/>
      <c r="D1591" s="12">
        <v>2016</v>
      </c>
    </row>
    <row r="1592" spans="1:4" ht="19.899999999999999" customHeight="1">
      <c r="A1592" s="11" t="s">
        <v>21</v>
      </c>
      <c r="B1592" s="14" t="s">
        <v>41</v>
      </c>
      <c r="C1592" s="12"/>
      <c r="D1592" s="12">
        <v>2016</v>
      </c>
    </row>
    <row r="1593" spans="1:4" ht="19.899999999999999" customHeight="1">
      <c r="A1593" s="11" t="s">
        <v>22</v>
      </c>
      <c r="B1593" s="14" t="s">
        <v>41</v>
      </c>
      <c r="C1593" s="12">
        <v>12.278389930725099</v>
      </c>
      <c r="D1593" s="12">
        <v>2016</v>
      </c>
    </row>
    <row r="1594" spans="1:4" ht="19.899999999999999" customHeight="1">
      <c r="A1594" s="11" t="s">
        <v>23</v>
      </c>
      <c r="B1594" s="14" t="s">
        <v>41</v>
      </c>
      <c r="C1594" s="12"/>
      <c r="D1594" s="12">
        <v>2016</v>
      </c>
    </row>
    <row r="1595" spans="1:4" ht="19.899999999999999" customHeight="1">
      <c r="A1595" s="11" t="s">
        <v>24</v>
      </c>
      <c r="B1595" s="14" t="s">
        <v>41</v>
      </c>
      <c r="C1595" s="12">
        <v>17.728759765625</v>
      </c>
      <c r="D1595" s="12">
        <v>2016</v>
      </c>
    </row>
    <row r="1596" spans="1:4" ht="19.899999999999999" customHeight="1">
      <c r="A1596" s="11" t="s">
        <v>25</v>
      </c>
      <c r="B1596" s="14" t="s">
        <v>41</v>
      </c>
      <c r="C1596" s="12"/>
      <c r="D1596" s="12">
        <v>2016</v>
      </c>
    </row>
    <row r="1597" spans="1:4" ht="19.899999999999999" customHeight="1">
      <c r="A1597" s="11" t="s">
        <v>26</v>
      </c>
      <c r="B1597" s="14" t="s">
        <v>41</v>
      </c>
      <c r="C1597" s="12"/>
      <c r="D1597" s="12">
        <v>2016</v>
      </c>
    </row>
    <row r="1598" spans="1:4" ht="19.899999999999999" customHeight="1">
      <c r="A1598" s="11" t="s">
        <v>27</v>
      </c>
      <c r="B1598" s="14" t="s">
        <v>41</v>
      </c>
      <c r="C1598" s="12"/>
      <c r="D1598" s="12">
        <v>2016</v>
      </c>
    </row>
    <row r="1599" spans="1:4" ht="19.899999999999999" customHeight="1">
      <c r="A1599" s="11" t="s">
        <v>28</v>
      </c>
      <c r="B1599" s="14" t="s">
        <v>41</v>
      </c>
      <c r="C1599" s="12"/>
      <c r="D1599" s="12">
        <v>2016</v>
      </c>
    </row>
    <row r="1600" spans="1:4" ht="19.899999999999999" customHeight="1">
      <c r="A1600" s="11" t="s">
        <v>29</v>
      </c>
      <c r="B1600" s="14" t="s">
        <v>41</v>
      </c>
      <c r="C1600" s="12"/>
      <c r="D1600" s="12">
        <v>2016</v>
      </c>
    </row>
    <row r="1601" spans="1:4" ht="19.899999999999999" customHeight="1">
      <c r="A1601" s="11" t="s">
        <v>4</v>
      </c>
      <c r="B1601" s="14" t="s">
        <v>41</v>
      </c>
      <c r="C1601" s="12"/>
      <c r="D1601" s="12">
        <v>2017</v>
      </c>
    </row>
    <row r="1602" spans="1:4" ht="19.899999999999999" customHeight="1">
      <c r="A1602" s="11" t="s">
        <v>5</v>
      </c>
      <c r="B1602" s="14" t="s">
        <v>41</v>
      </c>
      <c r="C1602" s="12"/>
      <c r="D1602" s="12">
        <v>2017</v>
      </c>
    </row>
    <row r="1603" spans="1:4" ht="19.899999999999999" customHeight="1">
      <c r="A1603" s="11" t="s">
        <v>6</v>
      </c>
      <c r="B1603" s="14" t="s">
        <v>41</v>
      </c>
      <c r="C1603" s="12"/>
      <c r="D1603" s="12">
        <v>2017</v>
      </c>
    </row>
    <row r="1604" spans="1:4" ht="19.899999999999999" customHeight="1">
      <c r="A1604" s="11" t="s">
        <v>7</v>
      </c>
      <c r="B1604" s="14" t="s">
        <v>41</v>
      </c>
      <c r="C1604" s="12"/>
      <c r="D1604" s="12">
        <v>2017</v>
      </c>
    </row>
    <row r="1605" spans="1:4" ht="19.899999999999999" customHeight="1">
      <c r="A1605" s="11" t="s">
        <v>8</v>
      </c>
      <c r="B1605" s="14" t="s">
        <v>41</v>
      </c>
      <c r="C1605" s="12"/>
      <c r="D1605" s="12">
        <v>2017</v>
      </c>
    </row>
    <row r="1606" spans="1:4" ht="19.899999999999999" customHeight="1">
      <c r="A1606" s="11" t="s">
        <v>1</v>
      </c>
      <c r="B1606" s="14" t="s">
        <v>41</v>
      </c>
      <c r="C1606" s="12"/>
      <c r="D1606" s="12">
        <v>2017</v>
      </c>
    </row>
    <row r="1607" spans="1:4" ht="19.899999999999999" customHeight="1">
      <c r="A1607" s="11" t="s">
        <v>9</v>
      </c>
      <c r="B1607" s="14" t="s">
        <v>41</v>
      </c>
      <c r="C1607" s="12"/>
      <c r="D1607" s="12">
        <v>2017</v>
      </c>
    </row>
    <row r="1608" spans="1:4" ht="19.899999999999999" customHeight="1">
      <c r="A1608" s="11" t="s">
        <v>10</v>
      </c>
      <c r="B1608" s="14" t="s">
        <v>41</v>
      </c>
      <c r="C1608" s="12"/>
      <c r="D1608" s="12">
        <v>2017</v>
      </c>
    </row>
    <row r="1609" spans="1:4" ht="19.899999999999999" customHeight="1">
      <c r="A1609" s="11" t="s">
        <v>11</v>
      </c>
      <c r="B1609" s="14" t="s">
        <v>41</v>
      </c>
      <c r="C1609" s="12"/>
      <c r="D1609" s="12">
        <v>2017</v>
      </c>
    </row>
    <row r="1610" spans="1:4" ht="19.899999999999999" customHeight="1">
      <c r="A1610" s="11" t="s">
        <v>38</v>
      </c>
      <c r="B1610" s="14" t="s">
        <v>41</v>
      </c>
      <c r="C1610" s="12"/>
      <c r="D1610" s="12">
        <v>2017</v>
      </c>
    </row>
    <row r="1611" spans="1:4" ht="19.899999999999999" customHeight="1">
      <c r="A1611" s="11" t="s">
        <v>12</v>
      </c>
      <c r="B1611" s="14" t="s">
        <v>41</v>
      </c>
      <c r="C1611" s="12"/>
      <c r="D1611" s="12">
        <v>2017</v>
      </c>
    </row>
    <row r="1612" spans="1:4" ht="19.899999999999999" customHeight="1">
      <c r="A1612" s="11" t="s">
        <v>13</v>
      </c>
      <c r="B1612" s="14" t="s">
        <v>41</v>
      </c>
      <c r="C1612" s="12"/>
      <c r="D1612" s="12">
        <v>2017</v>
      </c>
    </row>
    <row r="1613" spans="1:4" ht="19.899999999999999" customHeight="1">
      <c r="A1613" s="11" t="s">
        <v>14</v>
      </c>
      <c r="B1613" s="14" t="s">
        <v>41</v>
      </c>
      <c r="C1613" s="12"/>
      <c r="D1613" s="12">
        <v>2017</v>
      </c>
    </row>
    <row r="1614" spans="1:4" ht="19.899999999999999" customHeight="1">
      <c r="A1614" s="11" t="s">
        <v>15</v>
      </c>
      <c r="B1614" s="14" t="s">
        <v>41</v>
      </c>
      <c r="C1614" s="12"/>
      <c r="D1614" s="12">
        <v>2017</v>
      </c>
    </row>
    <row r="1615" spans="1:4" ht="19.899999999999999" customHeight="1">
      <c r="A1615" s="11" t="s">
        <v>16</v>
      </c>
      <c r="B1615" s="14" t="s">
        <v>41</v>
      </c>
      <c r="C1615" s="12"/>
      <c r="D1615" s="12">
        <v>2017</v>
      </c>
    </row>
    <row r="1616" spans="1:4" ht="19.899999999999999" customHeight="1">
      <c r="A1616" s="11" t="s">
        <v>17</v>
      </c>
      <c r="B1616" s="14" t="s">
        <v>41</v>
      </c>
      <c r="C1616" s="12"/>
      <c r="D1616" s="12">
        <v>2017</v>
      </c>
    </row>
    <row r="1617" spans="1:4" ht="19.899999999999999" customHeight="1">
      <c r="A1617" s="11" t="s">
        <v>18</v>
      </c>
      <c r="B1617" s="14" t="s">
        <v>41</v>
      </c>
      <c r="C1617" s="12"/>
      <c r="D1617" s="12">
        <v>2017</v>
      </c>
    </row>
    <row r="1618" spans="1:4" ht="19.899999999999999" customHeight="1">
      <c r="A1618" s="11" t="s">
        <v>19</v>
      </c>
      <c r="B1618" s="14" t="s">
        <v>41</v>
      </c>
      <c r="C1618" s="12"/>
      <c r="D1618" s="12">
        <v>2017</v>
      </c>
    </row>
    <row r="1619" spans="1:4" ht="19.899999999999999" customHeight="1">
      <c r="A1619" s="11" t="s">
        <v>20</v>
      </c>
      <c r="B1619" s="14" t="s">
        <v>41</v>
      </c>
      <c r="C1619" s="12"/>
      <c r="D1619" s="12">
        <v>2017</v>
      </c>
    </row>
    <row r="1620" spans="1:4" ht="19.899999999999999" customHeight="1">
      <c r="A1620" s="11" t="s">
        <v>21</v>
      </c>
      <c r="B1620" s="14" t="s">
        <v>41</v>
      </c>
      <c r="C1620" s="12"/>
      <c r="D1620" s="12">
        <v>2017</v>
      </c>
    </row>
    <row r="1621" spans="1:4" ht="19.899999999999999" customHeight="1">
      <c r="A1621" s="11" t="s">
        <v>22</v>
      </c>
      <c r="B1621" s="14" t="s">
        <v>41</v>
      </c>
      <c r="C1621" s="12"/>
      <c r="D1621" s="12">
        <v>2017</v>
      </c>
    </row>
    <row r="1622" spans="1:4" ht="19.899999999999999" customHeight="1">
      <c r="A1622" s="11" t="s">
        <v>23</v>
      </c>
      <c r="B1622" s="14" t="s">
        <v>41</v>
      </c>
      <c r="C1622" s="12"/>
      <c r="D1622" s="12">
        <v>2017</v>
      </c>
    </row>
    <row r="1623" spans="1:4" ht="19.899999999999999" customHeight="1">
      <c r="A1623" s="11" t="s">
        <v>24</v>
      </c>
      <c r="B1623" s="14" t="s">
        <v>41</v>
      </c>
      <c r="C1623" s="12"/>
      <c r="D1623" s="12">
        <v>2017</v>
      </c>
    </row>
    <row r="1624" spans="1:4" ht="19.899999999999999" customHeight="1">
      <c r="A1624" s="11" t="s">
        <v>25</v>
      </c>
      <c r="B1624" s="14" t="s">
        <v>41</v>
      </c>
      <c r="C1624" s="12"/>
      <c r="D1624" s="12">
        <v>2017</v>
      </c>
    </row>
    <row r="1625" spans="1:4" ht="19.899999999999999" customHeight="1">
      <c r="A1625" s="11" t="s">
        <v>26</v>
      </c>
      <c r="B1625" s="14" t="s">
        <v>41</v>
      </c>
      <c r="C1625" s="12"/>
      <c r="D1625" s="12">
        <v>2017</v>
      </c>
    </row>
    <row r="1626" spans="1:4" ht="19.899999999999999" customHeight="1">
      <c r="A1626" s="11" t="s">
        <v>27</v>
      </c>
      <c r="B1626" s="14" t="s">
        <v>41</v>
      </c>
      <c r="C1626" s="12"/>
      <c r="D1626" s="12">
        <v>2017</v>
      </c>
    </row>
    <row r="1627" spans="1:4" ht="19.899999999999999" customHeight="1">
      <c r="A1627" s="11" t="s">
        <v>28</v>
      </c>
      <c r="B1627" s="14" t="s">
        <v>41</v>
      </c>
      <c r="C1627" s="12"/>
      <c r="D1627" s="12">
        <v>2017</v>
      </c>
    </row>
    <row r="1628" spans="1:4" ht="19.899999999999999" customHeight="1">
      <c r="A1628" s="11" t="s">
        <v>29</v>
      </c>
      <c r="B1628" s="14" t="s">
        <v>41</v>
      </c>
      <c r="C1628" s="12"/>
      <c r="D1628" s="12">
        <v>2017</v>
      </c>
    </row>
  </sheetData>
  <mergeCells count="2">
    <mergeCell ref="G2:K2"/>
    <mergeCell ref="J4:K4"/>
  </mergeCells>
  <phoneticPr fontId="11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nlever">
                <anchor moveWithCells="1" sizeWithCells="1">
                  <from>
                    <xdr:col>4</xdr:col>
                    <xdr:colOff>819150</xdr:colOff>
                    <xdr:row>6</xdr:row>
                    <xdr:rowOff>57150</xdr:rowOff>
                  </from>
                  <to>
                    <xdr:col>5</xdr:col>
                    <xdr:colOff>1000125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fficher">
                <anchor moveWithCells="1" sizeWithCells="1">
                  <from>
                    <xdr:col>4</xdr:col>
                    <xdr:colOff>819150</xdr:colOff>
                    <xdr:row>3</xdr:row>
                    <xdr:rowOff>266700</xdr:rowOff>
                  </from>
                  <to>
                    <xdr:col>5</xdr:col>
                    <xdr:colOff>1000125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omite 5">
              <controlPr defaultSize="0" print="0" autoFill="0" autoPict="0" macro="[0]!SelectSheet">
                <anchor moveWithCells="1" sizeWithCells="1">
                  <from>
                    <xdr:col>4</xdr:col>
                    <xdr:colOff>790575</xdr:colOff>
                    <xdr:row>8</xdr:row>
                    <xdr:rowOff>95250</xdr:rowOff>
                  </from>
                  <to>
                    <xdr:col>5</xdr:col>
                    <xdr:colOff>981075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2:K1628"/>
  <sheetViews>
    <sheetView showGridLines="0" topLeftCell="E31" zoomScale="80" zoomScaleNormal="80" workbookViewId="0">
      <selection activeCell="G2" sqref="G2:K2"/>
    </sheetView>
  </sheetViews>
  <sheetFormatPr baseColWidth="10" defaultColWidth="8" defaultRowHeight="19.899999999999999" customHeight="1"/>
  <cols>
    <col min="1" max="1" width="20.25" style="1" hidden="1" customWidth="1"/>
    <col min="2" max="2" width="35.25" style="1" hidden="1" customWidth="1"/>
    <col min="3" max="3" width="17.875" style="1" hidden="1" customWidth="1"/>
    <col min="4" max="4" width="8" style="1" hidden="1" customWidth="1"/>
    <col min="5" max="5" width="10.625" style="1" customWidth="1"/>
    <col min="6" max="6" width="14.5" style="1" customWidth="1"/>
    <col min="7" max="7" width="26.875" style="1" customWidth="1"/>
    <col min="8" max="8" width="78.5" style="1" customWidth="1"/>
    <col min="9" max="9" width="5.25" style="1" customWidth="1"/>
    <col min="10" max="10" width="13" style="1" bestFit="1" customWidth="1"/>
    <col min="11" max="11" width="16.625" style="1" bestFit="1" customWidth="1"/>
    <col min="12" max="17" width="16.375" style="1" customWidth="1"/>
    <col min="18" max="24" width="12.625" style="1" bestFit="1" customWidth="1"/>
    <col min="25" max="25" width="12.875" style="1" bestFit="1" customWidth="1"/>
    <col min="26" max="30" width="12.625" style="1" bestFit="1" customWidth="1"/>
    <col min="31" max="31" width="22.375" style="1" bestFit="1" customWidth="1"/>
    <col min="32" max="37" width="12.625" style="1" bestFit="1" customWidth="1"/>
    <col min="38" max="38" width="11.125" style="1" bestFit="1" customWidth="1"/>
    <col min="39" max="39" width="12.375" style="1" bestFit="1" customWidth="1"/>
    <col min="40" max="65" width="21" style="1" bestFit="1" customWidth="1"/>
    <col min="66" max="66" width="14.625" style="1" bestFit="1" customWidth="1"/>
    <col min="67" max="67" width="14.5" style="1" bestFit="1" customWidth="1"/>
    <col min="68" max="16384" width="8" style="1"/>
  </cols>
  <sheetData>
    <row r="2" spans="1:11" ht="25.15" customHeight="1">
      <c r="G2" s="30" t="s">
        <v>47</v>
      </c>
      <c r="H2" s="30"/>
      <c r="I2" s="30"/>
      <c r="J2" s="30"/>
      <c r="K2" s="30"/>
    </row>
    <row r="3" spans="1:11" ht="10.15" customHeight="1"/>
    <row r="4" spans="1:11" ht="22.15" customHeight="1" thickBot="1">
      <c r="A4" s="7" t="s">
        <v>30</v>
      </c>
      <c r="B4" s="7" t="s">
        <v>31</v>
      </c>
      <c r="C4" s="7" t="s">
        <v>32</v>
      </c>
      <c r="D4" s="7" t="s">
        <v>3</v>
      </c>
      <c r="H4" s="8" t="s">
        <v>33</v>
      </c>
      <c r="J4" s="34" t="s">
        <v>34</v>
      </c>
      <c r="K4" s="34"/>
    </row>
    <row r="5" spans="1:11" ht="19.899999999999999" customHeight="1" thickTop="1">
      <c r="A5" s="9" t="s">
        <v>4</v>
      </c>
      <c r="B5" s="10" t="s">
        <v>42</v>
      </c>
      <c r="C5" s="10"/>
      <c r="D5" s="10">
        <v>1960</v>
      </c>
      <c r="J5" s="27" t="s">
        <v>36</v>
      </c>
      <c r="K5" s="27" t="s">
        <v>30</v>
      </c>
    </row>
    <row r="6" spans="1:11" ht="19.899999999999999" customHeight="1">
      <c r="A6" s="9" t="s">
        <v>5</v>
      </c>
      <c r="B6" s="10" t="s">
        <v>43</v>
      </c>
      <c r="C6" s="10"/>
      <c r="D6" s="10">
        <v>1960</v>
      </c>
      <c r="J6" s="28" t="s">
        <v>3</v>
      </c>
      <c r="K6" s="28" t="s">
        <v>1</v>
      </c>
    </row>
    <row r="7" spans="1:11" ht="19.899999999999999" customHeight="1">
      <c r="A7" s="9" t="s">
        <v>6</v>
      </c>
      <c r="B7" s="10" t="s">
        <v>43</v>
      </c>
      <c r="C7" s="10"/>
      <c r="D7" s="10">
        <v>1960</v>
      </c>
      <c r="J7" s="15">
        <v>1970</v>
      </c>
      <c r="K7" s="25"/>
    </row>
    <row r="8" spans="1:11" ht="19.899999999999999" customHeight="1">
      <c r="A8" s="9" t="s">
        <v>7</v>
      </c>
      <c r="B8" s="10" t="s">
        <v>43</v>
      </c>
      <c r="C8" s="10"/>
      <c r="D8" s="10">
        <v>1960</v>
      </c>
      <c r="J8" s="15">
        <v>1971</v>
      </c>
      <c r="K8" s="25">
        <v>15.02952003479</v>
      </c>
    </row>
    <row r="9" spans="1:11" ht="19.899999999999999" customHeight="1">
      <c r="A9" s="9" t="s">
        <v>8</v>
      </c>
      <c r="B9" s="10" t="s">
        <v>43</v>
      </c>
      <c r="C9" s="10"/>
      <c r="D9" s="10">
        <v>1960</v>
      </c>
      <c r="J9" s="15">
        <v>1972</v>
      </c>
      <c r="K9" s="25">
        <v>15.861590385436999</v>
      </c>
    </row>
    <row r="10" spans="1:11" ht="19.899999999999999" customHeight="1">
      <c r="A10" s="9" t="s">
        <v>1</v>
      </c>
      <c r="B10" s="10" t="s">
        <v>43</v>
      </c>
      <c r="C10" s="10"/>
      <c r="D10" s="10">
        <v>1960</v>
      </c>
      <c r="J10" s="15">
        <v>1973</v>
      </c>
      <c r="K10" s="25">
        <v>16.2753791809082</v>
      </c>
    </row>
    <row r="11" spans="1:11" ht="19.899999999999999" customHeight="1">
      <c r="A11" s="9" t="s">
        <v>9</v>
      </c>
      <c r="B11" s="10" t="s">
        <v>43</v>
      </c>
      <c r="C11" s="10"/>
      <c r="D11" s="10">
        <v>1960</v>
      </c>
      <c r="J11" s="15">
        <v>1974</v>
      </c>
      <c r="K11" s="25">
        <v>17.7330207824707</v>
      </c>
    </row>
    <row r="12" spans="1:11" ht="19.899999999999999" customHeight="1">
      <c r="A12" s="9" t="s">
        <v>10</v>
      </c>
      <c r="B12" s="10" t="s">
        <v>43</v>
      </c>
      <c r="C12" s="10"/>
      <c r="D12" s="10">
        <v>1960</v>
      </c>
      <c r="J12" s="15">
        <v>1975</v>
      </c>
      <c r="K12" s="25">
        <v>19.229900360107401</v>
      </c>
    </row>
    <row r="13" spans="1:11" ht="19.899999999999999" customHeight="1">
      <c r="A13" s="9" t="s">
        <v>11</v>
      </c>
      <c r="B13" s="10" t="s">
        <v>43</v>
      </c>
      <c r="C13" s="10"/>
      <c r="D13" s="10">
        <v>1960</v>
      </c>
      <c r="J13" s="15">
        <v>1976</v>
      </c>
      <c r="K13" s="25">
        <v>21.251789093017599</v>
      </c>
    </row>
    <row r="14" spans="1:11" ht="19.899999999999999" customHeight="1">
      <c r="A14" s="9" t="s">
        <v>38</v>
      </c>
      <c r="B14" s="10" t="s">
        <v>43</v>
      </c>
      <c r="C14" s="10"/>
      <c r="D14" s="10">
        <v>1960</v>
      </c>
      <c r="J14" s="15">
        <v>1977</v>
      </c>
      <c r="K14" s="25">
        <v>22.831239700317401</v>
      </c>
    </row>
    <row r="15" spans="1:11" ht="19.899999999999999" customHeight="1">
      <c r="A15" s="9" t="s">
        <v>12</v>
      </c>
      <c r="B15" s="10" t="s">
        <v>43</v>
      </c>
      <c r="C15" s="10"/>
      <c r="D15" s="10">
        <v>1960</v>
      </c>
      <c r="J15" s="15">
        <v>1978</v>
      </c>
      <c r="K15" s="25">
        <v>21.956119537353501</v>
      </c>
    </row>
    <row r="16" spans="1:11" ht="19.899999999999999" customHeight="1">
      <c r="A16" s="9" t="s">
        <v>13</v>
      </c>
      <c r="B16" s="10" t="s">
        <v>43</v>
      </c>
      <c r="C16" s="10"/>
      <c r="D16" s="10">
        <v>1960</v>
      </c>
      <c r="J16" s="15">
        <v>1979</v>
      </c>
      <c r="K16" s="25">
        <v>26.123640060424801</v>
      </c>
    </row>
    <row r="17" spans="1:11" ht="19.899999999999999" customHeight="1">
      <c r="A17" s="9" t="s">
        <v>14</v>
      </c>
      <c r="B17" s="10" t="s">
        <v>43</v>
      </c>
      <c r="C17" s="10"/>
      <c r="D17" s="10">
        <v>1960</v>
      </c>
      <c r="J17" s="15">
        <v>1980</v>
      </c>
      <c r="K17" s="25">
        <v>33.763401031494098</v>
      </c>
    </row>
    <row r="18" spans="1:11" ht="19.899999999999999" customHeight="1">
      <c r="A18" s="9" t="s">
        <v>15</v>
      </c>
      <c r="B18" s="10" t="s">
        <v>43</v>
      </c>
      <c r="C18" s="10"/>
      <c r="D18" s="10">
        <v>1960</v>
      </c>
      <c r="J18" s="15">
        <v>1981</v>
      </c>
      <c r="K18" s="25">
        <v>38.856410980224602</v>
      </c>
    </row>
    <row r="19" spans="1:11" ht="19.899999999999999" customHeight="1">
      <c r="A19" s="9" t="s">
        <v>16</v>
      </c>
      <c r="B19" s="10" t="s">
        <v>43</v>
      </c>
      <c r="C19" s="10"/>
      <c r="D19" s="10">
        <v>1960</v>
      </c>
      <c r="J19" s="15">
        <v>1982</v>
      </c>
      <c r="K19" s="25">
        <v>41.638359069824197</v>
      </c>
    </row>
    <row r="20" spans="1:11" ht="22.15" customHeight="1">
      <c r="A20" s="9" t="s">
        <v>17</v>
      </c>
      <c r="B20" s="10" t="s">
        <v>43</v>
      </c>
      <c r="C20" s="10"/>
      <c r="D20" s="10">
        <v>1960</v>
      </c>
      <c r="H20" s="4" t="s">
        <v>39</v>
      </c>
      <c r="J20" s="15">
        <v>1983</v>
      </c>
      <c r="K20" s="25">
        <v>42.2387504577637</v>
      </c>
    </row>
    <row r="21" spans="1:11" ht="19.899999999999999" customHeight="1">
      <c r="A21" s="9" t="s">
        <v>18</v>
      </c>
      <c r="B21" s="10" t="s">
        <v>43</v>
      </c>
      <c r="C21" s="10"/>
      <c r="D21" s="10">
        <v>1960</v>
      </c>
      <c r="J21" s="15">
        <v>1984</v>
      </c>
      <c r="K21" s="25">
        <v>40.314029693603501</v>
      </c>
    </row>
    <row r="22" spans="1:11" ht="19.899999999999999" customHeight="1">
      <c r="A22" s="9" t="s">
        <v>19</v>
      </c>
      <c r="B22" s="10" t="s">
        <v>43</v>
      </c>
      <c r="C22" s="10"/>
      <c r="D22" s="10">
        <v>1960</v>
      </c>
      <c r="J22" s="15">
        <v>1985</v>
      </c>
      <c r="K22" s="25">
        <v>37.430000305175803</v>
      </c>
    </row>
    <row r="23" spans="1:11" ht="19.899999999999999" customHeight="1">
      <c r="A23" s="9" t="s">
        <v>20</v>
      </c>
      <c r="B23" s="10" t="s">
        <v>43</v>
      </c>
      <c r="C23" s="10"/>
      <c r="D23" s="10">
        <v>1960</v>
      </c>
      <c r="J23" s="15">
        <v>1986</v>
      </c>
      <c r="K23" s="25">
        <v>36.8820610046387</v>
      </c>
    </row>
    <row r="24" spans="1:11" ht="19.899999999999999" customHeight="1">
      <c r="A24" s="9" t="s">
        <v>21</v>
      </c>
      <c r="B24" s="10" t="s">
        <v>43</v>
      </c>
      <c r="C24" s="10"/>
      <c r="D24" s="10">
        <v>1960</v>
      </c>
      <c r="J24" s="15">
        <v>1987</v>
      </c>
      <c r="K24" s="25">
        <v>39.960018157958999</v>
      </c>
    </row>
    <row r="25" spans="1:11" ht="19.899999999999999" customHeight="1">
      <c r="A25" s="9" t="s">
        <v>22</v>
      </c>
      <c r="B25" s="10" t="s">
        <v>43</v>
      </c>
      <c r="C25" s="10"/>
      <c r="D25" s="10">
        <v>1960</v>
      </c>
      <c r="J25" s="15">
        <v>1988</v>
      </c>
      <c r="K25" s="25">
        <v>40.778850555419901</v>
      </c>
    </row>
    <row r="26" spans="1:11" ht="19.899999999999999" customHeight="1">
      <c r="A26" s="9" t="s">
        <v>23</v>
      </c>
      <c r="B26" s="10" t="s">
        <v>43</v>
      </c>
      <c r="C26" s="10"/>
      <c r="D26" s="10">
        <v>1960</v>
      </c>
      <c r="J26" s="15">
        <v>1989</v>
      </c>
      <c r="K26" s="25">
        <v>39.046009063720703</v>
      </c>
    </row>
    <row r="27" spans="1:11" ht="19.899999999999999" customHeight="1">
      <c r="A27" s="9" t="s">
        <v>24</v>
      </c>
      <c r="B27" s="10" t="s">
        <v>43</v>
      </c>
      <c r="C27" s="10"/>
      <c r="D27" s="10">
        <v>1960</v>
      </c>
      <c r="J27" s="15">
        <v>1990</v>
      </c>
      <c r="K27" s="25">
        <v>35.164440155029197</v>
      </c>
    </row>
    <row r="28" spans="1:11" ht="19.899999999999999" customHeight="1">
      <c r="A28" s="9" t="s">
        <v>25</v>
      </c>
      <c r="B28" s="10" t="s">
        <v>43</v>
      </c>
      <c r="C28" s="10"/>
      <c r="D28" s="10">
        <v>1960</v>
      </c>
      <c r="J28" s="15">
        <v>1991</v>
      </c>
      <c r="K28" s="25">
        <v>31.462600708007798</v>
      </c>
    </row>
    <row r="29" spans="1:11" ht="19.899999999999999" customHeight="1">
      <c r="A29" s="9" t="s">
        <v>26</v>
      </c>
      <c r="B29" s="10" t="s">
        <v>43</v>
      </c>
      <c r="C29" s="10"/>
      <c r="D29" s="10">
        <v>1960</v>
      </c>
      <c r="J29" s="15">
        <v>1992</v>
      </c>
      <c r="K29" s="25">
        <v>25.193620681762699</v>
      </c>
    </row>
    <row r="30" spans="1:11" ht="19.899999999999999" customHeight="1">
      <c r="A30" s="9" t="s">
        <v>27</v>
      </c>
      <c r="B30" s="10" t="s">
        <v>43</v>
      </c>
      <c r="C30" s="10"/>
      <c r="D30" s="10">
        <v>1960</v>
      </c>
      <c r="J30" s="15">
        <v>1993</v>
      </c>
      <c r="K30" s="25">
        <v>21.622789382934599</v>
      </c>
    </row>
    <row r="31" spans="1:11" ht="19.899999999999999" customHeight="1">
      <c r="A31" s="9" t="s">
        <v>28</v>
      </c>
      <c r="B31" s="10" t="s">
        <v>43</v>
      </c>
      <c r="C31" s="10"/>
      <c r="D31" s="10">
        <v>1960</v>
      </c>
      <c r="J31" s="15">
        <v>1994</v>
      </c>
      <c r="K31" s="25">
        <v>25.420459747314499</v>
      </c>
    </row>
    <row r="32" spans="1:11" ht="19.899999999999999" customHeight="1">
      <c r="A32" s="9" t="s">
        <v>29</v>
      </c>
      <c r="B32" s="10" t="s">
        <v>43</v>
      </c>
      <c r="C32" s="10"/>
      <c r="D32" s="10">
        <v>1960</v>
      </c>
      <c r="J32" s="15">
        <v>1995</v>
      </c>
      <c r="K32" s="25">
        <v>29.089929580688501</v>
      </c>
    </row>
    <row r="33" spans="1:11" ht="19.899999999999999" customHeight="1">
      <c r="A33" s="11" t="s">
        <v>4</v>
      </c>
      <c r="B33" s="12" t="s">
        <v>43</v>
      </c>
      <c r="C33" s="12"/>
      <c r="D33" s="12">
        <v>1961</v>
      </c>
      <c r="J33" s="15">
        <v>1996</v>
      </c>
      <c r="K33" s="25">
        <v>34.952648162841697</v>
      </c>
    </row>
    <row r="34" spans="1:11" ht="19.899999999999999" customHeight="1">
      <c r="A34" s="11" t="s">
        <v>5</v>
      </c>
      <c r="B34" s="12" t="s">
        <v>43</v>
      </c>
      <c r="C34" s="12"/>
      <c r="D34" s="12">
        <v>1961</v>
      </c>
      <c r="J34" s="15">
        <v>1997</v>
      </c>
      <c r="K34" s="25">
        <v>40.339828491210902</v>
      </c>
    </row>
    <row r="35" spans="1:11" ht="19.899999999999999" customHeight="1">
      <c r="A35" s="11" t="s">
        <v>6</v>
      </c>
      <c r="B35" s="12" t="s">
        <v>43</v>
      </c>
      <c r="C35" s="12"/>
      <c r="D35" s="12">
        <v>1961</v>
      </c>
      <c r="J35" s="15">
        <v>1998</v>
      </c>
      <c r="K35" s="25">
        <v>49.964080810546903</v>
      </c>
    </row>
    <row r="36" spans="1:11" ht="22.15" customHeight="1">
      <c r="A36" s="11" t="s">
        <v>7</v>
      </c>
      <c r="B36" s="12" t="s">
        <v>43</v>
      </c>
      <c r="C36" s="12"/>
      <c r="D36" s="12">
        <v>1961</v>
      </c>
      <c r="J36" s="15">
        <v>1999</v>
      </c>
      <c r="K36" s="25">
        <v>49.405258178710902</v>
      </c>
    </row>
    <row r="37" spans="1:11" ht="19.899999999999999" customHeight="1">
      <c r="A37" s="11" t="s">
        <v>8</v>
      </c>
      <c r="B37" s="12" t="s">
        <v>43</v>
      </c>
      <c r="C37" s="12"/>
      <c r="D37" s="12">
        <v>1961</v>
      </c>
      <c r="J37" s="15">
        <v>2000</v>
      </c>
      <c r="K37" s="25">
        <v>54.443538665771499</v>
      </c>
    </row>
    <row r="38" spans="1:11" ht="19.899999999999999" customHeight="1">
      <c r="A38" s="11" t="s">
        <v>1</v>
      </c>
      <c r="B38" s="12" t="s">
        <v>43</v>
      </c>
      <c r="C38" s="12"/>
      <c r="D38" s="12">
        <v>1961</v>
      </c>
      <c r="J38" s="15">
        <v>2001</v>
      </c>
      <c r="K38" s="25">
        <v>60.262241363525398</v>
      </c>
    </row>
    <row r="39" spans="1:11" ht="19.899999999999999" customHeight="1">
      <c r="A39" s="11" t="s">
        <v>9</v>
      </c>
      <c r="B39" s="12" t="s">
        <v>43</v>
      </c>
      <c r="C39" s="12"/>
      <c r="D39" s="12">
        <v>1961</v>
      </c>
      <c r="J39" s="15">
        <v>2002</v>
      </c>
      <c r="K39" s="25">
        <v>63.458671569824197</v>
      </c>
    </row>
    <row r="40" spans="1:11" ht="19.899999999999999" customHeight="1">
      <c r="A40" s="11" t="s">
        <v>10</v>
      </c>
      <c r="B40" s="12" t="s">
        <v>42</v>
      </c>
      <c r="C40" s="12"/>
      <c r="D40" s="12">
        <v>1961</v>
      </c>
      <c r="J40" s="15">
        <v>2003</v>
      </c>
      <c r="K40" s="25">
        <v>64.816902160644503</v>
      </c>
    </row>
    <row r="41" spans="1:11" ht="19.899999999999999" customHeight="1">
      <c r="A41" s="11" t="s">
        <v>11</v>
      </c>
      <c r="B41" s="12" t="s">
        <v>43</v>
      </c>
      <c r="C41" s="12"/>
      <c r="D41" s="12">
        <v>1961</v>
      </c>
      <c r="J41" s="15">
        <v>2004</v>
      </c>
      <c r="K41" s="25">
        <v>67.752471923828097</v>
      </c>
    </row>
    <row r="42" spans="1:11" ht="19.899999999999999" customHeight="1">
      <c r="A42" s="11" t="s">
        <v>38</v>
      </c>
      <c r="B42" s="12" t="s">
        <v>43</v>
      </c>
      <c r="C42" s="12"/>
      <c r="D42" s="12">
        <v>1961</v>
      </c>
      <c r="J42" s="15">
        <v>2005</v>
      </c>
      <c r="K42" s="25">
        <v>79.013397216796903</v>
      </c>
    </row>
    <row r="43" spans="1:11" ht="19.899999999999999" customHeight="1">
      <c r="A43" s="11" t="s">
        <v>12</v>
      </c>
      <c r="B43" s="12" t="s">
        <v>43</v>
      </c>
      <c r="C43" s="12"/>
      <c r="D43" s="12">
        <v>1961</v>
      </c>
      <c r="J43" s="15">
        <v>2006</v>
      </c>
      <c r="K43" s="25">
        <v>83.327651977539105</v>
      </c>
    </row>
    <row r="44" spans="1:11" ht="19.899999999999999" customHeight="1">
      <c r="A44" s="11" t="s">
        <v>13</v>
      </c>
      <c r="B44" s="12" t="s">
        <v>43</v>
      </c>
      <c r="C44" s="12"/>
      <c r="D44" s="12">
        <v>1961</v>
      </c>
      <c r="J44" s="15">
        <v>2007</v>
      </c>
      <c r="K44" s="25">
        <v>89.165466308593807</v>
      </c>
    </row>
    <row r="45" spans="1:11" ht="19.899999999999999" customHeight="1">
      <c r="A45" s="11" t="s">
        <v>14</v>
      </c>
      <c r="B45" s="12" t="s">
        <v>43</v>
      </c>
      <c r="C45" s="12"/>
      <c r="D45" s="12">
        <v>1961</v>
      </c>
      <c r="J45" s="15">
        <v>2008</v>
      </c>
      <c r="K45" s="25">
        <v>94.822853088378906</v>
      </c>
    </row>
    <row r="46" spans="1:11" ht="19.899999999999999" customHeight="1">
      <c r="A46" s="11" t="s">
        <v>15</v>
      </c>
      <c r="B46" s="12" t="s">
        <v>43</v>
      </c>
      <c r="C46" s="12"/>
      <c r="D46" s="12">
        <v>1961</v>
      </c>
      <c r="J46" s="15">
        <v>2009</v>
      </c>
      <c r="K46" s="25">
        <v>93.502357482910199</v>
      </c>
    </row>
    <row r="47" spans="1:11" ht="19.899999999999999" customHeight="1">
      <c r="A47" s="11" t="s">
        <v>16</v>
      </c>
      <c r="B47" s="12" t="s">
        <v>43</v>
      </c>
      <c r="C47" s="12"/>
      <c r="D47" s="12">
        <v>1961</v>
      </c>
      <c r="J47" s="15">
        <v>2010</v>
      </c>
      <c r="K47" s="25">
        <v>91.775962829589801</v>
      </c>
    </row>
    <row r="48" spans="1:11" ht="19.899999999999999" customHeight="1">
      <c r="A48" s="11" t="s">
        <v>17</v>
      </c>
      <c r="B48" s="12" t="s">
        <v>43</v>
      </c>
      <c r="C48" s="12"/>
      <c r="D48" s="12">
        <v>1961</v>
      </c>
      <c r="J48" s="15">
        <v>2011</v>
      </c>
      <c r="K48" s="25">
        <v>94.500572204589801</v>
      </c>
    </row>
    <row r="49" spans="1:11" ht="19.899999999999999" customHeight="1">
      <c r="A49" s="11" t="s">
        <v>18</v>
      </c>
      <c r="B49" s="12" t="s">
        <v>43</v>
      </c>
      <c r="C49" s="12"/>
      <c r="D49" s="12">
        <v>1961</v>
      </c>
      <c r="J49" s="15">
        <v>2012</v>
      </c>
      <c r="K49" s="25">
        <v>94.550750732421903</v>
      </c>
    </row>
    <row r="50" spans="1:11" ht="19.899999999999999" customHeight="1">
      <c r="A50" s="11" t="s">
        <v>19</v>
      </c>
      <c r="B50" s="12" t="s">
        <v>43</v>
      </c>
      <c r="C50" s="12"/>
      <c r="D50" s="12">
        <v>1961</v>
      </c>
      <c r="J50" s="15">
        <v>2013</v>
      </c>
      <c r="K50" s="25"/>
    </row>
    <row r="51" spans="1:11" ht="19.899999999999999" customHeight="1">
      <c r="A51" s="11" t="s">
        <v>20</v>
      </c>
      <c r="B51" s="12" t="s">
        <v>43</v>
      </c>
      <c r="C51" s="12"/>
      <c r="D51" s="12">
        <v>1961</v>
      </c>
      <c r="J51" s="15">
        <v>2014</v>
      </c>
      <c r="K51" s="25">
        <v>99.923202514648395</v>
      </c>
    </row>
    <row r="52" spans="1:11" ht="19.899999999999999" customHeight="1">
      <c r="A52" s="11" t="s">
        <v>21</v>
      </c>
      <c r="B52" s="12" t="s">
        <v>43</v>
      </c>
      <c r="C52" s="12"/>
      <c r="D52" s="12">
        <v>1961</v>
      </c>
      <c r="J52" s="15">
        <v>2015</v>
      </c>
      <c r="K52" s="25">
        <v>101.944229125977</v>
      </c>
    </row>
    <row r="53" spans="1:11" ht="19.899999999999999" customHeight="1">
      <c r="A53" s="11" t="s">
        <v>22</v>
      </c>
      <c r="B53" s="12" t="s">
        <v>43</v>
      </c>
      <c r="C53" s="12"/>
      <c r="D53" s="12">
        <v>1961</v>
      </c>
      <c r="J53" s="15">
        <v>2016</v>
      </c>
      <c r="K53" s="25"/>
    </row>
    <row r="54" spans="1:11" ht="19.899999999999999" customHeight="1">
      <c r="A54" s="11" t="s">
        <v>23</v>
      </c>
      <c r="B54" s="12" t="s">
        <v>43</v>
      </c>
      <c r="C54" s="12"/>
      <c r="D54" s="12">
        <v>1961</v>
      </c>
      <c r="J54" s="16">
        <v>2017</v>
      </c>
      <c r="K54" s="26"/>
    </row>
    <row r="55" spans="1:11" ht="19.899999999999999" customHeight="1">
      <c r="A55" s="11" t="s">
        <v>24</v>
      </c>
      <c r="B55" s="12" t="s">
        <v>43</v>
      </c>
      <c r="C55" s="12"/>
      <c r="D55" s="12">
        <v>1961</v>
      </c>
    </row>
    <row r="56" spans="1:11" ht="19.899999999999999" customHeight="1">
      <c r="A56" s="11" t="s">
        <v>25</v>
      </c>
      <c r="B56" s="12" t="s">
        <v>43</v>
      </c>
      <c r="C56" s="12"/>
      <c r="D56" s="12">
        <v>1961</v>
      </c>
    </row>
    <row r="57" spans="1:11" ht="19.899999999999999" customHeight="1">
      <c r="A57" s="11" t="s">
        <v>26</v>
      </c>
      <c r="B57" s="12" t="s">
        <v>43</v>
      </c>
      <c r="C57" s="12"/>
      <c r="D57" s="12">
        <v>1961</v>
      </c>
    </row>
    <row r="58" spans="1:11" ht="19.899999999999999" customHeight="1">
      <c r="A58" s="11" t="s">
        <v>27</v>
      </c>
      <c r="B58" s="12" t="s">
        <v>43</v>
      </c>
      <c r="C58" s="12"/>
      <c r="D58" s="12">
        <v>1961</v>
      </c>
    </row>
    <row r="59" spans="1:11" ht="19.899999999999999" customHeight="1">
      <c r="A59" s="11" t="s">
        <v>28</v>
      </c>
      <c r="B59" s="12" t="s">
        <v>43</v>
      </c>
      <c r="C59" s="12"/>
      <c r="D59" s="12">
        <v>1961</v>
      </c>
    </row>
    <row r="60" spans="1:11" ht="19.899999999999999" customHeight="1">
      <c r="A60" s="11" t="s">
        <v>29</v>
      </c>
      <c r="B60" s="12" t="s">
        <v>43</v>
      </c>
      <c r="C60" s="12"/>
      <c r="D60" s="12">
        <v>1961</v>
      </c>
    </row>
    <row r="61" spans="1:11" ht="19.899999999999999" customHeight="1">
      <c r="A61" s="11" t="s">
        <v>4</v>
      </c>
      <c r="B61" s="12" t="s">
        <v>43</v>
      </c>
      <c r="C61" s="12"/>
      <c r="D61" s="12">
        <v>1962</v>
      </c>
    </row>
    <row r="62" spans="1:11" ht="19.899999999999999" customHeight="1">
      <c r="A62" s="11" t="s">
        <v>5</v>
      </c>
      <c r="B62" s="12" t="s">
        <v>43</v>
      </c>
      <c r="C62" s="12"/>
      <c r="D62" s="12">
        <v>1962</v>
      </c>
    </row>
    <row r="63" spans="1:11" ht="19.899999999999999" customHeight="1">
      <c r="A63" s="11" t="s">
        <v>6</v>
      </c>
      <c r="B63" s="12" t="s">
        <v>43</v>
      </c>
      <c r="C63" s="12"/>
      <c r="D63" s="12">
        <v>1962</v>
      </c>
    </row>
    <row r="64" spans="1:11" ht="19.899999999999999" customHeight="1">
      <c r="A64" s="11" t="s">
        <v>7</v>
      </c>
      <c r="B64" s="12" t="s">
        <v>43</v>
      </c>
      <c r="C64" s="12"/>
      <c r="D64" s="12">
        <v>1962</v>
      </c>
    </row>
    <row r="65" spans="1:4" ht="19.899999999999999" customHeight="1">
      <c r="A65" s="11" t="s">
        <v>8</v>
      </c>
      <c r="B65" s="12" t="s">
        <v>43</v>
      </c>
      <c r="C65" s="12"/>
      <c r="D65" s="12">
        <v>1962</v>
      </c>
    </row>
    <row r="66" spans="1:4" ht="19.899999999999999" customHeight="1">
      <c r="A66" s="11" t="s">
        <v>1</v>
      </c>
      <c r="B66" s="12" t="s">
        <v>43</v>
      </c>
      <c r="C66" s="12"/>
      <c r="D66" s="12">
        <v>1962</v>
      </c>
    </row>
    <row r="67" spans="1:4" ht="19.899999999999999" customHeight="1">
      <c r="A67" s="11" t="s">
        <v>9</v>
      </c>
      <c r="B67" s="12" t="s">
        <v>43</v>
      </c>
      <c r="C67" s="12"/>
      <c r="D67" s="12">
        <v>1962</v>
      </c>
    </row>
    <row r="68" spans="1:4" ht="19.899999999999999" customHeight="1">
      <c r="A68" s="11" t="s">
        <v>10</v>
      </c>
      <c r="B68" s="12" t="s">
        <v>43</v>
      </c>
      <c r="C68" s="12"/>
      <c r="D68" s="12">
        <v>1962</v>
      </c>
    </row>
    <row r="69" spans="1:4" ht="19.899999999999999" customHeight="1">
      <c r="A69" s="11" t="s">
        <v>11</v>
      </c>
      <c r="B69" s="12" t="s">
        <v>43</v>
      </c>
      <c r="C69" s="12"/>
      <c r="D69" s="12">
        <v>1962</v>
      </c>
    </row>
    <row r="70" spans="1:4" ht="19.899999999999999" customHeight="1">
      <c r="A70" s="11" t="s">
        <v>38</v>
      </c>
      <c r="B70" s="12" t="s">
        <v>43</v>
      </c>
      <c r="C70" s="12"/>
      <c r="D70" s="12">
        <v>1962</v>
      </c>
    </row>
    <row r="71" spans="1:4" ht="19.899999999999999" customHeight="1">
      <c r="A71" s="11" t="s">
        <v>12</v>
      </c>
      <c r="B71" s="12" t="s">
        <v>43</v>
      </c>
      <c r="C71" s="12"/>
      <c r="D71" s="12">
        <v>1962</v>
      </c>
    </row>
    <row r="72" spans="1:4" ht="19.899999999999999" customHeight="1">
      <c r="A72" s="11" t="s">
        <v>13</v>
      </c>
      <c r="B72" s="12" t="s">
        <v>43</v>
      </c>
      <c r="C72" s="12"/>
      <c r="D72" s="12">
        <v>1962</v>
      </c>
    </row>
    <row r="73" spans="1:4" ht="19.899999999999999" customHeight="1">
      <c r="A73" s="11" t="s">
        <v>14</v>
      </c>
      <c r="B73" s="12" t="s">
        <v>43</v>
      </c>
      <c r="C73" s="12"/>
      <c r="D73" s="12">
        <v>1962</v>
      </c>
    </row>
    <row r="74" spans="1:4" ht="19.899999999999999" customHeight="1">
      <c r="A74" s="11" t="s">
        <v>15</v>
      </c>
      <c r="B74" s="12" t="s">
        <v>43</v>
      </c>
      <c r="C74" s="12"/>
      <c r="D74" s="12">
        <v>1962</v>
      </c>
    </row>
    <row r="75" spans="1:4" ht="19.899999999999999" customHeight="1">
      <c r="A75" s="11" t="s">
        <v>16</v>
      </c>
      <c r="B75" s="12" t="s">
        <v>43</v>
      </c>
      <c r="C75" s="12"/>
      <c r="D75" s="12">
        <v>1962</v>
      </c>
    </row>
    <row r="76" spans="1:4" ht="19.899999999999999" customHeight="1">
      <c r="A76" s="11" t="s">
        <v>17</v>
      </c>
      <c r="B76" s="12" t="s">
        <v>43</v>
      </c>
      <c r="C76" s="12"/>
      <c r="D76" s="12">
        <v>1962</v>
      </c>
    </row>
    <row r="77" spans="1:4" ht="19.899999999999999" customHeight="1">
      <c r="A77" s="11" t="s">
        <v>18</v>
      </c>
      <c r="B77" s="12" t="s">
        <v>43</v>
      </c>
      <c r="C77" s="12"/>
      <c r="D77" s="12">
        <v>1962</v>
      </c>
    </row>
    <row r="78" spans="1:4" ht="19.899999999999999" customHeight="1">
      <c r="A78" s="11" t="s">
        <v>19</v>
      </c>
      <c r="B78" s="12" t="s">
        <v>43</v>
      </c>
      <c r="C78" s="12"/>
      <c r="D78" s="12">
        <v>1962</v>
      </c>
    </row>
    <row r="79" spans="1:4" ht="19.899999999999999" customHeight="1">
      <c r="A79" s="11" t="s">
        <v>20</v>
      </c>
      <c r="B79" s="12" t="s">
        <v>43</v>
      </c>
      <c r="C79" s="12"/>
      <c r="D79" s="12">
        <v>1962</v>
      </c>
    </row>
    <row r="80" spans="1:4" ht="19.899999999999999" customHeight="1">
      <c r="A80" s="11" t="s">
        <v>21</v>
      </c>
      <c r="B80" s="12" t="s">
        <v>43</v>
      </c>
      <c r="C80" s="12"/>
      <c r="D80" s="12">
        <v>1962</v>
      </c>
    </row>
    <row r="81" spans="1:4" ht="19.899999999999999" customHeight="1">
      <c r="A81" s="11" t="s">
        <v>22</v>
      </c>
      <c r="B81" s="12" t="s">
        <v>43</v>
      </c>
      <c r="C81" s="12"/>
      <c r="D81" s="12">
        <v>1962</v>
      </c>
    </row>
    <row r="82" spans="1:4" ht="19.899999999999999" customHeight="1">
      <c r="A82" s="11" t="s">
        <v>23</v>
      </c>
      <c r="B82" s="12" t="s">
        <v>43</v>
      </c>
      <c r="C82" s="12"/>
      <c r="D82" s="12">
        <v>1962</v>
      </c>
    </row>
    <row r="83" spans="1:4" ht="19.899999999999999" customHeight="1">
      <c r="A83" s="11" t="s">
        <v>24</v>
      </c>
      <c r="B83" s="12" t="s">
        <v>43</v>
      </c>
      <c r="C83" s="12"/>
      <c r="D83" s="12">
        <v>1962</v>
      </c>
    </row>
    <row r="84" spans="1:4" ht="19.899999999999999" customHeight="1">
      <c r="A84" s="11" t="s">
        <v>25</v>
      </c>
      <c r="B84" s="12" t="s">
        <v>43</v>
      </c>
      <c r="C84" s="12"/>
      <c r="D84" s="12">
        <v>1962</v>
      </c>
    </row>
    <row r="85" spans="1:4" ht="19.899999999999999" customHeight="1">
      <c r="A85" s="11" t="s">
        <v>26</v>
      </c>
      <c r="B85" s="12" t="s">
        <v>43</v>
      </c>
      <c r="C85" s="12"/>
      <c r="D85" s="12">
        <v>1962</v>
      </c>
    </row>
    <row r="86" spans="1:4" ht="19.899999999999999" customHeight="1">
      <c r="A86" s="11" t="s">
        <v>27</v>
      </c>
      <c r="B86" s="12" t="s">
        <v>43</v>
      </c>
      <c r="C86" s="12"/>
      <c r="D86" s="12">
        <v>1962</v>
      </c>
    </row>
    <row r="87" spans="1:4" ht="19.899999999999999" customHeight="1">
      <c r="A87" s="11" t="s">
        <v>28</v>
      </c>
      <c r="B87" s="12" t="s">
        <v>43</v>
      </c>
      <c r="C87" s="12"/>
      <c r="D87" s="12">
        <v>1962</v>
      </c>
    </row>
    <row r="88" spans="1:4" ht="19.899999999999999" customHeight="1">
      <c r="A88" s="11" t="s">
        <v>29</v>
      </c>
      <c r="B88" s="12" t="s">
        <v>43</v>
      </c>
      <c r="C88" s="12"/>
      <c r="D88" s="12">
        <v>1962</v>
      </c>
    </row>
    <row r="89" spans="1:4" ht="19.899999999999999" customHeight="1">
      <c r="A89" s="11" t="s">
        <v>4</v>
      </c>
      <c r="B89" s="12" t="s">
        <v>43</v>
      </c>
      <c r="C89" s="12"/>
      <c r="D89" s="12">
        <v>1963</v>
      </c>
    </row>
    <row r="90" spans="1:4" ht="19.899999999999999" customHeight="1">
      <c r="A90" s="11" t="s">
        <v>5</v>
      </c>
      <c r="B90" s="12" t="s">
        <v>43</v>
      </c>
      <c r="C90" s="12"/>
      <c r="D90" s="12">
        <v>1963</v>
      </c>
    </row>
    <row r="91" spans="1:4" ht="19.899999999999999" customHeight="1">
      <c r="A91" s="11" t="s">
        <v>6</v>
      </c>
      <c r="B91" s="12" t="s">
        <v>43</v>
      </c>
      <c r="C91" s="12"/>
      <c r="D91" s="12">
        <v>1963</v>
      </c>
    </row>
    <row r="92" spans="1:4" ht="19.899999999999999" customHeight="1">
      <c r="A92" s="11" t="s">
        <v>7</v>
      </c>
      <c r="B92" s="12" t="s">
        <v>43</v>
      </c>
      <c r="C92" s="12"/>
      <c r="D92" s="12">
        <v>1963</v>
      </c>
    </row>
    <row r="93" spans="1:4" ht="19.899999999999999" customHeight="1">
      <c r="A93" s="11" t="s">
        <v>8</v>
      </c>
      <c r="B93" s="12" t="s">
        <v>43</v>
      </c>
      <c r="C93" s="12"/>
      <c r="D93" s="12">
        <v>1963</v>
      </c>
    </row>
    <row r="94" spans="1:4" ht="19.899999999999999" customHeight="1">
      <c r="A94" s="11" t="s">
        <v>1</v>
      </c>
      <c r="B94" s="12" t="s">
        <v>43</v>
      </c>
      <c r="C94" s="12"/>
      <c r="D94" s="12">
        <v>1963</v>
      </c>
    </row>
    <row r="95" spans="1:4" ht="19.899999999999999" customHeight="1">
      <c r="A95" s="11" t="s">
        <v>9</v>
      </c>
      <c r="B95" s="12" t="s">
        <v>43</v>
      </c>
      <c r="C95" s="12"/>
      <c r="D95" s="12">
        <v>1963</v>
      </c>
    </row>
    <row r="96" spans="1:4" ht="19.899999999999999" customHeight="1">
      <c r="A96" s="11" t="s">
        <v>10</v>
      </c>
      <c r="B96" s="12" t="s">
        <v>43</v>
      </c>
      <c r="C96" s="12"/>
      <c r="D96" s="12">
        <v>1963</v>
      </c>
    </row>
    <row r="97" spans="1:4" ht="19.899999999999999" customHeight="1">
      <c r="A97" s="11" t="s">
        <v>11</v>
      </c>
      <c r="B97" s="12" t="s">
        <v>43</v>
      </c>
      <c r="C97" s="12"/>
      <c r="D97" s="12">
        <v>1963</v>
      </c>
    </row>
    <row r="98" spans="1:4" ht="19.899999999999999" customHeight="1">
      <c r="A98" s="11" t="s">
        <v>38</v>
      </c>
      <c r="B98" s="12" t="s">
        <v>43</v>
      </c>
      <c r="C98" s="12"/>
      <c r="D98" s="12">
        <v>1963</v>
      </c>
    </row>
    <row r="99" spans="1:4" ht="19.899999999999999" customHeight="1">
      <c r="A99" s="11" t="s">
        <v>12</v>
      </c>
      <c r="B99" s="12" t="s">
        <v>43</v>
      </c>
      <c r="C99" s="12"/>
      <c r="D99" s="12">
        <v>1963</v>
      </c>
    </row>
    <row r="100" spans="1:4" ht="19.899999999999999" customHeight="1">
      <c r="A100" s="11" t="s">
        <v>13</v>
      </c>
      <c r="B100" s="12" t="s">
        <v>43</v>
      </c>
      <c r="C100" s="12"/>
      <c r="D100" s="12">
        <v>1963</v>
      </c>
    </row>
    <row r="101" spans="1:4" ht="19.899999999999999" customHeight="1">
      <c r="A101" s="11" t="s">
        <v>14</v>
      </c>
      <c r="B101" s="12" t="s">
        <v>43</v>
      </c>
      <c r="C101" s="12"/>
      <c r="D101" s="12">
        <v>1963</v>
      </c>
    </row>
    <row r="102" spans="1:4" ht="19.899999999999999" customHeight="1">
      <c r="A102" s="11" t="s">
        <v>15</v>
      </c>
      <c r="B102" s="12" t="s">
        <v>43</v>
      </c>
      <c r="C102" s="12"/>
      <c r="D102" s="12">
        <v>1963</v>
      </c>
    </row>
    <row r="103" spans="1:4" ht="19.899999999999999" customHeight="1">
      <c r="A103" s="11" t="s">
        <v>16</v>
      </c>
      <c r="B103" s="12" t="s">
        <v>43</v>
      </c>
      <c r="C103" s="12"/>
      <c r="D103" s="12">
        <v>1963</v>
      </c>
    </row>
    <row r="104" spans="1:4" ht="19.899999999999999" customHeight="1">
      <c r="A104" s="11" t="s">
        <v>17</v>
      </c>
      <c r="B104" s="12" t="s">
        <v>43</v>
      </c>
      <c r="C104" s="12"/>
      <c r="D104" s="12">
        <v>1963</v>
      </c>
    </row>
    <row r="105" spans="1:4" ht="19.899999999999999" customHeight="1">
      <c r="A105" s="11" t="s">
        <v>18</v>
      </c>
      <c r="B105" s="12" t="s">
        <v>43</v>
      </c>
      <c r="C105" s="12"/>
      <c r="D105" s="12">
        <v>1963</v>
      </c>
    </row>
    <row r="106" spans="1:4" ht="19.899999999999999" customHeight="1">
      <c r="A106" s="11" t="s">
        <v>19</v>
      </c>
      <c r="B106" s="12" t="s">
        <v>43</v>
      </c>
      <c r="C106" s="12"/>
      <c r="D106" s="12">
        <v>1963</v>
      </c>
    </row>
    <row r="107" spans="1:4" ht="19.899999999999999" customHeight="1">
      <c r="A107" s="11" t="s">
        <v>20</v>
      </c>
      <c r="B107" s="12" t="s">
        <v>43</v>
      </c>
      <c r="C107" s="12"/>
      <c r="D107" s="12">
        <v>1963</v>
      </c>
    </row>
    <row r="108" spans="1:4" ht="19.899999999999999" customHeight="1">
      <c r="A108" s="11" t="s">
        <v>21</v>
      </c>
      <c r="B108" s="12" t="s">
        <v>43</v>
      </c>
      <c r="C108" s="12"/>
      <c r="D108" s="12">
        <v>1963</v>
      </c>
    </row>
    <row r="109" spans="1:4" ht="19.899999999999999" customHeight="1">
      <c r="A109" s="11" t="s">
        <v>22</v>
      </c>
      <c r="B109" s="12" t="s">
        <v>43</v>
      </c>
      <c r="C109" s="12"/>
      <c r="D109" s="12">
        <v>1963</v>
      </c>
    </row>
    <row r="110" spans="1:4" ht="19.899999999999999" customHeight="1">
      <c r="A110" s="11" t="s">
        <v>23</v>
      </c>
      <c r="B110" s="12" t="s">
        <v>43</v>
      </c>
      <c r="C110" s="12"/>
      <c r="D110" s="12">
        <v>1963</v>
      </c>
    </row>
    <row r="111" spans="1:4" ht="19.899999999999999" customHeight="1">
      <c r="A111" s="11" t="s">
        <v>24</v>
      </c>
      <c r="B111" s="12" t="s">
        <v>43</v>
      </c>
      <c r="C111" s="12"/>
      <c r="D111" s="12">
        <v>1963</v>
      </c>
    </row>
    <row r="112" spans="1:4" ht="19.899999999999999" customHeight="1">
      <c r="A112" s="11" t="s">
        <v>25</v>
      </c>
      <c r="B112" s="12" t="s">
        <v>43</v>
      </c>
      <c r="C112" s="12"/>
      <c r="D112" s="12">
        <v>1963</v>
      </c>
    </row>
    <row r="113" spans="1:4" ht="19.899999999999999" customHeight="1">
      <c r="A113" s="11" t="s">
        <v>26</v>
      </c>
      <c r="B113" s="12" t="s">
        <v>43</v>
      </c>
      <c r="C113" s="12"/>
      <c r="D113" s="12">
        <v>1963</v>
      </c>
    </row>
    <row r="114" spans="1:4" ht="19.899999999999999" customHeight="1">
      <c r="A114" s="11" t="s">
        <v>27</v>
      </c>
      <c r="B114" s="12" t="s">
        <v>43</v>
      </c>
      <c r="C114" s="12"/>
      <c r="D114" s="12">
        <v>1963</v>
      </c>
    </row>
    <row r="115" spans="1:4" ht="19.899999999999999" customHeight="1">
      <c r="A115" s="11" t="s">
        <v>28</v>
      </c>
      <c r="B115" s="12" t="s">
        <v>43</v>
      </c>
      <c r="C115" s="12"/>
      <c r="D115" s="12">
        <v>1963</v>
      </c>
    </row>
    <row r="116" spans="1:4" ht="19.899999999999999" customHeight="1">
      <c r="A116" s="11" t="s">
        <v>29</v>
      </c>
      <c r="B116" s="12" t="s">
        <v>43</v>
      </c>
      <c r="C116" s="12"/>
      <c r="D116" s="12">
        <v>1963</v>
      </c>
    </row>
    <row r="117" spans="1:4" ht="19.899999999999999" customHeight="1">
      <c r="A117" s="11" t="s">
        <v>4</v>
      </c>
      <c r="B117" s="12" t="s">
        <v>43</v>
      </c>
      <c r="C117" s="12"/>
      <c r="D117" s="12">
        <v>1964</v>
      </c>
    </row>
    <row r="118" spans="1:4" ht="19.899999999999999" customHeight="1">
      <c r="A118" s="11" t="s">
        <v>5</v>
      </c>
      <c r="B118" s="12" t="s">
        <v>43</v>
      </c>
      <c r="C118" s="12"/>
      <c r="D118" s="12">
        <v>1964</v>
      </c>
    </row>
    <row r="119" spans="1:4" ht="19.899999999999999" customHeight="1">
      <c r="A119" s="11" t="s">
        <v>6</v>
      </c>
      <c r="B119" s="12" t="s">
        <v>43</v>
      </c>
      <c r="C119" s="12"/>
      <c r="D119" s="12">
        <v>1964</v>
      </c>
    </row>
    <row r="120" spans="1:4" ht="19.899999999999999" customHeight="1">
      <c r="A120" s="11" t="s">
        <v>7</v>
      </c>
      <c r="B120" s="12" t="s">
        <v>43</v>
      </c>
      <c r="C120" s="12"/>
      <c r="D120" s="12">
        <v>1964</v>
      </c>
    </row>
    <row r="121" spans="1:4" ht="19.899999999999999" customHeight="1">
      <c r="A121" s="11" t="s">
        <v>8</v>
      </c>
      <c r="B121" s="12" t="s">
        <v>43</v>
      </c>
      <c r="C121" s="12"/>
      <c r="D121" s="12">
        <v>1964</v>
      </c>
    </row>
    <row r="122" spans="1:4" ht="19.899999999999999" customHeight="1">
      <c r="A122" s="11" t="s">
        <v>1</v>
      </c>
      <c r="B122" s="12" t="s">
        <v>43</v>
      </c>
      <c r="C122" s="12"/>
      <c r="D122" s="12">
        <v>1964</v>
      </c>
    </row>
    <row r="123" spans="1:4" ht="19.899999999999999" customHeight="1">
      <c r="A123" s="11" t="s">
        <v>9</v>
      </c>
      <c r="B123" s="12" t="s">
        <v>43</v>
      </c>
      <c r="C123" s="12"/>
      <c r="D123" s="12">
        <v>1964</v>
      </c>
    </row>
    <row r="124" spans="1:4" ht="19.899999999999999" customHeight="1">
      <c r="A124" s="11" t="s">
        <v>10</v>
      </c>
      <c r="B124" s="12" t="s">
        <v>43</v>
      </c>
      <c r="C124" s="12"/>
      <c r="D124" s="12">
        <v>1964</v>
      </c>
    </row>
    <row r="125" spans="1:4" ht="19.899999999999999" customHeight="1">
      <c r="A125" s="11" t="s">
        <v>11</v>
      </c>
      <c r="B125" s="12" t="s">
        <v>43</v>
      </c>
      <c r="C125" s="12"/>
      <c r="D125" s="12">
        <v>1964</v>
      </c>
    </row>
    <row r="126" spans="1:4" ht="19.899999999999999" customHeight="1">
      <c r="A126" s="11" t="s">
        <v>38</v>
      </c>
      <c r="B126" s="12" t="s">
        <v>43</v>
      </c>
      <c r="C126" s="12"/>
      <c r="D126" s="12">
        <v>1964</v>
      </c>
    </row>
    <row r="127" spans="1:4" ht="19.899999999999999" customHeight="1">
      <c r="A127" s="11" t="s">
        <v>12</v>
      </c>
      <c r="B127" s="12" t="s">
        <v>43</v>
      </c>
      <c r="C127" s="12"/>
      <c r="D127" s="12">
        <v>1964</v>
      </c>
    </row>
    <row r="128" spans="1:4" ht="19.899999999999999" customHeight="1">
      <c r="A128" s="11" t="s">
        <v>13</v>
      </c>
      <c r="B128" s="12" t="s">
        <v>43</v>
      </c>
      <c r="C128" s="12"/>
      <c r="D128" s="12">
        <v>1964</v>
      </c>
    </row>
    <row r="129" spans="1:4" ht="19.899999999999999" customHeight="1">
      <c r="A129" s="11" t="s">
        <v>14</v>
      </c>
      <c r="B129" s="12" t="s">
        <v>43</v>
      </c>
      <c r="C129" s="12"/>
      <c r="D129" s="12">
        <v>1964</v>
      </c>
    </row>
    <row r="130" spans="1:4" ht="19.899999999999999" customHeight="1">
      <c r="A130" s="11" t="s">
        <v>15</v>
      </c>
      <c r="B130" s="12" t="s">
        <v>43</v>
      </c>
      <c r="C130" s="12"/>
      <c r="D130" s="12">
        <v>1964</v>
      </c>
    </row>
    <row r="131" spans="1:4" ht="19.899999999999999" customHeight="1">
      <c r="A131" s="11" t="s">
        <v>16</v>
      </c>
      <c r="B131" s="12" t="s">
        <v>43</v>
      </c>
      <c r="C131" s="12"/>
      <c r="D131" s="12">
        <v>1964</v>
      </c>
    </row>
    <row r="132" spans="1:4" ht="19.899999999999999" customHeight="1">
      <c r="A132" s="11" t="s">
        <v>17</v>
      </c>
      <c r="B132" s="12" t="s">
        <v>43</v>
      </c>
      <c r="C132" s="12"/>
      <c r="D132" s="12">
        <v>1964</v>
      </c>
    </row>
    <row r="133" spans="1:4" ht="19.899999999999999" customHeight="1">
      <c r="A133" s="11" t="s">
        <v>18</v>
      </c>
      <c r="B133" s="12" t="s">
        <v>43</v>
      </c>
      <c r="C133" s="12"/>
      <c r="D133" s="12">
        <v>1964</v>
      </c>
    </row>
    <row r="134" spans="1:4" ht="19.899999999999999" customHeight="1">
      <c r="A134" s="11" t="s">
        <v>19</v>
      </c>
      <c r="B134" s="12" t="s">
        <v>43</v>
      </c>
      <c r="C134" s="12"/>
      <c r="D134" s="12">
        <v>1964</v>
      </c>
    </row>
    <row r="135" spans="1:4" ht="19.899999999999999" customHeight="1">
      <c r="A135" s="11" t="s">
        <v>20</v>
      </c>
      <c r="B135" s="12" t="s">
        <v>43</v>
      </c>
      <c r="C135" s="12"/>
      <c r="D135" s="12">
        <v>1964</v>
      </c>
    </row>
    <row r="136" spans="1:4" ht="19.899999999999999" customHeight="1">
      <c r="A136" s="11" t="s">
        <v>21</v>
      </c>
      <c r="B136" s="12" t="s">
        <v>43</v>
      </c>
      <c r="C136" s="12"/>
      <c r="D136" s="12">
        <v>1964</v>
      </c>
    </row>
    <row r="137" spans="1:4" ht="19.899999999999999" customHeight="1">
      <c r="A137" s="11" t="s">
        <v>22</v>
      </c>
      <c r="B137" s="12" t="s">
        <v>43</v>
      </c>
      <c r="C137" s="12"/>
      <c r="D137" s="12">
        <v>1964</v>
      </c>
    </row>
    <row r="138" spans="1:4" ht="19.899999999999999" customHeight="1">
      <c r="A138" s="11" t="s">
        <v>23</v>
      </c>
      <c r="B138" s="12" t="s">
        <v>43</v>
      </c>
      <c r="C138" s="12"/>
      <c r="D138" s="12">
        <v>1964</v>
      </c>
    </row>
    <row r="139" spans="1:4" ht="19.899999999999999" customHeight="1">
      <c r="A139" s="11" t="s">
        <v>24</v>
      </c>
      <c r="B139" s="12" t="s">
        <v>43</v>
      </c>
      <c r="C139" s="12"/>
      <c r="D139" s="12">
        <v>1964</v>
      </c>
    </row>
    <row r="140" spans="1:4" ht="19.899999999999999" customHeight="1">
      <c r="A140" s="11" t="s">
        <v>25</v>
      </c>
      <c r="B140" s="12" t="s">
        <v>43</v>
      </c>
      <c r="C140" s="12"/>
      <c r="D140" s="12">
        <v>1964</v>
      </c>
    </row>
    <row r="141" spans="1:4" ht="19.899999999999999" customHeight="1">
      <c r="A141" s="11" t="s">
        <v>26</v>
      </c>
      <c r="B141" s="12" t="s">
        <v>43</v>
      </c>
      <c r="C141" s="12"/>
      <c r="D141" s="12">
        <v>1964</v>
      </c>
    </row>
    <row r="142" spans="1:4" ht="19.899999999999999" customHeight="1">
      <c r="A142" s="11" t="s">
        <v>27</v>
      </c>
      <c r="B142" s="12" t="s">
        <v>43</v>
      </c>
      <c r="C142" s="12"/>
      <c r="D142" s="12">
        <v>1964</v>
      </c>
    </row>
    <row r="143" spans="1:4" ht="19.899999999999999" customHeight="1">
      <c r="A143" s="11" t="s">
        <v>28</v>
      </c>
      <c r="B143" s="12" t="s">
        <v>43</v>
      </c>
      <c r="C143" s="12"/>
      <c r="D143" s="12">
        <v>1964</v>
      </c>
    </row>
    <row r="144" spans="1:4" ht="19.899999999999999" customHeight="1">
      <c r="A144" s="11" t="s">
        <v>29</v>
      </c>
      <c r="B144" s="12" t="s">
        <v>43</v>
      </c>
      <c r="C144" s="12"/>
      <c r="D144" s="12">
        <v>1964</v>
      </c>
    </row>
    <row r="145" spans="1:4" ht="19.899999999999999" customHeight="1">
      <c r="A145" s="11" t="s">
        <v>4</v>
      </c>
      <c r="B145" s="12" t="s">
        <v>43</v>
      </c>
      <c r="C145" s="12"/>
      <c r="D145" s="12">
        <v>1965</v>
      </c>
    </row>
    <row r="146" spans="1:4" ht="19.899999999999999" customHeight="1">
      <c r="A146" s="11" t="s">
        <v>5</v>
      </c>
      <c r="B146" s="12" t="s">
        <v>43</v>
      </c>
      <c r="C146" s="12"/>
      <c r="D146" s="12">
        <v>1965</v>
      </c>
    </row>
    <row r="147" spans="1:4" ht="19.899999999999999" customHeight="1">
      <c r="A147" s="11" t="s">
        <v>6</v>
      </c>
      <c r="B147" s="12" t="s">
        <v>43</v>
      </c>
      <c r="C147" s="12"/>
      <c r="D147" s="12">
        <v>1965</v>
      </c>
    </row>
    <row r="148" spans="1:4" ht="19.899999999999999" customHeight="1">
      <c r="A148" s="11" t="s">
        <v>7</v>
      </c>
      <c r="B148" s="12" t="s">
        <v>43</v>
      </c>
      <c r="C148" s="12"/>
      <c r="D148" s="12">
        <v>1965</v>
      </c>
    </row>
    <row r="149" spans="1:4" ht="19.899999999999999" customHeight="1">
      <c r="A149" s="11" t="s">
        <v>8</v>
      </c>
      <c r="B149" s="12" t="s">
        <v>43</v>
      </c>
      <c r="C149" s="12"/>
      <c r="D149" s="12">
        <v>1965</v>
      </c>
    </row>
    <row r="150" spans="1:4" ht="19.899999999999999" customHeight="1">
      <c r="A150" s="11" t="s">
        <v>1</v>
      </c>
      <c r="B150" s="12" t="s">
        <v>43</v>
      </c>
      <c r="C150" s="12"/>
      <c r="D150" s="12">
        <v>1965</v>
      </c>
    </row>
    <row r="151" spans="1:4" ht="19.899999999999999" customHeight="1">
      <c r="A151" s="11" t="s">
        <v>9</v>
      </c>
      <c r="B151" s="12" t="s">
        <v>43</v>
      </c>
      <c r="C151" s="12"/>
      <c r="D151" s="12">
        <v>1965</v>
      </c>
    </row>
    <row r="152" spans="1:4" ht="19.899999999999999" customHeight="1">
      <c r="A152" s="11" t="s">
        <v>10</v>
      </c>
      <c r="B152" s="12" t="s">
        <v>43</v>
      </c>
      <c r="C152" s="12"/>
      <c r="D152" s="12">
        <v>1965</v>
      </c>
    </row>
    <row r="153" spans="1:4" ht="19.899999999999999" customHeight="1">
      <c r="A153" s="11" t="s">
        <v>11</v>
      </c>
      <c r="B153" s="12" t="s">
        <v>43</v>
      </c>
      <c r="C153" s="12"/>
      <c r="D153" s="12">
        <v>1965</v>
      </c>
    </row>
    <row r="154" spans="1:4" ht="19.899999999999999" customHeight="1">
      <c r="A154" s="11" t="s">
        <v>38</v>
      </c>
      <c r="B154" s="12" t="s">
        <v>43</v>
      </c>
      <c r="C154" s="12"/>
      <c r="D154" s="12">
        <v>1965</v>
      </c>
    </row>
    <row r="155" spans="1:4" ht="19.899999999999999" customHeight="1">
      <c r="A155" s="11" t="s">
        <v>12</v>
      </c>
      <c r="B155" s="12" t="s">
        <v>43</v>
      </c>
      <c r="C155" s="12"/>
      <c r="D155" s="12">
        <v>1965</v>
      </c>
    </row>
    <row r="156" spans="1:4" ht="19.899999999999999" customHeight="1">
      <c r="A156" s="11" t="s">
        <v>13</v>
      </c>
      <c r="B156" s="12" t="s">
        <v>43</v>
      </c>
      <c r="C156" s="12"/>
      <c r="D156" s="12">
        <v>1965</v>
      </c>
    </row>
    <row r="157" spans="1:4" ht="19.899999999999999" customHeight="1">
      <c r="A157" s="11" t="s">
        <v>14</v>
      </c>
      <c r="B157" s="12" t="s">
        <v>43</v>
      </c>
      <c r="C157" s="12"/>
      <c r="D157" s="12">
        <v>1965</v>
      </c>
    </row>
    <row r="158" spans="1:4" ht="19.899999999999999" customHeight="1">
      <c r="A158" s="11" t="s">
        <v>15</v>
      </c>
      <c r="B158" s="12" t="s">
        <v>43</v>
      </c>
      <c r="C158" s="12"/>
      <c r="D158" s="12">
        <v>1965</v>
      </c>
    </row>
    <row r="159" spans="1:4" ht="19.899999999999999" customHeight="1">
      <c r="A159" s="11" t="s">
        <v>16</v>
      </c>
      <c r="B159" s="12" t="s">
        <v>43</v>
      </c>
      <c r="C159" s="12"/>
      <c r="D159" s="12">
        <v>1965</v>
      </c>
    </row>
    <row r="160" spans="1:4" ht="19.899999999999999" customHeight="1">
      <c r="A160" s="11" t="s">
        <v>17</v>
      </c>
      <c r="B160" s="12" t="s">
        <v>43</v>
      </c>
      <c r="C160" s="12"/>
      <c r="D160" s="12">
        <v>1965</v>
      </c>
    </row>
    <row r="161" spans="1:4" ht="19.899999999999999" customHeight="1">
      <c r="A161" s="11" t="s">
        <v>18</v>
      </c>
      <c r="B161" s="12" t="s">
        <v>43</v>
      </c>
      <c r="C161" s="12"/>
      <c r="D161" s="12">
        <v>1965</v>
      </c>
    </row>
    <row r="162" spans="1:4" ht="19.899999999999999" customHeight="1">
      <c r="A162" s="11" t="s">
        <v>19</v>
      </c>
      <c r="B162" s="12" t="s">
        <v>43</v>
      </c>
      <c r="C162" s="12"/>
      <c r="D162" s="12">
        <v>1965</v>
      </c>
    </row>
    <row r="163" spans="1:4" ht="19.899999999999999" customHeight="1">
      <c r="A163" s="11" t="s">
        <v>20</v>
      </c>
      <c r="B163" s="12" t="s">
        <v>43</v>
      </c>
      <c r="C163" s="12"/>
      <c r="D163" s="12">
        <v>1965</v>
      </c>
    </row>
    <row r="164" spans="1:4" ht="19.899999999999999" customHeight="1">
      <c r="A164" s="11" t="s">
        <v>21</v>
      </c>
      <c r="B164" s="12" t="s">
        <v>43</v>
      </c>
      <c r="C164" s="12"/>
      <c r="D164" s="12">
        <v>1965</v>
      </c>
    </row>
    <row r="165" spans="1:4" ht="19.899999999999999" customHeight="1">
      <c r="A165" s="11" t="s">
        <v>22</v>
      </c>
      <c r="B165" s="12" t="s">
        <v>43</v>
      </c>
      <c r="C165" s="12"/>
      <c r="D165" s="12">
        <v>1965</v>
      </c>
    </row>
    <row r="166" spans="1:4" ht="19.899999999999999" customHeight="1">
      <c r="A166" s="11" t="s">
        <v>23</v>
      </c>
      <c r="B166" s="12" t="s">
        <v>43</v>
      </c>
      <c r="C166" s="12"/>
      <c r="D166" s="12">
        <v>1965</v>
      </c>
    </row>
    <row r="167" spans="1:4" ht="19.899999999999999" customHeight="1">
      <c r="A167" s="11" t="s">
        <v>24</v>
      </c>
      <c r="B167" s="12" t="s">
        <v>43</v>
      </c>
      <c r="C167" s="12"/>
      <c r="D167" s="12">
        <v>1965</v>
      </c>
    </row>
    <row r="168" spans="1:4" ht="19.899999999999999" customHeight="1">
      <c r="A168" s="11" t="s">
        <v>25</v>
      </c>
      <c r="B168" s="12" t="s">
        <v>43</v>
      </c>
      <c r="C168" s="12"/>
      <c r="D168" s="12">
        <v>1965</v>
      </c>
    </row>
    <row r="169" spans="1:4" ht="19.899999999999999" customHeight="1">
      <c r="A169" s="11" t="s">
        <v>26</v>
      </c>
      <c r="B169" s="12" t="s">
        <v>43</v>
      </c>
      <c r="C169" s="12"/>
      <c r="D169" s="12">
        <v>1965</v>
      </c>
    </row>
    <row r="170" spans="1:4" ht="19.899999999999999" customHeight="1">
      <c r="A170" s="11" t="s">
        <v>27</v>
      </c>
      <c r="B170" s="12" t="s">
        <v>43</v>
      </c>
      <c r="C170" s="12"/>
      <c r="D170" s="12">
        <v>1965</v>
      </c>
    </row>
    <row r="171" spans="1:4" ht="19.899999999999999" customHeight="1">
      <c r="A171" s="11" t="s">
        <v>28</v>
      </c>
      <c r="B171" s="12" t="s">
        <v>43</v>
      </c>
      <c r="C171" s="12"/>
      <c r="D171" s="12">
        <v>1965</v>
      </c>
    </row>
    <row r="172" spans="1:4" ht="19.899999999999999" customHeight="1">
      <c r="A172" s="11" t="s">
        <v>29</v>
      </c>
      <c r="B172" s="12" t="s">
        <v>43</v>
      </c>
      <c r="C172" s="12"/>
      <c r="D172" s="12">
        <v>1965</v>
      </c>
    </row>
    <row r="173" spans="1:4" ht="19.899999999999999" customHeight="1">
      <c r="A173" s="11" t="s">
        <v>4</v>
      </c>
      <c r="B173" s="12" t="s">
        <v>43</v>
      </c>
      <c r="C173" s="12"/>
      <c r="D173" s="12">
        <v>1966</v>
      </c>
    </row>
    <row r="174" spans="1:4" ht="19.899999999999999" customHeight="1">
      <c r="A174" s="11" t="s">
        <v>5</v>
      </c>
      <c r="B174" s="12" t="s">
        <v>43</v>
      </c>
      <c r="C174" s="12"/>
      <c r="D174" s="12">
        <v>1966</v>
      </c>
    </row>
    <row r="175" spans="1:4" ht="19.899999999999999" customHeight="1">
      <c r="A175" s="11" t="s">
        <v>6</v>
      </c>
      <c r="B175" s="12" t="s">
        <v>43</v>
      </c>
      <c r="C175" s="12"/>
      <c r="D175" s="12">
        <v>1966</v>
      </c>
    </row>
    <row r="176" spans="1:4" ht="19.899999999999999" customHeight="1">
      <c r="A176" s="11" t="s">
        <v>7</v>
      </c>
      <c r="B176" s="12" t="s">
        <v>43</v>
      </c>
      <c r="C176" s="12"/>
      <c r="D176" s="12">
        <v>1966</v>
      </c>
    </row>
    <row r="177" spans="1:4" ht="19.899999999999999" customHeight="1">
      <c r="A177" s="11" t="s">
        <v>8</v>
      </c>
      <c r="B177" s="12" t="s">
        <v>43</v>
      </c>
      <c r="C177" s="12"/>
      <c r="D177" s="12">
        <v>1966</v>
      </c>
    </row>
    <row r="178" spans="1:4" ht="19.899999999999999" customHeight="1">
      <c r="A178" s="11" t="s">
        <v>1</v>
      </c>
      <c r="B178" s="12" t="s">
        <v>43</v>
      </c>
      <c r="C178" s="12"/>
      <c r="D178" s="12">
        <v>1966</v>
      </c>
    </row>
    <row r="179" spans="1:4" ht="19.899999999999999" customHeight="1">
      <c r="A179" s="11" t="s">
        <v>9</v>
      </c>
      <c r="B179" s="12" t="s">
        <v>43</v>
      </c>
      <c r="C179" s="12"/>
      <c r="D179" s="12">
        <v>1966</v>
      </c>
    </row>
    <row r="180" spans="1:4" ht="19.899999999999999" customHeight="1">
      <c r="A180" s="11" t="s">
        <v>10</v>
      </c>
      <c r="B180" s="12" t="s">
        <v>43</v>
      </c>
      <c r="C180" s="12"/>
      <c r="D180" s="12">
        <v>1966</v>
      </c>
    </row>
    <row r="181" spans="1:4" ht="19.899999999999999" customHeight="1">
      <c r="A181" s="11" t="s">
        <v>11</v>
      </c>
      <c r="B181" s="12" t="s">
        <v>43</v>
      </c>
      <c r="C181" s="12"/>
      <c r="D181" s="12">
        <v>1966</v>
      </c>
    </row>
    <row r="182" spans="1:4" ht="19.899999999999999" customHeight="1">
      <c r="A182" s="11" t="s">
        <v>38</v>
      </c>
      <c r="B182" s="12" t="s">
        <v>43</v>
      </c>
      <c r="C182" s="12"/>
      <c r="D182" s="12">
        <v>1966</v>
      </c>
    </row>
    <row r="183" spans="1:4" ht="19.899999999999999" customHeight="1">
      <c r="A183" s="11" t="s">
        <v>12</v>
      </c>
      <c r="B183" s="12" t="s">
        <v>43</v>
      </c>
      <c r="C183" s="12"/>
      <c r="D183" s="12">
        <v>1966</v>
      </c>
    </row>
    <row r="184" spans="1:4" ht="19.899999999999999" customHeight="1">
      <c r="A184" s="11" t="s">
        <v>13</v>
      </c>
      <c r="B184" s="12" t="s">
        <v>43</v>
      </c>
      <c r="C184" s="12"/>
      <c r="D184" s="12">
        <v>1966</v>
      </c>
    </row>
    <row r="185" spans="1:4" ht="19.899999999999999" customHeight="1">
      <c r="A185" s="11" t="s">
        <v>14</v>
      </c>
      <c r="B185" s="12" t="s">
        <v>43</v>
      </c>
      <c r="C185" s="12"/>
      <c r="D185" s="12">
        <v>1966</v>
      </c>
    </row>
    <row r="186" spans="1:4" ht="19.899999999999999" customHeight="1">
      <c r="A186" s="11" t="s">
        <v>15</v>
      </c>
      <c r="B186" s="12" t="s">
        <v>43</v>
      </c>
      <c r="C186" s="12"/>
      <c r="D186" s="12">
        <v>1966</v>
      </c>
    </row>
    <row r="187" spans="1:4" ht="19.899999999999999" customHeight="1">
      <c r="A187" s="11" t="s">
        <v>16</v>
      </c>
      <c r="B187" s="12" t="s">
        <v>43</v>
      </c>
      <c r="C187" s="12"/>
      <c r="D187" s="12">
        <v>1966</v>
      </c>
    </row>
    <row r="188" spans="1:4" ht="19.899999999999999" customHeight="1">
      <c r="A188" s="11" t="s">
        <v>17</v>
      </c>
      <c r="B188" s="12" t="s">
        <v>43</v>
      </c>
      <c r="C188" s="12"/>
      <c r="D188" s="12">
        <v>1966</v>
      </c>
    </row>
    <row r="189" spans="1:4" ht="19.899999999999999" customHeight="1">
      <c r="A189" s="11" t="s">
        <v>18</v>
      </c>
      <c r="B189" s="12" t="s">
        <v>43</v>
      </c>
      <c r="C189" s="12"/>
      <c r="D189" s="12">
        <v>1966</v>
      </c>
    </row>
    <row r="190" spans="1:4" ht="19.899999999999999" customHeight="1">
      <c r="A190" s="11" t="s">
        <v>19</v>
      </c>
      <c r="B190" s="12" t="s">
        <v>43</v>
      </c>
      <c r="C190" s="12"/>
      <c r="D190" s="12">
        <v>1966</v>
      </c>
    </row>
    <row r="191" spans="1:4" ht="19.899999999999999" customHeight="1">
      <c r="A191" s="11" t="s">
        <v>20</v>
      </c>
      <c r="B191" s="12" t="s">
        <v>43</v>
      </c>
      <c r="C191" s="12"/>
      <c r="D191" s="12">
        <v>1966</v>
      </c>
    </row>
    <row r="192" spans="1:4" ht="19.899999999999999" customHeight="1">
      <c r="A192" s="11" t="s">
        <v>21</v>
      </c>
      <c r="B192" s="12" t="s">
        <v>43</v>
      </c>
      <c r="C192" s="12"/>
      <c r="D192" s="12">
        <v>1966</v>
      </c>
    </row>
    <row r="193" spans="1:4" ht="19.899999999999999" customHeight="1">
      <c r="A193" s="11" t="s">
        <v>22</v>
      </c>
      <c r="B193" s="12" t="s">
        <v>43</v>
      </c>
      <c r="C193" s="12"/>
      <c r="D193" s="12">
        <v>1966</v>
      </c>
    </row>
    <row r="194" spans="1:4" ht="19.899999999999999" customHeight="1">
      <c r="A194" s="11" t="s">
        <v>23</v>
      </c>
      <c r="B194" s="12" t="s">
        <v>43</v>
      </c>
      <c r="C194" s="12"/>
      <c r="D194" s="12">
        <v>1966</v>
      </c>
    </row>
    <row r="195" spans="1:4" ht="19.899999999999999" customHeight="1">
      <c r="A195" s="11" t="s">
        <v>24</v>
      </c>
      <c r="B195" s="12" t="s">
        <v>43</v>
      </c>
      <c r="C195" s="12"/>
      <c r="D195" s="12">
        <v>1966</v>
      </c>
    </row>
    <row r="196" spans="1:4" ht="19.899999999999999" customHeight="1">
      <c r="A196" s="11" t="s">
        <v>25</v>
      </c>
      <c r="B196" s="12" t="s">
        <v>43</v>
      </c>
      <c r="C196" s="12"/>
      <c r="D196" s="12">
        <v>1966</v>
      </c>
    </row>
    <row r="197" spans="1:4" ht="19.899999999999999" customHeight="1">
      <c r="A197" s="11" t="s">
        <v>26</v>
      </c>
      <c r="B197" s="12" t="s">
        <v>43</v>
      </c>
      <c r="C197" s="12"/>
      <c r="D197" s="12">
        <v>1966</v>
      </c>
    </row>
    <row r="198" spans="1:4" ht="19.899999999999999" customHeight="1">
      <c r="A198" s="11" t="s">
        <v>27</v>
      </c>
      <c r="B198" s="12" t="s">
        <v>43</v>
      </c>
      <c r="C198" s="12"/>
      <c r="D198" s="12">
        <v>1966</v>
      </c>
    </row>
    <row r="199" spans="1:4" ht="19.899999999999999" customHeight="1">
      <c r="A199" s="11" t="s">
        <v>28</v>
      </c>
      <c r="B199" s="12" t="s">
        <v>43</v>
      </c>
      <c r="C199" s="12"/>
      <c r="D199" s="12">
        <v>1966</v>
      </c>
    </row>
    <row r="200" spans="1:4" ht="19.899999999999999" customHeight="1">
      <c r="A200" s="11" t="s">
        <v>29</v>
      </c>
      <c r="B200" s="12" t="s">
        <v>43</v>
      </c>
      <c r="C200" s="12"/>
      <c r="D200" s="12">
        <v>1966</v>
      </c>
    </row>
    <row r="201" spans="1:4" ht="19.899999999999999" customHeight="1">
      <c r="A201" s="11" t="s">
        <v>4</v>
      </c>
      <c r="B201" s="12" t="s">
        <v>43</v>
      </c>
      <c r="C201" s="12"/>
      <c r="D201" s="12">
        <v>1967</v>
      </c>
    </row>
    <row r="202" spans="1:4" ht="19.899999999999999" customHeight="1">
      <c r="A202" s="11" t="s">
        <v>5</v>
      </c>
      <c r="B202" s="12" t="s">
        <v>43</v>
      </c>
      <c r="C202" s="12"/>
      <c r="D202" s="12">
        <v>1967</v>
      </c>
    </row>
    <row r="203" spans="1:4" ht="19.899999999999999" customHeight="1">
      <c r="A203" s="11" t="s">
        <v>6</v>
      </c>
      <c r="B203" s="12" t="s">
        <v>43</v>
      </c>
      <c r="C203" s="12"/>
      <c r="D203" s="12">
        <v>1967</v>
      </c>
    </row>
    <row r="204" spans="1:4" ht="19.899999999999999" customHeight="1">
      <c r="A204" s="11" t="s">
        <v>7</v>
      </c>
      <c r="B204" s="12" t="s">
        <v>43</v>
      </c>
      <c r="C204" s="12"/>
      <c r="D204" s="12">
        <v>1967</v>
      </c>
    </row>
    <row r="205" spans="1:4" ht="19.899999999999999" customHeight="1">
      <c r="A205" s="11" t="s">
        <v>8</v>
      </c>
      <c r="B205" s="12" t="s">
        <v>43</v>
      </c>
      <c r="C205" s="12"/>
      <c r="D205" s="12">
        <v>1967</v>
      </c>
    </row>
    <row r="206" spans="1:4" ht="19.899999999999999" customHeight="1">
      <c r="A206" s="11" t="s">
        <v>1</v>
      </c>
      <c r="B206" s="12" t="s">
        <v>43</v>
      </c>
      <c r="C206" s="12"/>
      <c r="D206" s="12">
        <v>1967</v>
      </c>
    </row>
    <row r="207" spans="1:4" ht="19.899999999999999" customHeight="1">
      <c r="A207" s="11" t="s">
        <v>9</v>
      </c>
      <c r="B207" s="12" t="s">
        <v>43</v>
      </c>
      <c r="C207" s="12"/>
      <c r="D207" s="12">
        <v>1967</v>
      </c>
    </row>
    <row r="208" spans="1:4" ht="19.899999999999999" customHeight="1">
      <c r="A208" s="11" t="s">
        <v>10</v>
      </c>
      <c r="B208" s="12" t="s">
        <v>43</v>
      </c>
      <c r="C208" s="12"/>
      <c r="D208" s="12">
        <v>1967</v>
      </c>
    </row>
    <row r="209" spans="1:4" ht="19.899999999999999" customHeight="1">
      <c r="A209" s="11" t="s">
        <v>11</v>
      </c>
      <c r="B209" s="12" t="s">
        <v>43</v>
      </c>
      <c r="C209" s="12"/>
      <c r="D209" s="12">
        <v>1967</v>
      </c>
    </row>
    <row r="210" spans="1:4" ht="19.899999999999999" customHeight="1">
      <c r="A210" s="11" t="s">
        <v>38</v>
      </c>
      <c r="B210" s="12" t="s">
        <v>43</v>
      </c>
      <c r="C210" s="12"/>
      <c r="D210" s="12">
        <v>1967</v>
      </c>
    </row>
    <row r="211" spans="1:4" ht="19.899999999999999" customHeight="1">
      <c r="A211" s="11" t="s">
        <v>12</v>
      </c>
      <c r="B211" s="12" t="s">
        <v>43</v>
      </c>
      <c r="C211" s="12"/>
      <c r="D211" s="12">
        <v>1967</v>
      </c>
    </row>
    <row r="212" spans="1:4" ht="19.899999999999999" customHeight="1">
      <c r="A212" s="11" t="s">
        <v>13</v>
      </c>
      <c r="B212" s="12" t="s">
        <v>43</v>
      </c>
      <c r="C212" s="12"/>
      <c r="D212" s="12">
        <v>1967</v>
      </c>
    </row>
    <row r="213" spans="1:4" ht="19.899999999999999" customHeight="1">
      <c r="A213" s="11" t="s">
        <v>14</v>
      </c>
      <c r="B213" s="12" t="s">
        <v>43</v>
      </c>
      <c r="C213" s="12"/>
      <c r="D213" s="12">
        <v>1967</v>
      </c>
    </row>
    <row r="214" spans="1:4" ht="19.899999999999999" customHeight="1">
      <c r="A214" s="11" t="s">
        <v>15</v>
      </c>
      <c r="B214" s="12" t="s">
        <v>43</v>
      </c>
      <c r="C214" s="12"/>
      <c r="D214" s="12">
        <v>1967</v>
      </c>
    </row>
    <row r="215" spans="1:4" ht="19.899999999999999" customHeight="1">
      <c r="A215" s="11" t="s">
        <v>16</v>
      </c>
      <c r="B215" s="12" t="s">
        <v>43</v>
      </c>
      <c r="C215" s="12"/>
      <c r="D215" s="12">
        <v>1967</v>
      </c>
    </row>
    <row r="216" spans="1:4" ht="19.899999999999999" customHeight="1">
      <c r="A216" s="11" t="s">
        <v>17</v>
      </c>
      <c r="B216" s="12" t="s">
        <v>43</v>
      </c>
      <c r="C216" s="12"/>
      <c r="D216" s="12">
        <v>1967</v>
      </c>
    </row>
    <row r="217" spans="1:4" ht="19.899999999999999" customHeight="1">
      <c r="A217" s="11" t="s">
        <v>18</v>
      </c>
      <c r="B217" s="12" t="s">
        <v>43</v>
      </c>
      <c r="C217" s="12"/>
      <c r="D217" s="12">
        <v>1967</v>
      </c>
    </row>
    <row r="218" spans="1:4" ht="19.899999999999999" customHeight="1">
      <c r="A218" s="11" t="s">
        <v>19</v>
      </c>
      <c r="B218" s="12" t="s">
        <v>43</v>
      </c>
      <c r="C218" s="12"/>
      <c r="D218" s="12">
        <v>1967</v>
      </c>
    </row>
    <row r="219" spans="1:4" ht="19.899999999999999" customHeight="1">
      <c r="A219" s="11" t="s">
        <v>20</v>
      </c>
      <c r="B219" s="12" t="s">
        <v>43</v>
      </c>
      <c r="C219" s="12"/>
      <c r="D219" s="12">
        <v>1967</v>
      </c>
    </row>
    <row r="220" spans="1:4" ht="19.899999999999999" customHeight="1">
      <c r="A220" s="11" t="s">
        <v>21</v>
      </c>
      <c r="B220" s="12" t="s">
        <v>43</v>
      </c>
      <c r="C220" s="12"/>
      <c r="D220" s="12">
        <v>1967</v>
      </c>
    </row>
    <row r="221" spans="1:4" ht="19.899999999999999" customHeight="1">
      <c r="A221" s="11" t="s">
        <v>22</v>
      </c>
      <c r="B221" s="12" t="s">
        <v>43</v>
      </c>
      <c r="C221" s="12"/>
      <c r="D221" s="12">
        <v>1967</v>
      </c>
    </row>
    <row r="222" spans="1:4" ht="19.899999999999999" customHeight="1">
      <c r="A222" s="11" t="s">
        <v>23</v>
      </c>
      <c r="B222" s="12" t="s">
        <v>43</v>
      </c>
      <c r="C222" s="12"/>
      <c r="D222" s="12">
        <v>1967</v>
      </c>
    </row>
    <row r="223" spans="1:4" ht="19.899999999999999" customHeight="1">
      <c r="A223" s="11" t="s">
        <v>24</v>
      </c>
      <c r="B223" s="12" t="s">
        <v>43</v>
      </c>
      <c r="C223" s="12"/>
      <c r="D223" s="12">
        <v>1967</v>
      </c>
    </row>
    <row r="224" spans="1:4" ht="19.899999999999999" customHeight="1">
      <c r="A224" s="11" t="s">
        <v>25</v>
      </c>
      <c r="B224" s="12" t="s">
        <v>43</v>
      </c>
      <c r="C224" s="12"/>
      <c r="D224" s="12">
        <v>1967</v>
      </c>
    </row>
    <row r="225" spans="1:4" ht="19.899999999999999" customHeight="1">
      <c r="A225" s="11" t="s">
        <v>26</v>
      </c>
      <c r="B225" s="12" t="s">
        <v>43</v>
      </c>
      <c r="C225" s="12"/>
      <c r="D225" s="12">
        <v>1967</v>
      </c>
    </row>
    <row r="226" spans="1:4" ht="19.899999999999999" customHeight="1">
      <c r="A226" s="11" t="s">
        <v>27</v>
      </c>
      <c r="B226" s="12" t="s">
        <v>43</v>
      </c>
      <c r="C226" s="12"/>
      <c r="D226" s="12">
        <v>1967</v>
      </c>
    </row>
    <row r="227" spans="1:4" ht="19.899999999999999" customHeight="1">
      <c r="A227" s="11" t="s">
        <v>28</v>
      </c>
      <c r="B227" s="12" t="s">
        <v>43</v>
      </c>
      <c r="C227" s="12"/>
      <c r="D227" s="12">
        <v>1967</v>
      </c>
    </row>
    <row r="228" spans="1:4" ht="19.899999999999999" customHeight="1">
      <c r="A228" s="11" t="s">
        <v>29</v>
      </c>
      <c r="B228" s="12" t="s">
        <v>43</v>
      </c>
      <c r="C228" s="12"/>
      <c r="D228" s="12">
        <v>1967</v>
      </c>
    </row>
    <row r="229" spans="1:4" ht="19.899999999999999" customHeight="1">
      <c r="A229" s="11" t="s">
        <v>4</v>
      </c>
      <c r="B229" s="12" t="s">
        <v>43</v>
      </c>
      <c r="C229" s="12"/>
      <c r="D229" s="12">
        <v>1968</v>
      </c>
    </row>
    <row r="230" spans="1:4" ht="19.899999999999999" customHeight="1">
      <c r="A230" s="11" t="s">
        <v>5</v>
      </c>
      <c r="B230" s="12" t="s">
        <v>43</v>
      </c>
      <c r="C230" s="12"/>
      <c r="D230" s="12">
        <v>1968</v>
      </c>
    </row>
    <row r="231" spans="1:4" ht="19.899999999999999" customHeight="1">
      <c r="A231" s="11" t="s">
        <v>6</v>
      </c>
      <c r="B231" s="12" t="s">
        <v>43</v>
      </c>
      <c r="C231" s="12"/>
      <c r="D231" s="12">
        <v>1968</v>
      </c>
    </row>
    <row r="232" spans="1:4" ht="19.899999999999999" customHeight="1">
      <c r="A232" s="11" t="s">
        <v>7</v>
      </c>
      <c r="B232" s="12" t="s">
        <v>43</v>
      </c>
      <c r="C232" s="12"/>
      <c r="D232" s="12">
        <v>1968</v>
      </c>
    </row>
    <row r="233" spans="1:4" ht="19.899999999999999" customHeight="1">
      <c r="A233" s="11" t="s">
        <v>8</v>
      </c>
      <c r="B233" s="12" t="s">
        <v>43</v>
      </c>
      <c r="C233" s="12"/>
      <c r="D233" s="12">
        <v>1968</v>
      </c>
    </row>
    <row r="234" spans="1:4" ht="19.899999999999999" customHeight="1">
      <c r="A234" s="11" t="s">
        <v>1</v>
      </c>
      <c r="B234" s="12" t="s">
        <v>43</v>
      </c>
      <c r="C234" s="12"/>
      <c r="D234" s="12">
        <v>1968</v>
      </c>
    </row>
    <row r="235" spans="1:4" ht="19.899999999999999" customHeight="1">
      <c r="A235" s="11" t="s">
        <v>9</v>
      </c>
      <c r="B235" s="12" t="s">
        <v>43</v>
      </c>
      <c r="C235" s="12"/>
      <c r="D235" s="12">
        <v>1968</v>
      </c>
    </row>
    <row r="236" spans="1:4" ht="19.899999999999999" customHeight="1">
      <c r="A236" s="11" t="s">
        <v>10</v>
      </c>
      <c r="B236" s="12" t="s">
        <v>43</v>
      </c>
      <c r="C236" s="12"/>
      <c r="D236" s="12">
        <v>1968</v>
      </c>
    </row>
    <row r="237" spans="1:4" ht="19.899999999999999" customHeight="1">
      <c r="A237" s="11" t="s">
        <v>11</v>
      </c>
      <c r="B237" s="12" t="s">
        <v>43</v>
      </c>
      <c r="C237" s="12"/>
      <c r="D237" s="12">
        <v>1968</v>
      </c>
    </row>
    <row r="238" spans="1:4" ht="19.899999999999999" customHeight="1">
      <c r="A238" s="11" t="s">
        <v>38</v>
      </c>
      <c r="B238" s="12" t="s">
        <v>43</v>
      </c>
      <c r="C238" s="12"/>
      <c r="D238" s="12">
        <v>1968</v>
      </c>
    </row>
    <row r="239" spans="1:4" ht="19.899999999999999" customHeight="1">
      <c r="A239" s="11" t="s">
        <v>12</v>
      </c>
      <c r="B239" s="12" t="s">
        <v>43</v>
      </c>
      <c r="C239" s="12"/>
      <c r="D239" s="12">
        <v>1968</v>
      </c>
    </row>
    <row r="240" spans="1:4" ht="19.899999999999999" customHeight="1">
      <c r="A240" s="11" t="s">
        <v>13</v>
      </c>
      <c r="B240" s="12" t="s">
        <v>43</v>
      </c>
      <c r="C240" s="12"/>
      <c r="D240" s="12">
        <v>1968</v>
      </c>
    </row>
    <row r="241" spans="1:4" ht="19.899999999999999" customHeight="1">
      <c r="A241" s="11" t="s">
        <v>14</v>
      </c>
      <c r="B241" s="12" t="s">
        <v>43</v>
      </c>
      <c r="C241" s="12"/>
      <c r="D241" s="12">
        <v>1968</v>
      </c>
    </row>
    <row r="242" spans="1:4" ht="19.899999999999999" customHeight="1">
      <c r="A242" s="11" t="s">
        <v>15</v>
      </c>
      <c r="B242" s="12" t="s">
        <v>43</v>
      </c>
      <c r="C242" s="12"/>
      <c r="D242" s="12">
        <v>1968</v>
      </c>
    </row>
    <row r="243" spans="1:4" ht="19.899999999999999" customHeight="1">
      <c r="A243" s="11" t="s">
        <v>16</v>
      </c>
      <c r="B243" s="12" t="s">
        <v>43</v>
      </c>
      <c r="C243" s="12"/>
      <c r="D243" s="12">
        <v>1968</v>
      </c>
    </row>
    <row r="244" spans="1:4" ht="19.899999999999999" customHeight="1">
      <c r="A244" s="11" t="s">
        <v>17</v>
      </c>
      <c r="B244" s="12" t="s">
        <v>43</v>
      </c>
      <c r="C244" s="12"/>
      <c r="D244" s="12">
        <v>1968</v>
      </c>
    </row>
    <row r="245" spans="1:4" ht="19.899999999999999" customHeight="1">
      <c r="A245" s="11" t="s">
        <v>18</v>
      </c>
      <c r="B245" s="12" t="s">
        <v>43</v>
      </c>
      <c r="C245" s="12"/>
      <c r="D245" s="12">
        <v>1968</v>
      </c>
    </row>
    <row r="246" spans="1:4" ht="19.899999999999999" customHeight="1">
      <c r="A246" s="11" t="s">
        <v>19</v>
      </c>
      <c r="B246" s="12" t="s">
        <v>43</v>
      </c>
      <c r="C246" s="12"/>
      <c r="D246" s="12">
        <v>1968</v>
      </c>
    </row>
    <row r="247" spans="1:4" ht="19.899999999999999" customHeight="1">
      <c r="A247" s="11" t="s">
        <v>20</v>
      </c>
      <c r="B247" s="12" t="s">
        <v>43</v>
      </c>
      <c r="C247" s="12"/>
      <c r="D247" s="12">
        <v>1968</v>
      </c>
    </row>
    <row r="248" spans="1:4" ht="19.899999999999999" customHeight="1">
      <c r="A248" s="11" t="s">
        <v>21</v>
      </c>
      <c r="B248" s="12" t="s">
        <v>43</v>
      </c>
      <c r="C248" s="12"/>
      <c r="D248" s="12">
        <v>1968</v>
      </c>
    </row>
    <row r="249" spans="1:4" ht="19.899999999999999" customHeight="1">
      <c r="A249" s="11" t="s">
        <v>22</v>
      </c>
      <c r="B249" s="12" t="s">
        <v>43</v>
      </c>
      <c r="C249" s="12"/>
      <c r="D249" s="12">
        <v>1968</v>
      </c>
    </row>
    <row r="250" spans="1:4" ht="19.899999999999999" customHeight="1">
      <c r="A250" s="11" t="s">
        <v>23</v>
      </c>
      <c r="B250" s="12" t="s">
        <v>43</v>
      </c>
      <c r="C250" s="12"/>
      <c r="D250" s="12">
        <v>1968</v>
      </c>
    </row>
    <row r="251" spans="1:4" ht="19.899999999999999" customHeight="1">
      <c r="A251" s="11" t="s">
        <v>24</v>
      </c>
      <c r="B251" s="12" t="s">
        <v>43</v>
      </c>
      <c r="C251" s="12"/>
      <c r="D251" s="12">
        <v>1968</v>
      </c>
    </row>
    <row r="252" spans="1:4" ht="19.899999999999999" customHeight="1">
      <c r="A252" s="11" t="s">
        <v>25</v>
      </c>
      <c r="B252" s="12" t="s">
        <v>43</v>
      </c>
      <c r="C252" s="12"/>
      <c r="D252" s="12">
        <v>1968</v>
      </c>
    </row>
    <row r="253" spans="1:4" ht="19.899999999999999" customHeight="1">
      <c r="A253" s="11" t="s">
        <v>26</v>
      </c>
      <c r="B253" s="12" t="s">
        <v>43</v>
      </c>
      <c r="C253" s="12"/>
      <c r="D253" s="12">
        <v>1968</v>
      </c>
    </row>
    <row r="254" spans="1:4" ht="19.899999999999999" customHeight="1">
      <c r="A254" s="11" t="s">
        <v>27</v>
      </c>
      <c r="B254" s="12" t="s">
        <v>43</v>
      </c>
      <c r="C254" s="12"/>
      <c r="D254" s="12">
        <v>1968</v>
      </c>
    </row>
    <row r="255" spans="1:4" ht="19.899999999999999" customHeight="1">
      <c r="A255" s="11" t="s">
        <v>28</v>
      </c>
      <c r="B255" s="12" t="s">
        <v>43</v>
      </c>
      <c r="C255" s="12"/>
      <c r="D255" s="12">
        <v>1968</v>
      </c>
    </row>
    <row r="256" spans="1:4" ht="19.899999999999999" customHeight="1">
      <c r="A256" s="11" t="s">
        <v>29</v>
      </c>
      <c r="B256" s="12" t="s">
        <v>43</v>
      </c>
      <c r="C256" s="12"/>
      <c r="D256" s="12">
        <v>1968</v>
      </c>
    </row>
    <row r="257" spans="1:4" ht="19.899999999999999" customHeight="1">
      <c r="A257" s="11" t="s">
        <v>4</v>
      </c>
      <c r="B257" s="12" t="s">
        <v>43</v>
      </c>
      <c r="C257" s="12"/>
      <c r="D257" s="12">
        <v>1969</v>
      </c>
    </row>
    <row r="258" spans="1:4" ht="19.899999999999999" customHeight="1">
      <c r="A258" s="11" t="s">
        <v>5</v>
      </c>
      <c r="B258" s="12" t="s">
        <v>43</v>
      </c>
      <c r="C258" s="12"/>
      <c r="D258" s="12">
        <v>1969</v>
      </c>
    </row>
    <row r="259" spans="1:4" ht="19.899999999999999" customHeight="1">
      <c r="A259" s="11" t="s">
        <v>6</v>
      </c>
      <c r="B259" s="12" t="s">
        <v>43</v>
      </c>
      <c r="C259" s="12"/>
      <c r="D259" s="12">
        <v>1969</v>
      </c>
    </row>
    <row r="260" spans="1:4" ht="19.899999999999999" customHeight="1">
      <c r="A260" s="11" t="s">
        <v>7</v>
      </c>
      <c r="B260" s="12" t="s">
        <v>43</v>
      </c>
      <c r="C260" s="12"/>
      <c r="D260" s="12">
        <v>1969</v>
      </c>
    </row>
    <row r="261" spans="1:4" ht="19.899999999999999" customHeight="1">
      <c r="A261" s="11" t="s">
        <v>8</v>
      </c>
      <c r="B261" s="12" t="s">
        <v>43</v>
      </c>
      <c r="C261" s="12"/>
      <c r="D261" s="12">
        <v>1969</v>
      </c>
    </row>
    <row r="262" spans="1:4" ht="19.899999999999999" customHeight="1">
      <c r="A262" s="11" t="s">
        <v>1</v>
      </c>
      <c r="B262" s="12" t="s">
        <v>43</v>
      </c>
      <c r="C262" s="12"/>
      <c r="D262" s="12">
        <v>1969</v>
      </c>
    </row>
    <row r="263" spans="1:4" ht="19.899999999999999" customHeight="1">
      <c r="A263" s="11" t="s">
        <v>9</v>
      </c>
      <c r="B263" s="12" t="s">
        <v>43</v>
      </c>
      <c r="C263" s="12"/>
      <c r="D263" s="12">
        <v>1969</v>
      </c>
    </row>
    <row r="264" spans="1:4" ht="19.899999999999999" customHeight="1">
      <c r="A264" s="11" t="s">
        <v>10</v>
      </c>
      <c r="B264" s="12" t="s">
        <v>43</v>
      </c>
      <c r="C264" s="12"/>
      <c r="D264" s="12">
        <v>1969</v>
      </c>
    </row>
    <row r="265" spans="1:4" ht="19.899999999999999" customHeight="1">
      <c r="A265" s="11" t="s">
        <v>11</v>
      </c>
      <c r="B265" s="12" t="s">
        <v>43</v>
      </c>
      <c r="C265" s="12"/>
      <c r="D265" s="12">
        <v>1969</v>
      </c>
    </row>
    <row r="266" spans="1:4" ht="19.899999999999999" customHeight="1">
      <c r="A266" s="11" t="s">
        <v>38</v>
      </c>
      <c r="B266" s="12" t="s">
        <v>43</v>
      </c>
      <c r="C266" s="12"/>
      <c r="D266" s="12">
        <v>1969</v>
      </c>
    </row>
    <row r="267" spans="1:4" ht="19.899999999999999" customHeight="1">
      <c r="A267" s="11" t="s">
        <v>12</v>
      </c>
      <c r="B267" s="12" t="s">
        <v>43</v>
      </c>
      <c r="C267" s="12"/>
      <c r="D267" s="12">
        <v>1969</v>
      </c>
    </row>
    <row r="268" spans="1:4" ht="19.899999999999999" customHeight="1">
      <c r="A268" s="11" t="s">
        <v>13</v>
      </c>
      <c r="B268" s="12" t="s">
        <v>43</v>
      </c>
      <c r="C268" s="12"/>
      <c r="D268" s="12">
        <v>1969</v>
      </c>
    </row>
    <row r="269" spans="1:4" ht="19.899999999999999" customHeight="1">
      <c r="A269" s="11" t="s">
        <v>14</v>
      </c>
      <c r="B269" s="12" t="s">
        <v>43</v>
      </c>
      <c r="C269" s="12"/>
      <c r="D269" s="12">
        <v>1969</v>
      </c>
    </row>
    <row r="270" spans="1:4" ht="19.899999999999999" customHeight="1">
      <c r="A270" s="11" t="s">
        <v>15</v>
      </c>
      <c r="B270" s="12" t="s">
        <v>43</v>
      </c>
      <c r="C270" s="12"/>
      <c r="D270" s="12">
        <v>1969</v>
      </c>
    </row>
    <row r="271" spans="1:4" ht="19.899999999999999" customHeight="1">
      <c r="A271" s="11" t="s">
        <v>16</v>
      </c>
      <c r="B271" s="12" t="s">
        <v>43</v>
      </c>
      <c r="C271" s="12"/>
      <c r="D271" s="12">
        <v>1969</v>
      </c>
    </row>
    <row r="272" spans="1:4" ht="19.899999999999999" customHeight="1">
      <c r="A272" s="11" t="s">
        <v>17</v>
      </c>
      <c r="B272" s="12" t="s">
        <v>43</v>
      </c>
      <c r="C272" s="12"/>
      <c r="D272" s="12">
        <v>1969</v>
      </c>
    </row>
    <row r="273" spans="1:4" ht="19.899999999999999" customHeight="1">
      <c r="A273" s="11" t="s">
        <v>18</v>
      </c>
      <c r="B273" s="12" t="s">
        <v>43</v>
      </c>
      <c r="C273" s="12"/>
      <c r="D273" s="12">
        <v>1969</v>
      </c>
    </row>
    <row r="274" spans="1:4" ht="19.899999999999999" customHeight="1">
      <c r="A274" s="11" t="s">
        <v>19</v>
      </c>
      <c r="B274" s="12" t="s">
        <v>43</v>
      </c>
      <c r="C274" s="12"/>
      <c r="D274" s="12">
        <v>1969</v>
      </c>
    </row>
    <row r="275" spans="1:4" ht="19.899999999999999" customHeight="1">
      <c r="A275" s="11" t="s">
        <v>20</v>
      </c>
      <c r="B275" s="12" t="s">
        <v>43</v>
      </c>
      <c r="C275" s="12"/>
      <c r="D275" s="12">
        <v>1969</v>
      </c>
    </row>
    <row r="276" spans="1:4" ht="19.899999999999999" customHeight="1">
      <c r="A276" s="11" t="s">
        <v>21</v>
      </c>
      <c r="B276" s="12" t="s">
        <v>43</v>
      </c>
      <c r="C276" s="12"/>
      <c r="D276" s="12">
        <v>1969</v>
      </c>
    </row>
    <row r="277" spans="1:4" ht="19.899999999999999" customHeight="1">
      <c r="A277" s="11" t="s">
        <v>22</v>
      </c>
      <c r="B277" s="12" t="s">
        <v>43</v>
      </c>
      <c r="C277" s="12"/>
      <c r="D277" s="12">
        <v>1969</v>
      </c>
    </row>
    <row r="278" spans="1:4" ht="19.899999999999999" customHeight="1">
      <c r="A278" s="11" t="s">
        <v>23</v>
      </c>
      <c r="B278" s="12" t="s">
        <v>43</v>
      </c>
      <c r="C278" s="12"/>
      <c r="D278" s="12">
        <v>1969</v>
      </c>
    </row>
    <row r="279" spans="1:4" ht="19.899999999999999" customHeight="1">
      <c r="A279" s="11" t="s">
        <v>24</v>
      </c>
      <c r="B279" s="12" t="s">
        <v>43</v>
      </c>
      <c r="C279" s="12"/>
      <c r="D279" s="12">
        <v>1969</v>
      </c>
    </row>
    <row r="280" spans="1:4" ht="19.899999999999999" customHeight="1">
      <c r="A280" s="11" t="s">
        <v>25</v>
      </c>
      <c r="B280" s="12" t="s">
        <v>43</v>
      </c>
      <c r="C280" s="12"/>
      <c r="D280" s="12">
        <v>1969</v>
      </c>
    </row>
    <row r="281" spans="1:4" ht="19.899999999999999" customHeight="1">
      <c r="A281" s="11" t="s">
        <v>26</v>
      </c>
      <c r="B281" s="12" t="s">
        <v>43</v>
      </c>
      <c r="C281" s="12"/>
      <c r="D281" s="12">
        <v>1969</v>
      </c>
    </row>
    <row r="282" spans="1:4" ht="19.899999999999999" customHeight="1">
      <c r="A282" s="11" t="s">
        <v>27</v>
      </c>
      <c r="B282" s="12" t="s">
        <v>43</v>
      </c>
      <c r="C282" s="12"/>
      <c r="D282" s="12">
        <v>1969</v>
      </c>
    </row>
    <row r="283" spans="1:4" ht="19.899999999999999" customHeight="1">
      <c r="A283" s="11" t="s">
        <v>28</v>
      </c>
      <c r="B283" s="12" t="s">
        <v>43</v>
      </c>
      <c r="C283" s="12"/>
      <c r="D283" s="12">
        <v>1969</v>
      </c>
    </row>
    <row r="284" spans="1:4" ht="19.899999999999999" customHeight="1">
      <c r="A284" s="11" t="s">
        <v>29</v>
      </c>
      <c r="B284" s="12" t="s">
        <v>43</v>
      </c>
      <c r="C284" s="12"/>
      <c r="D284" s="12">
        <v>1969</v>
      </c>
    </row>
    <row r="285" spans="1:4" ht="19.899999999999999" customHeight="1">
      <c r="A285" s="11" t="s">
        <v>4</v>
      </c>
      <c r="B285" s="12" t="s">
        <v>43</v>
      </c>
      <c r="C285" s="12"/>
      <c r="D285" s="12">
        <v>1970</v>
      </c>
    </row>
    <row r="286" spans="1:4" ht="19.899999999999999" customHeight="1">
      <c r="A286" s="11" t="s">
        <v>5</v>
      </c>
      <c r="B286" s="12" t="s">
        <v>43</v>
      </c>
      <c r="C286" s="12"/>
      <c r="D286" s="12">
        <v>1970</v>
      </c>
    </row>
    <row r="287" spans="1:4" ht="19.899999999999999" customHeight="1">
      <c r="A287" s="11" t="s">
        <v>6</v>
      </c>
      <c r="B287" s="12" t="s">
        <v>43</v>
      </c>
      <c r="C287" s="12"/>
      <c r="D287" s="12">
        <v>1970</v>
      </c>
    </row>
    <row r="288" spans="1:4" ht="19.899999999999999" customHeight="1">
      <c r="A288" s="11" t="s">
        <v>7</v>
      </c>
      <c r="B288" s="12" t="s">
        <v>43</v>
      </c>
      <c r="C288" s="12"/>
      <c r="D288" s="12">
        <v>1970</v>
      </c>
    </row>
    <row r="289" spans="1:4" ht="19.899999999999999" customHeight="1">
      <c r="A289" s="11" t="s">
        <v>8</v>
      </c>
      <c r="B289" s="12" t="s">
        <v>43</v>
      </c>
      <c r="C289" s="12"/>
      <c r="D289" s="12">
        <v>1970</v>
      </c>
    </row>
    <row r="290" spans="1:4" ht="19.899999999999999" customHeight="1">
      <c r="A290" s="11" t="s">
        <v>1</v>
      </c>
      <c r="B290" s="12" t="s">
        <v>43</v>
      </c>
      <c r="C290" s="12"/>
      <c r="D290" s="12">
        <v>1970</v>
      </c>
    </row>
    <row r="291" spans="1:4" ht="19.899999999999999" customHeight="1">
      <c r="A291" s="11" t="s">
        <v>9</v>
      </c>
      <c r="B291" s="12" t="s">
        <v>43</v>
      </c>
      <c r="C291" s="12"/>
      <c r="D291" s="12">
        <v>1970</v>
      </c>
    </row>
    <row r="292" spans="1:4" ht="19.899999999999999" customHeight="1">
      <c r="A292" s="11" t="s">
        <v>10</v>
      </c>
      <c r="B292" s="12" t="s">
        <v>43</v>
      </c>
      <c r="C292" s="12"/>
      <c r="D292" s="12">
        <v>1970</v>
      </c>
    </row>
    <row r="293" spans="1:4" ht="19.899999999999999" customHeight="1">
      <c r="A293" s="11" t="s">
        <v>11</v>
      </c>
      <c r="B293" s="12" t="s">
        <v>43</v>
      </c>
      <c r="C293" s="12">
        <v>62.8223686218262</v>
      </c>
      <c r="D293" s="12">
        <v>1970</v>
      </c>
    </row>
    <row r="294" spans="1:4" ht="19.899999999999999" customHeight="1">
      <c r="A294" s="11" t="s">
        <v>38</v>
      </c>
      <c r="B294" s="12" t="s">
        <v>43</v>
      </c>
      <c r="C294" s="12"/>
      <c r="D294" s="12">
        <v>1970</v>
      </c>
    </row>
    <row r="295" spans="1:4" ht="19.899999999999999" customHeight="1">
      <c r="A295" s="11" t="s">
        <v>12</v>
      </c>
      <c r="B295" s="12" t="s">
        <v>43</v>
      </c>
      <c r="C295" s="12">
        <v>36.469570159912102</v>
      </c>
      <c r="D295" s="12">
        <v>1970</v>
      </c>
    </row>
    <row r="296" spans="1:4" ht="19.899999999999999" customHeight="1">
      <c r="A296" s="11" t="s">
        <v>13</v>
      </c>
      <c r="B296" s="12" t="s">
        <v>43</v>
      </c>
      <c r="C296" s="12"/>
      <c r="D296" s="12">
        <v>1970</v>
      </c>
    </row>
    <row r="297" spans="1:4" ht="19.899999999999999" customHeight="1">
      <c r="A297" s="11" t="s">
        <v>14</v>
      </c>
      <c r="B297" s="12" t="s">
        <v>43</v>
      </c>
      <c r="C297" s="12"/>
      <c r="D297" s="12">
        <v>1970</v>
      </c>
    </row>
    <row r="298" spans="1:4" ht="19.899999999999999" customHeight="1">
      <c r="A298" s="11" t="s">
        <v>15</v>
      </c>
      <c r="B298" s="12" t="s">
        <v>43</v>
      </c>
      <c r="C298" s="12"/>
      <c r="D298" s="12">
        <v>1970</v>
      </c>
    </row>
    <row r="299" spans="1:4" ht="19.899999999999999" customHeight="1">
      <c r="A299" s="11" t="s">
        <v>16</v>
      </c>
      <c r="B299" s="12" t="s">
        <v>43</v>
      </c>
      <c r="C299" s="12"/>
      <c r="D299" s="12">
        <v>1970</v>
      </c>
    </row>
    <row r="300" spans="1:4" ht="19.899999999999999" customHeight="1">
      <c r="A300" s="11" t="s">
        <v>17</v>
      </c>
      <c r="B300" s="12" t="s">
        <v>43</v>
      </c>
      <c r="C300" s="12"/>
      <c r="D300" s="12">
        <v>1970</v>
      </c>
    </row>
    <row r="301" spans="1:4" ht="19.899999999999999" customHeight="1">
      <c r="A301" s="11" t="s">
        <v>18</v>
      </c>
      <c r="B301" s="12" t="s">
        <v>43</v>
      </c>
      <c r="C301" s="12"/>
      <c r="D301" s="12">
        <v>1970</v>
      </c>
    </row>
    <row r="302" spans="1:4" ht="19.899999999999999" customHeight="1">
      <c r="A302" s="11" t="s">
        <v>19</v>
      </c>
      <c r="B302" s="12" t="s">
        <v>43</v>
      </c>
      <c r="C302" s="12">
        <v>25.7564601898193</v>
      </c>
      <c r="D302" s="12">
        <v>1970</v>
      </c>
    </row>
    <row r="303" spans="1:4" ht="19.899999999999999" customHeight="1">
      <c r="A303" s="11" t="s">
        <v>20</v>
      </c>
      <c r="B303" s="12" t="s">
        <v>43</v>
      </c>
      <c r="C303" s="12">
        <v>67.150367736816406</v>
      </c>
      <c r="D303" s="12">
        <v>1970</v>
      </c>
    </row>
    <row r="304" spans="1:4" ht="19.899999999999999" customHeight="1">
      <c r="A304" s="11" t="s">
        <v>21</v>
      </c>
      <c r="B304" s="12" t="s">
        <v>43</v>
      </c>
      <c r="C304" s="12"/>
      <c r="D304" s="12">
        <v>1970</v>
      </c>
    </row>
    <row r="305" spans="1:4" ht="19.899999999999999" customHeight="1">
      <c r="A305" s="11" t="s">
        <v>22</v>
      </c>
      <c r="B305" s="12" t="s">
        <v>43</v>
      </c>
      <c r="C305" s="12"/>
      <c r="D305" s="12">
        <v>1970</v>
      </c>
    </row>
    <row r="306" spans="1:4" ht="19.899999999999999" customHeight="1">
      <c r="A306" s="11" t="s">
        <v>23</v>
      </c>
      <c r="B306" s="12" t="s">
        <v>43</v>
      </c>
      <c r="C306" s="12"/>
      <c r="D306" s="12">
        <v>1970</v>
      </c>
    </row>
    <row r="307" spans="1:4" ht="19.899999999999999" customHeight="1">
      <c r="A307" s="11" t="s">
        <v>24</v>
      </c>
      <c r="B307" s="12" t="s">
        <v>43</v>
      </c>
      <c r="C307" s="12">
        <v>101.31500244140599</v>
      </c>
      <c r="D307" s="12">
        <v>1970</v>
      </c>
    </row>
    <row r="308" spans="1:4" ht="19.899999999999999" customHeight="1">
      <c r="A308" s="11" t="s">
        <v>25</v>
      </c>
      <c r="B308" s="12" t="s">
        <v>43</v>
      </c>
      <c r="C308" s="12"/>
      <c r="D308" s="12">
        <v>1970</v>
      </c>
    </row>
    <row r="309" spans="1:4" ht="19.899999999999999" customHeight="1">
      <c r="A309" s="11" t="s">
        <v>26</v>
      </c>
      <c r="B309" s="12" t="s">
        <v>43</v>
      </c>
      <c r="C309" s="12">
        <v>33.822910308837898</v>
      </c>
      <c r="D309" s="12">
        <v>1970</v>
      </c>
    </row>
    <row r="310" spans="1:4" ht="19.899999999999999" customHeight="1">
      <c r="A310" s="11" t="s">
        <v>27</v>
      </c>
      <c r="B310" s="12" t="s">
        <v>43</v>
      </c>
      <c r="C310" s="12">
        <v>39.614181518554702</v>
      </c>
      <c r="D310" s="12">
        <v>1970</v>
      </c>
    </row>
    <row r="311" spans="1:4" ht="19.899999999999999" customHeight="1">
      <c r="A311" s="11" t="s">
        <v>28</v>
      </c>
      <c r="B311" s="12" t="s">
        <v>43</v>
      </c>
      <c r="C311" s="12">
        <v>88.129356384277301</v>
      </c>
      <c r="D311" s="12">
        <v>1970</v>
      </c>
    </row>
    <row r="312" spans="1:4" ht="19.899999999999999" customHeight="1">
      <c r="A312" s="11" t="s">
        <v>29</v>
      </c>
      <c r="B312" s="12" t="s">
        <v>43</v>
      </c>
      <c r="C312" s="12">
        <v>72.592468261718807</v>
      </c>
      <c r="D312" s="12">
        <v>1970</v>
      </c>
    </row>
    <row r="313" spans="1:4" ht="19.899999999999999" customHeight="1">
      <c r="A313" s="11" t="s">
        <v>4</v>
      </c>
      <c r="B313" s="12" t="s">
        <v>43</v>
      </c>
      <c r="C313" s="12">
        <v>28.352819442748999</v>
      </c>
      <c r="D313" s="12">
        <v>1971</v>
      </c>
    </row>
    <row r="314" spans="1:4" ht="19.899999999999999" customHeight="1">
      <c r="A314" s="11" t="s">
        <v>5</v>
      </c>
      <c r="B314" s="12" t="s">
        <v>43</v>
      </c>
      <c r="C314" s="12">
        <v>92.668029785156307</v>
      </c>
      <c r="D314" s="12">
        <v>1971</v>
      </c>
    </row>
    <row r="315" spans="1:4" ht="19.899999999999999" customHeight="1">
      <c r="A315" s="11" t="s">
        <v>6</v>
      </c>
      <c r="B315" s="12" t="s">
        <v>43</v>
      </c>
      <c r="C315" s="12">
        <v>32.285968780517599</v>
      </c>
      <c r="D315" s="12">
        <v>1971</v>
      </c>
    </row>
    <row r="316" spans="1:4" ht="19.899999999999999" customHeight="1">
      <c r="A316" s="11" t="s">
        <v>7</v>
      </c>
      <c r="B316" s="12" t="s">
        <v>43</v>
      </c>
      <c r="C316" s="12">
        <v>39.269779205322301</v>
      </c>
      <c r="D316" s="12">
        <v>1971</v>
      </c>
    </row>
    <row r="317" spans="1:4" ht="19.899999999999999" customHeight="1">
      <c r="A317" s="11" t="s">
        <v>8</v>
      </c>
      <c r="B317" s="12" t="s">
        <v>43</v>
      </c>
      <c r="C317" s="12">
        <v>24.621400833129901</v>
      </c>
      <c r="D317" s="12">
        <v>1971</v>
      </c>
    </row>
    <row r="318" spans="1:4" ht="19.899999999999999" customHeight="1">
      <c r="A318" s="11" t="s">
        <v>1</v>
      </c>
      <c r="B318" s="12" t="s">
        <v>43</v>
      </c>
      <c r="C318" s="12">
        <v>15.02952003479</v>
      </c>
      <c r="D318" s="12">
        <v>1971</v>
      </c>
    </row>
    <row r="319" spans="1:4" ht="19.899999999999999" customHeight="1">
      <c r="A319" s="11" t="s">
        <v>9</v>
      </c>
      <c r="B319" s="12" t="s">
        <v>43</v>
      </c>
      <c r="C319" s="12">
        <v>30.5165691375732</v>
      </c>
      <c r="D319" s="12">
        <v>1971</v>
      </c>
    </row>
    <row r="320" spans="1:4" ht="19.899999999999999" customHeight="1">
      <c r="A320" s="11" t="s">
        <v>10</v>
      </c>
      <c r="B320" s="12" t="s">
        <v>43</v>
      </c>
      <c r="C320" s="12">
        <v>50.091758728027301</v>
      </c>
      <c r="D320" s="12">
        <v>1971</v>
      </c>
    </row>
    <row r="321" spans="1:4" ht="19.899999999999999" customHeight="1">
      <c r="A321" s="11" t="s">
        <v>11</v>
      </c>
      <c r="B321" s="12" t="s">
        <v>43</v>
      </c>
      <c r="C321" s="12">
        <v>64.684112548828097</v>
      </c>
      <c r="D321" s="12">
        <v>1971</v>
      </c>
    </row>
    <row r="322" spans="1:4" ht="19.899999999999999" customHeight="1">
      <c r="A322" s="11" t="s">
        <v>38</v>
      </c>
      <c r="B322" s="12" t="s">
        <v>43</v>
      </c>
      <c r="C322" s="12"/>
      <c r="D322" s="12">
        <v>1971</v>
      </c>
    </row>
    <row r="323" spans="1:4" ht="19.899999999999999" customHeight="1">
      <c r="A323" s="11" t="s">
        <v>12</v>
      </c>
      <c r="B323" s="12" t="s">
        <v>43</v>
      </c>
      <c r="C323" s="12">
        <v>37.702919006347699</v>
      </c>
      <c r="D323" s="12">
        <v>1971</v>
      </c>
    </row>
    <row r="324" spans="1:4" ht="19.899999999999999" customHeight="1">
      <c r="A324" s="11" t="s">
        <v>13</v>
      </c>
      <c r="B324" s="12" t="s">
        <v>43</v>
      </c>
      <c r="C324" s="12">
        <v>86.115676879882798</v>
      </c>
      <c r="D324" s="12">
        <v>1971</v>
      </c>
    </row>
    <row r="325" spans="1:4" ht="19.899999999999999" customHeight="1">
      <c r="A325" s="11" t="s">
        <v>14</v>
      </c>
      <c r="B325" s="12" t="s">
        <v>43</v>
      </c>
      <c r="C325" s="12">
        <v>40.436740875244098</v>
      </c>
      <c r="D325" s="12">
        <v>1971</v>
      </c>
    </row>
    <row r="326" spans="1:4" ht="19.899999999999999" customHeight="1">
      <c r="A326" s="11" t="s">
        <v>15</v>
      </c>
      <c r="B326" s="12" t="s">
        <v>43</v>
      </c>
      <c r="C326" s="12">
        <v>23.407140731811499</v>
      </c>
      <c r="D326" s="12">
        <v>1971</v>
      </c>
    </row>
    <row r="327" spans="1:4" ht="19.899999999999999" customHeight="1">
      <c r="A327" s="11" t="s">
        <v>16</v>
      </c>
      <c r="B327" s="12" t="s">
        <v>43</v>
      </c>
      <c r="C327" s="12"/>
      <c r="D327" s="12">
        <v>1971</v>
      </c>
    </row>
    <row r="328" spans="1:4" ht="19.899999999999999" customHeight="1">
      <c r="A328" s="11" t="s">
        <v>17</v>
      </c>
      <c r="B328" s="12" t="s">
        <v>43</v>
      </c>
      <c r="C328" s="12">
        <v>39.027359008789098</v>
      </c>
      <c r="D328" s="12">
        <v>1971</v>
      </c>
    </row>
    <row r="329" spans="1:4" ht="19.899999999999999" customHeight="1">
      <c r="A329" s="11" t="s">
        <v>18</v>
      </c>
      <c r="B329" s="12" t="s">
        <v>43</v>
      </c>
      <c r="C329" s="12">
        <v>88.139251708984403</v>
      </c>
      <c r="D329" s="12">
        <v>1971</v>
      </c>
    </row>
    <row r="330" spans="1:4" ht="19.899999999999999" customHeight="1">
      <c r="A330" s="11" t="s">
        <v>19</v>
      </c>
      <c r="B330" s="12" t="s">
        <v>43</v>
      </c>
      <c r="C330" s="12"/>
      <c r="D330" s="12">
        <v>1971</v>
      </c>
    </row>
    <row r="331" spans="1:4" ht="19.899999999999999" customHeight="1">
      <c r="A331" s="11" t="s">
        <v>20</v>
      </c>
      <c r="B331" s="12" t="s">
        <v>43</v>
      </c>
      <c r="C331" s="12">
        <v>70.097389221191406</v>
      </c>
      <c r="D331" s="12">
        <v>1971</v>
      </c>
    </row>
    <row r="332" spans="1:4" ht="19.899999999999999" customHeight="1">
      <c r="A332" s="11" t="s">
        <v>21</v>
      </c>
      <c r="B332" s="12" t="s">
        <v>43</v>
      </c>
      <c r="C332" s="12">
        <v>11.7142896652222</v>
      </c>
      <c r="D332" s="12">
        <v>1971</v>
      </c>
    </row>
    <row r="333" spans="1:4" ht="19.899999999999999" customHeight="1">
      <c r="A333" s="11" t="s">
        <v>22</v>
      </c>
      <c r="B333" s="12" t="s">
        <v>43</v>
      </c>
      <c r="C333" s="12">
        <v>64.660423278808494</v>
      </c>
      <c r="D333" s="12">
        <v>1971</v>
      </c>
    </row>
    <row r="334" spans="1:4" ht="19.899999999999999" customHeight="1">
      <c r="A334" s="11" t="s">
        <v>23</v>
      </c>
      <c r="B334" s="12" t="s">
        <v>43</v>
      </c>
      <c r="C334" s="12">
        <v>111.11385345459</v>
      </c>
      <c r="D334" s="12">
        <v>1971</v>
      </c>
    </row>
    <row r="335" spans="1:4" ht="19.899999999999999" customHeight="1">
      <c r="A335" s="11" t="s">
        <v>24</v>
      </c>
      <c r="B335" s="12" t="s">
        <v>43</v>
      </c>
      <c r="C335" s="12">
        <v>103.136596679688</v>
      </c>
      <c r="D335" s="12">
        <v>1971</v>
      </c>
    </row>
    <row r="336" spans="1:4" ht="19.899999999999999" customHeight="1">
      <c r="A336" s="11" t="s">
        <v>25</v>
      </c>
      <c r="B336" s="12" t="s">
        <v>43</v>
      </c>
      <c r="C336" s="12"/>
      <c r="D336" s="12">
        <v>1971</v>
      </c>
    </row>
    <row r="337" spans="1:4" ht="19.899999999999999" customHeight="1">
      <c r="A337" s="11" t="s">
        <v>26</v>
      </c>
      <c r="B337" s="12" t="s">
        <v>43</v>
      </c>
      <c r="C337" s="12">
        <v>35.227928161621101</v>
      </c>
      <c r="D337" s="12">
        <v>1971</v>
      </c>
    </row>
    <row r="338" spans="1:4" ht="19.899999999999999" customHeight="1">
      <c r="A338" s="11" t="s">
        <v>27</v>
      </c>
      <c r="B338" s="12" t="s">
        <v>43</v>
      </c>
      <c r="C338" s="12">
        <v>41.765918731689503</v>
      </c>
      <c r="D338" s="12">
        <v>1971</v>
      </c>
    </row>
    <row r="339" spans="1:4" ht="19.899999999999999" customHeight="1">
      <c r="A339" s="11" t="s">
        <v>28</v>
      </c>
      <c r="B339" s="12" t="s">
        <v>43</v>
      </c>
      <c r="C339" s="12">
        <v>88.931472778320298</v>
      </c>
      <c r="D339" s="12">
        <v>1971</v>
      </c>
    </row>
    <row r="340" spans="1:4" ht="19.899999999999999" customHeight="1">
      <c r="A340" s="11" t="s">
        <v>29</v>
      </c>
      <c r="B340" s="12" t="s">
        <v>43</v>
      </c>
      <c r="C340" s="12">
        <v>66.160293579101605</v>
      </c>
      <c r="D340" s="12">
        <v>1971</v>
      </c>
    </row>
    <row r="341" spans="1:4" ht="19.899999999999999" customHeight="1">
      <c r="A341" s="11" t="s">
        <v>4</v>
      </c>
      <c r="B341" s="12" t="s">
        <v>43</v>
      </c>
      <c r="C341" s="12">
        <v>27.411329269409201</v>
      </c>
      <c r="D341" s="12">
        <v>1972</v>
      </c>
    </row>
    <row r="342" spans="1:4" ht="19.899999999999999" customHeight="1">
      <c r="A342" s="11" t="s">
        <v>5</v>
      </c>
      <c r="B342" s="12" t="s">
        <v>43</v>
      </c>
      <c r="C342" s="12">
        <v>90.052101135253906</v>
      </c>
      <c r="D342" s="12">
        <v>1972</v>
      </c>
    </row>
    <row r="343" spans="1:4" ht="19.899999999999999" customHeight="1">
      <c r="A343" s="11" t="s">
        <v>6</v>
      </c>
      <c r="B343" s="12" t="s">
        <v>43</v>
      </c>
      <c r="C343" s="12">
        <v>31.660230636596701</v>
      </c>
      <c r="D343" s="12">
        <v>1972</v>
      </c>
    </row>
    <row r="344" spans="1:4" ht="19.899999999999999" customHeight="1">
      <c r="A344" s="11" t="s">
        <v>7</v>
      </c>
      <c r="B344" s="12" t="s">
        <v>43</v>
      </c>
      <c r="C344" s="12">
        <v>39.828208923339801</v>
      </c>
      <c r="D344" s="12">
        <v>1972</v>
      </c>
    </row>
    <row r="345" spans="1:4" ht="19.899999999999999" customHeight="1">
      <c r="A345" s="11" t="s">
        <v>8</v>
      </c>
      <c r="B345" s="12" t="s">
        <v>43</v>
      </c>
      <c r="C345" s="12">
        <v>24.761020660400401</v>
      </c>
      <c r="D345" s="12">
        <v>1972</v>
      </c>
    </row>
    <row r="346" spans="1:4" ht="19.899999999999999" customHeight="1">
      <c r="A346" s="11" t="s">
        <v>1</v>
      </c>
      <c r="B346" s="12" t="s">
        <v>43</v>
      </c>
      <c r="C346" s="12">
        <v>15.861590385436999</v>
      </c>
      <c r="D346" s="12">
        <v>1972</v>
      </c>
    </row>
    <row r="347" spans="1:4" ht="19.899999999999999" customHeight="1">
      <c r="A347" s="11" t="s">
        <v>9</v>
      </c>
      <c r="B347" s="12" t="s">
        <v>43</v>
      </c>
      <c r="C347" s="12">
        <v>25.976890563964801</v>
      </c>
      <c r="D347" s="12">
        <v>1972</v>
      </c>
    </row>
    <row r="348" spans="1:4" ht="19.899999999999999" customHeight="1">
      <c r="A348" s="11" t="s">
        <v>10</v>
      </c>
      <c r="B348" s="12" t="s">
        <v>43</v>
      </c>
      <c r="C348" s="12">
        <v>52.154811859130902</v>
      </c>
      <c r="D348" s="12">
        <v>1972</v>
      </c>
    </row>
    <row r="349" spans="1:4" ht="19.899999999999999" customHeight="1">
      <c r="A349" s="11" t="s">
        <v>11</v>
      </c>
      <c r="B349" s="12" t="s">
        <v>43</v>
      </c>
      <c r="C349" s="12">
        <v>68.682319641113295</v>
      </c>
      <c r="D349" s="12">
        <v>1972</v>
      </c>
    </row>
    <row r="350" spans="1:4" ht="19.899999999999999" customHeight="1">
      <c r="A350" s="11" t="s">
        <v>38</v>
      </c>
      <c r="B350" s="12" t="s">
        <v>43</v>
      </c>
      <c r="C350" s="12"/>
      <c r="D350" s="12">
        <v>1972</v>
      </c>
    </row>
    <row r="351" spans="1:4" ht="19.899999999999999" customHeight="1">
      <c r="A351" s="11" t="s">
        <v>12</v>
      </c>
      <c r="B351" s="12" t="s">
        <v>43</v>
      </c>
      <c r="C351" s="12">
        <v>38.820808410644503</v>
      </c>
      <c r="D351" s="12">
        <v>1972</v>
      </c>
    </row>
    <row r="352" spans="1:4" ht="19.899999999999999" customHeight="1">
      <c r="A352" s="11" t="s">
        <v>13</v>
      </c>
      <c r="B352" s="12" t="s">
        <v>43</v>
      </c>
      <c r="C352" s="12">
        <v>89.400016784667997</v>
      </c>
      <c r="D352" s="12">
        <v>1972</v>
      </c>
    </row>
    <row r="353" spans="1:4" ht="19.899999999999999" customHeight="1">
      <c r="A353" s="11" t="s">
        <v>14</v>
      </c>
      <c r="B353" s="12" t="s">
        <v>43</v>
      </c>
      <c r="C353" s="12">
        <v>46.947750091552699</v>
      </c>
      <c r="D353" s="12">
        <v>1972</v>
      </c>
    </row>
    <row r="354" spans="1:4" ht="19.899999999999999" customHeight="1">
      <c r="A354" s="11" t="s">
        <v>15</v>
      </c>
      <c r="B354" s="12" t="s">
        <v>43</v>
      </c>
      <c r="C354" s="12">
        <v>24.551010131835898</v>
      </c>
      <c r="D354" s="12">
        <v>1972</v>
      </c>
    </row>
    <row r="355" spans="1:4" ht="19.899999999999999" customHeight="1">
      <c r="A355" s="11" t="s">
        <v>16</v>
      </c>
      <c r="B355" s="12" t="s">
        <v>43</v>
      </c>
      <c r="C355" s="12"/>
      <c r="D355" s="12">
        <v>1972</v>
      </c>
    </row>
    <row r="356" spans="1:4" ht="19.899999999999999" customHeight="1">
      <c r="A356" s="11" t="s">
        <v>17</v>
      </c>
      <c r="B356" s="12" t="s">
        <v>43</v>
      </c>
      <c r="C356" s="12">
        <v>34.419410705566399</v>
      </c>
      <c r="D356" s="12">
        <v>1972</v>
      </c>
    </row>
    <row r="357" spans="1:4" ht="19.899999999999999" customHeight="1">
      <c r="A357" s="11" t="s">
        <v>18</v>
      </c>
      <c r="B357" s="12" t="s">
        <v>43</v>
      </c>
      <c r="C357" s="12">
        <v>86.609153747558494</v>
      </c>
      <c r="D357" s="12">
        <v>1972</v>
      </c>
    </row>
    <row r="358" spans="1:4" ht="19.899999999999999" customHeight="1">
      <c r="A358" s="11" t="s">
        <v>19</v>
      </c>
      <c r="B358" s="12" t="s">
        <v>43</v>
      </c>
      <c r="C358" s="12">
        <v>40.847110748291001</v>
      </c>
      <c r="D358" s="12">
        <v>1972</v>
      </c>
    </row>
    <row r="359" spans="1:4" ht="19.899999999999999" customHeight="1">
      <c r="A359" s="11" t="s">
        <v>20</v>
      </c>
      <c r="B359" s="12" t="s">
        <v>43</v>
      </c>
      <c r="C359" s="12">
        <v>69.975158691406307</v>
      </c>
      <c r="D359" s="12">
        <v>1972</v>
      </c>
    </row>
    <row r="360" spans="1:4" ht="19.899999999999999" customHeight="1">
      <c r="A360" s="11" t="s">
        <v>21</v>
      </c>
      <c r="B360" s="12" t="s">
        <v>43</v>
      </c>
      <c r="C360" s="12">
        <v>12.1438798904419</v>
      </c>
      <c r="D360" s="12">
        <v>1972</v>
      </c>
    </row>
    <row r="361" spans="1:4" ht="19.899999999999999" customHeight="1">
      <c r="A361" s="11" t="s">
        <v>22</v>
      </c>
      <c r="B361" s="12" t="s">
        <v>43</v>
      </c>
      <c r="C361" s="12">
        <v>61.474010467529197</v>
      </c>
      <c r="D361" s="12">
        <v>1972</v>
      </c>
    </row>
    <row r="362" spans="1:4" ht="19.899999999999999" customHeight="1">
      <c r="A362" s="11" t="s">
        <v>23</v>
      </c>
      <c r="B362" s="12" t="s">
        <v>43</v>
      </c>
      <c r="C362" s="12">
        <v>123.414993286133</v>
      </c>
      <c r="D362" s="12">
        <v>1972</v>
      </c>
    </row>
    <row r="363" spans="1:4" ht="19.899999999999999" customHeight="1">
      <c r="A363" s="11" t="s">
        <v>24</v>
      </c>
      <c r="B363" s="12" t="s">
        <v>43</v>
      </c>
      <c r="C363" s="12">
        <v>93.407119750976605</v>
      </c>
      <c r="D363" s="12">
        <v>1972</v>
      </c>
    </row>
    <row r="364" spans="1:4" ht="19.899999999999999" customHeight="1">
      <c r="A364" s="11" t="s">
        <v>25</v>
      </c>
      <c r="B364" s="12" t="s">
        <v>43</v>
      </c>
      <c r="C364" s="12"/>
      <c r="D364" s="12">
        <v>1972</v>
      </c>
    </row>
    <row r="365" spans="1:4" ht="19.899999999999999" customHeight="1">
      <c r="A365" s="11" t="s">
        <v>26</v>
      </c>
      <c r="B365" s="12" t="s">
        <v>43</v>
      </c>
      <c r="C365" s="12">
        <v>37.571338653564503</v>
      </c>
      <c r="D365" s="12">
        <v>1972</v>
      </c>
    </row>
    <row r="366" spans="1:4" ht="19.899999999999999" customHeight="1">
      <c r="A366" s="11" t="s">
        <v>27</v>
      </c>
      <c r="B366" s="12" t="s">
        <v>43</v>
      </c>
      <c r="C366" s="12">
        <v>39.956188201904197</v>
      </c>
      <c r="D366" s="12">
        <v>1972</v>
      </c>
    </row>
    <row r="367" spans="1:4" ht="19.899999999999999" customHeight="1">
      <c r="A367" s="11" t="s">
        <v>28</v>
      </c>
      <c r="B367" s="12" t="s">
        <v>43</v>
      </c>
      <c r="C367" s="12">
        <v>91.105667114257798</v>
      </c>
      <c r="D367" s="12">
        <v>1972</v>
      </c>
    </row>
    <row r="368" spans="1:4" ht="19.899999999999999" customHeight="1">
      <c r="A368" s="11" t="s">
        <v>29</v>
      </c>
      <c r="B368" s="12" t="s">
        <v>43</v>
      </c>
      <c r="C368" s="12">
        <v>69.1793212890625</v>
      </c>
      <c r="D368" s="12">
        <v>1972</v>
      </c>
    </row>
    <row r="369" spans="1:4" ht="19.899999999999999" customHeight="1">
      <c r="A369" s="11" t="s">
        <v>4</v>
      </c>
      <c r="B369" s="12" t="s">
        <v>43</v>
      </c>
      <c r="C369" s="12">
        <v>23.656980514526399</v>
      </c>
      <c r="D369" s="12">
        <v>1973</v>
      </c>
    </row>
    <row r="370" spans="1:4" ht="19.899999999999999" customHeight="1">
      <c r="A370" s="11" t="s">
        <v>5</v>
      </c>
      <c r="B370" s="12" t="s">
        <v>43</v>
      </c>
      <c r="C370" s="12">
        <v>90.312149047851605</v>
      </c>
      <c r="D370" s="12">
        <v>1973</v>
      </c>
    </row>
    <row r="371" spans="1:4" ht="19.899999999999999" customHeight="1">
      <c r="A371" s="11" t="s">
        <v>6</v>
      </c>
      <c r="B371" s="12" t="s">
        <v>43</v>
      </c>
      <c r="C371" s="12">
        <v>31.629350662231399</v>
      </c>
      <c r="D371" s="12">
        <v>1973</v>
      </c>
    </row>
    <row r="372" spans="1:4" ht="19.899999999999999" customHeight="1">
      <c r="A372" s="11" t="s">
        <v>7</v>
      </c>
      <c r="B372" s="12" t="s">
        <v>43</v>
      </c>
      <c r="C372" s="12">
        <v>50.284141540527301</v>
      </c>
      <c r="D372" s="12">
        <v>1973</v>
      </c>
    </row>
    <row r="373" spans="1:4" ht="19.899999999999999" customHeight="1">
      <c r="A373" s="11" t="s">
        <v>8</v>
      </c>
      <c r="B373" s="12" t="s">
        <v>43</v>
      </c>
      <c r="C373" s="12">
        <v>25.7512607574463</v>
      </c>
      <c r="D373" s="12">
        <v>1973</v>
      </c>
    </row>
    <row r="374" spans="1:4" ht="19.899999999999999" customHeight="1">
      <c r="A374" s="11" t="s">
        <v>1</v>
      </c>
      <c r="B374" s="12" t="s">
        <v>43</v>
      </c>
      <c r="C374" s="12">
        <v>16.2753791809082</v>
      </c>
      <c r="D374" s="12">
        <v>1973</v>
      </c>
    </row>
    <row r="375" spans="1:4" ht="19.899999999999999" customHeight="1">
      <c r="A375" s="11" t="s">
        <v>9</v>
      </c>
      <c r="B375" s="12" t="s">
        <v>43</v>
      </c>
      <c r="C375" s="12">
        <v>30.002609252929702</v>
      </c>
      <c r="D375" s="12">
        <v>1973</v>
      </c>
    </row>
    <row r="376" spans="1:4" ht="19.899999999999999" customHeight="1">
      <c r="A376" s="11" t="s">
        <v>10</v>
      </c>
      <c r="B376" s="12" t="s">
        <v>43</v>
      </c>
      <c r="C376" s="12">
        <v>53.558010101318402</v>
      </c>
      <c r="D376" s="12">
        <v>1973</v>
      </c>
    </row>
    <row r="377" spans="1:4" ht="19.899999999999999" customHeight="1">
      <c r="A377" s="11" t="s">
        <v>11</v>
      </c>
      <c r="B377" s="12" t="s">
        <v>43</v>
      </c>
      <c r="C377" s="12">
        <v>71.798088073730497</v>
      </c>
      <c r="D377" s="12">
        <v>1973</v>
      </c>
    </row>
    <row r="378" spans="1:4" ht="19.899999999999999" customHeight="1">
      <c r="A378" s="11" t="s">
        <v>38</v>
      </c>
      <c r="B378" s="12" t="s">
        <v>43</v>
      </c>
      <c r="C378" s="12"/>
      <c r="D378" s="12">
        <v>1973</v>
      </c>
    </row>
    <row r="379" spans="1:4" ht="19.899999999999999" customHeight="1">
      <c r="A379" s="11" t="s">
        <v>12</v>
      </c>
      <c r="B379" s="12" t="s">
        <v>43</v>
      </c>
      <c r="C379" s="12"/>
      <c r="D379" s="12">
        <v>1973</v>
      </c>
    </row>
    <row r="380" spans="1:4" ht="19.899999999999999" customHeight="1">
      <c r="A380" s="11" t="s">
        <v>13</v>
      </c>
      <c r="B380" s="12" t="s">
        <v>43</v>
      </c>
      <c r="C380" s="12">
        <v>88.877746582031307</v>
      </c>
      <c r="D380" s="12">
        <v>1973</v>
      </c>
    </row>
    <row r="381" spans="1:4" ht="19.899999999999999" customHeight="1">
      <c r="A381" s="11" t="s">
        <v>14</v>
      </c>
      <c r="B381" s="12" t="s">
        <v>43</v>
      </c>
      <c r="C381" s="12">
        <v>50.795909881591697</v>
      </c>
      <c r="D381" s="12">
        <v>1973</v>
      </c>
    </row>
    <row r="382" spans="1:4" ht="19.899999999999999" customHeight="1">
      <c r="A382" s="11" t="s">
        <v>15</v>
      </c>
      <c r="B382" s="12" t="s">
        <v>43</v>
      </c>
      <c r="C382" s="12">
        <v>24.877140045166001</v>
      </c>
      <c r="D382" s="12">
        <v>1973</v>
      </c>
    </row>
    <row r="383" spans="1:4" ht="19.899999999999999" customHeight="1">
      <c r="A383" s="11" t="s">
        <v>16</v>
      </c>
      <c r="B383" s="12" t="s">
        <v>43</v>
      </c>
      <c r="C383" s="12"/>
      <c r="D383" s="12">
        <v>1973</v>
      </c>
    </row>
    <row r="384" spans="1:4" ht="19.899999999999999" customHeight="1">
      <c r="A384" s="11" t="s">
        <v>17</v>
      </c>
      <c r="B384" s="12" t="s">
        <v>43</v>
      </c>
      <c r="C384" s="12">
        <v>43.162258148193402</v>
      </c>
      <c r="D384" s="12">
        <v>1973</v>
      </c>
    </row>
    <row r="385" spans="1:4" ht="19.899999999999999" customHeight="1">
      <c r="A385" s="11" t="s">
        <v>18</v>
      </c>
      <c r="B385" s="12" t="s">
        <v>43</v>
      </c>
      <c r="C385" s="12">
        <v>87.014869689941406</v>
      </c>
      <c r="D385" s="12">
        <v>1973</v>
      </c>
    </row>
    <row r="386" spans="1:4" ht="19.899999999999999" customHeight="1">
      <c r="A386" s="11" t="s">
        <v>19</v>
      </c>
      <c r="B386" s="12" t="s">
        <v>43</v>
      </c>
      <c r="C386" s="12">
        <v>42.3950004577637</v>
      </c>
      <c r="D386" s="12">
        <v>1973</v>
      </c>
    </row>
    <row r="387" spans="1:4" ht="19.899999999999999" customHeight="1">
      <c r="A387" s="11" t="s">
        <v>20</v>
      </c>
      <c r="B387" s="12" t="s">
        <v>43</v>
      </c>
      <c r="C387" s="12">
        <v>71.615737915039105</v>
      </c>
      <c r="D387" s="12">
        <v>1973</v>
      </c>
    </row>
    <row r="388" spans="1:4" ht="19.899999999999999" customHeight="1">
      <c r="A388" s="11" t="s">
        <v>21</v>
      </c>
      <c r="B388" s="12" t="s">
        <v>43</v>
      </c>
      <c r="C388" s="12">
        <v>12.5519399642944</v>
      </c>
      <c r="D388" s="12">
        <v>1973</v>
      </c>
    </row>
    <row r="389" spans="1:4" ht="19.899999999999999" customHeight="1">
      <c r="A389" s="11" t="s">
        <v>22</v>
      </c>
      <c r="B389" s="12" t="s">
        <v>43</v>
      </c>
      <c r="C389" s="12">
        <v>59.732181549072301</v>
      </c>
      <c r="D389" s="12">
        <v>1973</v>
      </c>
    </row>
    <row r="390" spans="1:4" ht="19.899999999999999" customHeight="1">
      <c r="A390" s="11" t="s">
        <v>23</v>
      </c>
      <c r="B390" s="12" t="s">
        <v>43</v>
      </c>
      <c r="C390" s="12">
        <v>145.99952697753901</v>
      </c>
      <c r="D390" s="12">
        <v>1973</v>
      </c>
    </row>
    <row r="391" spans="1:4" ht="19.899999999999999" customHeight="1">
      <c r="A391" s="11" t="s">
        <v>24</v>
      </c>
      <c r="B391" s="12" t="s">
        <v>43</v>
      </c>
      <c r="C391" s="12">
        <v>90.800468444824205</v>
      </c>
      <c r="D391" s="12">
        <v>1973</v>
      </c>
    </row>
    <row r="392" spans="1:4" ht="19.899999999999999" customHeight="1">
      <c r="A392" s="11" t="s">
        <v>25</v>
      </c>
      <c r="B392" s="12" t="s">
        <v>43</v>
      </c>
      <c r="C392" s="12"/>
      <c r="D392" s="12">
        <v>1973</v>
      </c>
    </row>
    <row r="393" spans="1:4" ht="19.899999999999999" customHeight="1">
      <c r="A393" s="11" t="s">
        <v>26</v>
      </c>
      <c r="B393" s="12" t="s">
        <v>43</v>
      </c>
      <c r="C393" s="12">
        <v>40.140731811523402</v>
      </c>
      <c r="D393" s="12">
        <v>1973</v>
      </c>
    </row>
    <row r="394" spans="1:4" ht="19.899999999999999" customHeight="1">
      <c r="A394" s="11" t="s">
        <v>27</v>
      </c>
      <c r="B394" s="12" t="s">
        <v>43</v>
      </c>
      <c r="C394" s="12">
        <v>40.295120239257798</v>
      </c>
      <c r="D394" s="12">
        <v>1973</v>
      </c>
    </row>
    <row r="395" spans="1:4" ht="19.899999999999999" customHeight="1">
      <c r="A395" s="11" t="s">
        <v>28</v>
      </c>
      <c r="B395" s="12" t="s">
        <v>43</v>
      </c>
      <c r="C395" s="12">
        <v>91.357482910156307</v>
      </c>
      <c r="D395" s="12">
        <v>1973</v>
      </c>
    </row>
    <row r="396" spans="1:4" ht="19.899999999999999" customHeight="1">
      <c r="A396" s="11" t="s">
        <v>29</v>
      </c>
      <c r="B396" s="12" t="s">
        <v>43</v>
      </c>
      <c r="C396" s="12">
        <v>69.772727966308494</v>
      </c>
      <c r="D396" s="12">
        <v>1973</v>
      </c>
    </row>
    <row r="397" spans="1:4" ht="19.899999999999999" customHeight="1">
      <c r="A397" s="11" t="s">
        <v>4</v>
      </c>
      <c r="B397" s="12" t="s">
        <v>43</v>
      </c>
      <c r="C397" s="12">
        <v>21.581249237060501</v>
      </c>
      <c r="D397" s="12">
        <v>1974</v>
      </c>
    </row>
    <row r="398" spans="1:4" ht="19.899999999999999" customHeight="1">
      <c r="A398" s="11" t="s">
        <v>5</v>
      </c>
      <c r="B398" s="12" t="s">
        <v>43</v>
      </c>
      <c r="C398" s="12">
        <v>91.349853515625</v>
      </c>
      <c r="D398" s="12">
        <v>1974</v>
      </c>
    </row>
    <row r="399" spans="1:4" ht="19.899999999999999" customHeight="1">
      <c r="A399" s="11" t="s">
        <v>6</v>
      </c>
      <c r="B399" s="12" t="s">
        <v>43</v>
      </c>
      <c r="C399" s="12">
        <v>32.430019378662102</v>
      </c>
      <c r="D399" s="12">
        <v>1974</v>
      </c>
    </row>
    <row r="400" spans="1:4" ht="19.899999999999999" customHeight="1">
      <c r="A400" s="11" t="s">
        <v>7</v>
      </c>
      <c r="B400" s="12" t="s">
        <v>43</v>
      </c>
      <c r="C400" s="12">
        <v>56.839679718017599</v>
      </c>
      <c r="D400" s="12">
        <v>1974</v>
      </c>
    </row>
    <row r="401" spans="1:4" ht="19.899999999999999" customHeight="1">
      <c r="A401" s="11" t="s">
        <v>8</v>
      </c>
      <c r="B401" s="12" t="s">
        <v>43</v>
      </c>
      <c r="C401" s="12">
        <v>26.2495002746582</v>
      </c>
      <c r="D401" s="12">
        <v>1974</v>
      </c>
    </row>
    <row r="402" spans="1:4" ht="19.899999999999999" customHeight="1">
      <c r="A402" s="11" t="s">
        <v>1</v>
      </c>
      <c r="B402" s="12" t="s">
        <v>43</v>
      </c>
      <c r="C402" s="12">
        <v>17.7330207824707</v>
      </c>
      <c r="D402" s="12">
        <v>1974</v>
      </c>
    </row>
    <row r="403" spans="1:4" ht="19.899999999999999" customHeight="1">
      <c r="A403" s="11" t="s">
        <v>9</v>
      </c>
      <c r="B403" s="12" t="s">
        <v>43</v>
      </c>
      <c r="C403" s="12">
        <v>30.793289184570298</v>
      </c>
      <c r="D403" s="12">
        <v>1974</v>
      </c>
    </row>
    <row r="404" spans="1:4" ht="19.899999999999999" customHeight="1">
      <c r="A404" s="11" t="s">
        <v>10</v>
      </c>
      <c r="B404" s="12" t="s">
        <v>43</v>
      </c>
      <c r="C404" s="12">
        <v>55.128490447997997</v>
      </c>
      <c r="D404" s="12">
        <v>1974</v>
      </c>
    </row>
    <row r="405" spans="1:4" ht="19.899999999999999" customHeight="1">
      <c r="A405" s="11" t="s">
        <v>11</v>
      </c>
      <c r="B405" s="12" t="s">
        <v>43</v>
      </c>
      <c r="C405" s="12">
        <v>106.334663391113</v>
      </c>
      <c r="D405" s="12">
        <v>1974</v>
      </c>
    </row>
    <row r="406" spans="1:4" ht="19.899999999999999" customHeight="1">
      <c r="A406" s="11" t="s">
        <v>38</v>
      </c>
      <c r="B406" s="12" t="s">
        <v>43</v>
      </c>
      <c r="C406" s="12"/>
      <c r="D406" s="12">
        <v>1974</v>
      </c>
    </row>
    <row r="407" spans="1:4" ht="19.899999999999999" customHeight="1">
      <c r="A407" s="11" t="s">
        <v>12</v>
      </c>
      <c r="B407" s="12" t="s">
        <v>43</v>
      </c>
      <c r="C407" s="12"/>
      <c r="D407" s="12">
        <v>1974</v>
      </c>
    </row>
    <row r="408" spans="1:4" ht="19.899999999999999" customHeight="1">
      <c r="A408" s="11" t="s">
        <v>13</v>
      </c>
      <c r="B408" s="12" t="s">
        <v>43</v>
      </c>
      <c r="C408" s="12">
        <v>86.495918273925795</v>
      </c>
      <c r="D408" s="12">
        <v>1974</v>
      </c>
    </row>
    <row r="409" spans="1:4" ht="19.899999999999999" customHeight="1">
      <c r="A409" s="11" t="s">
        <v>14</v>
      </c>
      <c r="B409" s="12" t="s">
        <v>43</v>
      </c>
      <c r="C409" s="12">
        <v>55.758460998535199</v>
      </c>
      <c r="D409" s="12">
        <v>1974</v>
      </c>
    </row>
    <row r="410" spans="1:4" ht="19.899999999999999" customHeight="1">
      <c r="A410" s="11" t="s">
        <v>15</v>
      </c>
      <c r="B410" s="12" t="s">
        <v>43</v>
      </c>
      <c r="C410" s="12">
        <v>25.5872592926025</v>
      </c>
      <c r="D410" s="12">
        <v>1974</v>
      </c>
    </row>
    <row r="411" spans="1:4" ht="19.899999999999999" customHeight="1">
      <c r="A411" s="11" t="s">
        <v>16</v>
      </c>
      <c r="B411" s="12" t="s">
        <v>43</v>
      </c>
      <c r="C411" s="12"/>
      <c r="D411" s="12">
        <v>1974</v>
      </c>
    </row>
    <row r="412" spans="1:4" ht="19.899999999999999" customHeight="1">
      <c r="A412" s="11" t="s">
        <v>17</v>
      </c>
      <c r="B412" s="12" t="s">
        <v>43</v>
      </c>
      <c r="C412" s="12"/>
      <c r="D412" s="12">
        <v>1974</v>
      </c>
    </row>
    <row r="413" spans="1:4" ht="19.899999999999999" customHeight="1">
      <c r="A413" s="11" t="s">
        <v>18</v>
      </c>
      <c r="B413" s="12" t="s">
        <v>43</v>
      </c>
      <c r="C413" s="12">
        <v>86.151260375976605</v>
      </c>
      <c r="D413" s="12">
        <v>1974</v>
      </c>
    </row>
    <row r="414" spans="1:4" ht="19.899999999999999" customHeight="1">
      <c r="A414" s="11" t="s">
        <v>19</v>
      </c>
      <c r="B414" s="12" t="s">
        <v>43</v>
      </c>
      <c r="C414" s="12">
        <v>46.540519714355497</v>
      </c>
      <c r="D414" s="12">
        <v>1974</v>
      </c>
    </row>
    <row r="415" spans="1:4" ht="19.899999999999999" customHeight="1">
      <c r="A415" s="11" t="s">
        <v>20</v>
      </c>
      <c r="B415" s="12" t="s">
        <v>43</v>
      </c>
      <c r="C415" s="12">
        <v>71.281532287597699</v>
      </c>
      <c r="D415" s="12">
        <v>1974</v>
      </c>
    </row>
    <row r="416" spans="1:4" ht="19.899999999999999" customHeight="1">
      <c r="A416" s="11" t="s">
        <v>21</v>
      </c>
      <c r="B416" s="12" t="s">
        <v>43</v>
      </c>
      <c r="C416" s="12">
        <v>13.2995300292969</v>
      </c>
      <c r="D416" s="12">
        <v>1974</v>
      </c>
    </row>
    <row r="417" spans="1:4" ht="19.899999999999999" customHeight="1">
      <c r="A417" s="11" t="s">
        <v>22</v>
      </c>
      <c r="B417" s="12" t="s">
        <v>43</v>
      </c>
      <c r="C417" s="12">
        <v>58.366851806640597</v>
      </c>
      <c r="D417" s="12">
        <v>1974</v>
      </c>
    </row>
    <row r="418" spans="1:4" ht="19.899999999999999" customHeight="1">
      <c r="A418" s="11" t="s">
        <v>23</v>
      </c>
      <c r="B418" s="12" t="s">
        <v>43</v>
      </c>
      <c r="C418" s="12">
        <v>115.790069580078</v>
      </c>
      <c r="D418" s="12">
        <v>1974</v>
      </c>
    </row>
    <row r="419" spans="1:4" ht="19.899999999999999" customHeight="1">
      <c r="A419" s="11" t="s">
        <v>24</v>
      </c>
      <c r="B419" s="12" t="s">
        <v>43</v>
      </c>
      <c r="C419" s="12">
        <v>85.548660278320298</v>
      </c>
      <c r="D419" s="12">
        <v>1974</v>
      </c>
    </row>
    <row r="420" spans="1:4" ht="19.899999999999999" customHeight="1">
      <c r="A420" s="11" t="s">
        <v>25</v>
      </c>
      <c r="B420" s="12" t="s">
        <v>43</v>
      </c>
      <c r="C420" s="12"/>
      <c r="D420" s="12">
        <v>1974</v>
      </c>
    </row>
    <row r="421" spans="1:4" ht="19.899999999999999" customHeight="1">
      <c r="A421" s="11" t="s">
        <v>26</v>
      </c>
      <c r="B421" s="12" t="s">
        <v>43</v>
      </c>
      <c r="C421" s="12">
        <v>43.410930633544901</v>
      </c>
      <c r="D421" s="12">
        <v>1974</v>
      </c>
    </row>
    <row r="422" spans="1:4" ht="19.899999999999999" customHeight="1">
      <c r="A422" s="11" t="s">
        <v>27</v>
      </c>
      <c r="B422" s="12" t="s">
        <v>43</v>
      </c>
      <c r="C422" s="12">
        <v>42.155330657958999</v>
      </c>
      <c r="D422" s="12">
        <v>1974</v>
      </c>
    </row>
    <row r="423" spans="1:4" ht="19.899999999999999" customHeight="1">
      <c r="A423" s="11" t="s">
        <v>28</v>
      </c>
      <c r="B423" s="12" t="s">
        <v>43</v>
      </c>
      <c r="C423" s="12">
        <v>93.370429992675795</v>
      </c>
      <c r="D423" s="12">
        <v>1974</v>
      </c>
    </row>
    <row r="424" spans="1:4" ht="19.899999999999999" customHeight="1">
      <c r="A424" s="11" t="s">
        <v>29</v>
      </c>
      <c r="B424" s="12" t="s">
        <v>43</v>
      </c>
      <c r="C424" s="12">
        <v>71.26806640625</v>
      </c>
      <c r="D424" s="12">
        <v>1974</v>
      </c>
    </row>
    <row r="425" spans="1:4" ht="19.899999999999999" customHeight="1">
      <c r="A425" s="11" t="s">
        <v>4</v>
      </c>
      <c r="B425" s="12" t="s">
        <v>43</v>
      </c>
      <c r="C425" s="12">
        <v>21.824699401855501</v>
      </c>
      <c r="D425" s="12">
        <v>1975</v>
      </c>
    </row>
    <row r="426" spans="1:4" ht="19.899999999999999" customHeight="1">
      <c r="A426" s="11" t="s">
        <v>5</v>
      </c>
      <c r="B426" s="12" t="s">
        <v>43</v>
      </c>
      <c r="C426" s="12">
        <v>93.579559326171903</v>
      </c>
      <c r="D426" s="12">
        <v>1975</v>
      </c>
    </row>
    <row r="427" spans="1:4" ht="19.899999999999999" customHeight="1">
      <c r="A427" s="11" t="s">
        <v>6</v>
      </c>
      <c r="B427" s="12" t="s">
        <v>43</v>
      </c>
      <c r="C427" s="12">
        <v>32.299839019775398</v>
      </c>
      <c r="D427" s="12">
        <v>1975</v>
      </c>
    </row>
    <row r="428" spans="1:4" ht="19.899999999999999" customHeight="1">
      <c r="A428" s="11" t="s">
        <v>7</v>
      </c>
      <c r="B428" s="12" t="s">
        <v>43</v>
      </c>
      <c r="C428" s="12">
        <v>68.585807800292997</v>
      </c>
      <c r="D428" s="12">
        <v>1975</v>
      </c>
    </row>
    <row r="429" spans="1:4" ht="19.899999999999999" customHeight="1">
      <c r="A429" s="11" t="s">
        <v>8</v>
      </c>
      <c r="B429" s="12" t="s">
        <v>43</v>
      </c>
      <c r="C429" s="12">
        <v>26.493949890136701</v>
      </c>
      <c r="D429" s="12">
        <v>1975</v>
      </c>
    </row>
    <row r="430" spans="1:4" ht="19.899999999999999" customHeight="1">
      <c r="A430" s="11" t="s">
        <v>1</v>
      </c>
      <c r="B430" s="12" t="s">
        <v>43</v>
      </c>
      <c r="C430" s="12">
        <v>19.229900360107401</v>
      </c>
      <c r="D430" s="12">
        <v>1975</v>
      </c>
    </row>
    <row r="431" spans="1:4" ht="19.899999999999999" customHeight="1">
      <c r="A431" s="11" t="s">
        <v>9</v>
      </c>
      <c r="B431" s="12" t="s">
        <v>43</v>
      </c>
      <c r="C431" s="12">
        <v>31.815259933471701</v>
      </c>
      <c r="D431" s="12">
        <v>1975</v>
      </c>
    </row>
    <row r="432" spans="1:4" ht="19.899999999999999" customHeight="1">
      <c r="A432" s="11" t="s">
        <v>10</v>
      </c>
      <c r="B432" s="12" t="s">
        <v>43</v>
      </c>
      <c r="C432" s="12">
        <v>56.6939697265625</v>
      </c>
      <c r="D432" s="12">
        <v>1975</v>
      </c>
    </row>
    <row r="433" spans="1:4" ht="19.899999999999999" customHeight="1">
      <c r="A433" s="11" t="s">
        <v>11</v>
      </c>
      <c r="B433" s="12" t="s">
        <v>43</v>
      </c>
      <c r="C433" s="12">
        <v>109.28610992431599</v>
      </c>
      <c r="D433" s="12">
        <v>1975</v>
      </c>
    </row>
    <row r="434" spans="1:4" ht="19.899999999999999" customHeight="1">
      <c r="A434" s="11" t="s">
        <v>38</v>
      </c>
      <c r="B434" s="12" t="s">
        <v>43</v>
      </c>
      <c r="C434" s="12"/>
      <c r="D434" s="12">
        <v>1975</v>
      </c>
    </row>
    <row r="435" spans="1:4" ht="19.899999999999999" customHeight="1">
      <c r="A435" s="11" t="s">
        <v>12</v>
      </c>
      <c r="B435" s="12" t="s">
        <v>43</v>
      </c>
      <c r="C435" s="12">
        <v>40.8320503234863</v>
      </c>
      <c r="D435" s="12">
        <v>1975</v>
      </c>
    </row>
    <row r="436" spans="1:4" ht="19.899999999999999" customHeight="1">
      <c r="A436" s="11" t="s">
        <v>13</v>
      </c>
      <c r="B436" s="12" t="s">
        <v>43</v>
      </c>
      <c r="C436" s="12">
        <v>92.054031372070298</v>
      </c>
      <c r="D436" s="12">
        <v>1975</v>
      </c>
    </row>
    <row r="437" spans="1:4" ht="19.899999999999999" customHeight="1">
      <c r="A437" s="11" t="s">
        <v>14</v>
      </c>
      <c r="B437" s="12" t="s">
        <v>43</v>
      </c>
      <c r="C437" s="12">
        <v>61.358211517333999</v>
      </c>
      <c r="D437" s="12">
        <v>1975</v>
      </c>
    </row>
    <row r="438" spans="1:4" ht="19.899999999999999" customHeight="1">
      <c r="A438" s="11" t="s">
        <v>15</v>
      </c>
      <c r="B438" s="12" t="s">
        <v>43</v>
      </c>
      <c r="C438" s="12">
        <v>25.443479537963899</v>
      </c>
      <c r="D438" s="12">
        <v>1975</v>
      </c>
    </row>
    <row r="439" spans="1:4" ht="19.899999999999999" customHeight="1">
      <c r="A439" s="11" t="s">
        <v>16</v>
      </c>
      <c r="B439" s="12" t="s">
        <v>43</v>
      </c>
      <c r="C439" s="12"/>
      <c r="D439" s="12">
        <v>1975</v>
      </c>
    </row>
    <row r="440" spans="1:4" ht="19.899999999999999" customHeight="1">
      <c r="A440" s="11" t="s">
        <v>17</v>
      </c>
      <c r="B440" s="12" t="s">
        <v>43</v>
      </c>
      <c r="C440" s="12">
        <v>59.0891304016113</v>
      </c>
      <c r="D440" s="12">
        <v>1975</v>
      </c>
    </row>
    <row r="441" spans="1:4" ht="19.899999999999999" customHeight="1">
      <c r="A441" s="11" t="s">
        <v>18</v>
      </c>
      <c r="B441" s="12" t="s">
        <v>43</v>
      </c>
      <c r="C441" s="12"/>
      <c r="D441" s="12">
        <v>1975</v>
      </c>
    </row>
    <row r="442" spans="1:4" ht="19.899999999999999" customHeight="1">
      <c r="A442" s="11" t="s">
        <v>19</v>
      </c>
      <c r="B442" s="12" t="s">
        <v>43</v>
      </c>
      <c r="C442" s="12">
        <v>52.466190338134801</v>
      </c>
      <c r="D442" s="12">
        <v>1975</v>
      </c>
    </row>
    <row r="443" spans="1:4" ht="19.899999999999999" customHeight="1">
      <c r="A443" s="11" t="s">
        <v>20</v>
      </c>
      <c r="B443" s="12" t="s">
        <v>43</v>
      </c>
      <c r="C443" s="12">
        <v>73.151107788085895</v>
      </c>
      <c r="D443" s="12">
        <v>1975</v>
      </c>
    </row>
    <row r="444" spans="1:4" ht="19.899999999999999" customHeight="1">
      <c r="A444" s="11" t="s">
        <v>21</v>
      </c>
      <c r="B444" s="12" t="s">
        <v>43</v>
      </c>
      <c r="C444" s="12">
        <v>14.153440475463899</v>
      </c>
      <c r="D444" s="12">
        <v>1975</v>
      </c>
    </row>
    <row r="445" spans="1:4" ht="19.899999999999999" customHeight="1">
      <c r="A445" s="11" t="s">
        <v>22</v>
      </c>
      <c r="B445" s="12" t="s">
        <v>43</v>
      </c>
      <c r="C445" s="12">
        <v>55.616130828857401</v>
      </c>
      <c r="D445" s="12">
        <v>1975</v>
      </c>
    </row>
    <row r="446" spans="1:4" ht="19.899999999999999" customHeight="1">
      <c r="A446" s="11" t="s">
        <v>23</v>
      </c>
      <c r="B446" s="12" t="s">
        <v>43</v>
      </c>
      <c r="C446" s="12">
        <v>117.795219421387</v>
      </c>
      <c r="D446" s="12">
        <v>1975</v>
      </c>
    </row>
    <row r="447" spans="1:4" ht="19.899999999999999" customHeight="1">
      <c r="A447" s="11" t="s">
        <v>24</v>
      </c>
      <c r="B447" s="12" t="s">
        <v>43</v>
      </c>
      <c r="C447" s="12">
        <v>82.587753295898395</v>
      </c>
      <c r="D447" s="12">
        <v>1975</v>
      </c>
    </row>
    <row r="448" spans="1:4" ht="19.899999999999999" customHeight="1">
      <c r="A448" s="11" t="s">
        <v>25</v>
      </c>
      <c r="B448" s="12" t="s">
        <v>43</v>
      </c>
      <c r="C448" s="12"/>
      <c r="D448" s="12">
        <v>1975</v>
      </c>
    </row>
    <row r="449" spans="1:4" ht="19.899999999999999" customHeight="1">
      <c r="A449" s="11" t="s">
        <v>26</v>
      </c>
      <c r="B449" s="12" t="s">
        <v>43</v>
      </c>
      <c r="C449" s="12">
        <v>53.148609161377003</v>
      </c>
      <c r="D449" s="12">
        <v>1975</v>
      </c>
    </row>
    <row r="450" spans="1:4" ht="19.899999999999999" customHeight="1">
      <c r="A450" s="11" t="s">
        <v>27</v>
      </c>
      <c r="B450" s="12" t="s">
        <v>43</v>
      </c>
      <c r="C450" s="12">
        <v>45.452018737792997</v>
      </c>
      <c r="D450" s="12">
        <v>1975</v>
      </c>
    </row>
    <row r="451" spans="1:4" ht="19.899999999999999" customHeight="1">
      <c r="A451" s="11" t="s">
        <v>28</v>
      </c>
      <c r="B451" s="12" t="s">
        <v>43</v>
      </c>
      <c r="C451" s="12">
        <v>91.860420227050795</v>
      </c>
      <c r="D451" s="12">
        <v>1975</v>
      </c>
    </row>
    <row r="452" spans="1:4" ht="19.899999999999999" customHeight="1">
      <c r="A452" s="11" t="s">
        <v>29</v>
      </c>
      <c r="B452" s="12" t="s">
        <v>43</v>
      </c>
      <c r="C452" s="12">
        <v>71.441612243652301</v>
      </c>
      <c r="D452" s="12">
        <v>1975</v>
      </c>
    </row>
    <row r="453" spans="1:4" ht="19.899999999999999" customHeight="1">
      <c r="A453" s="11" t="s">
        <v>4</v>
      </c>
      <c r="B453" s="12" t="s">
        <v>43</v>
      </c>
      <c r="C453" s="12">
        <v>21.707309722900401</v>
      </c>
      <c r="D453" s="12">
        <v>1976</v>
      </c>
    </row>
    <row r="454" spans="1:4" ht="19.899999999999999" customHeight="1">
      <c r="A454" s="11" t="s">
        <v>5</v>
      </c>
      <c r="B454" s="12" t="s">
        <v>43</v>
      </c>
      <c r="C454" s="12">
        <v>94.940322875976605</v>
      </c>
      <c r="D454" s="12">
        <v>1976</v>
      </c>
    </row>
    <row r="455" spans="1:4" ht="19.899999999999999" customHeight="1">
      <c r="A455" s="11" t="s">
        <v>6</v>
      </c>
      <c r="B455" s="12" t="s">
        <v>43</v>
      </c>
      <c r="C455" s="12">
        <v>33.453811645507798</v>
      </c>
      <c r="D455" s="12">
        <v>1976</v>
      </c>
    </row>
    <row r="456" spans="1:4" ht="19.899999999999999" customHeight="1">
      <c r="A456" s="11" t="s">
        <v>7</v>
      </c>
      <c r="B456" s="12" t="s">
        <v>43</v>
      </c>
      <c r="C456" s="12">
        <v>83.920249938964801</v>
      </c>
      <c r="D456" s="12">
        <v>1976</v>
      </c>
    </row>
    <row r="457" spans="1:4" ht="19.899999999999999" customHeight="1">
      <c r="A457" s="11" t="s">
        <v>8</v>
      </c>
      <c r="B457" s="12" t="s">
        <v>43</v>
      </c>
      <c r="C457" s="12">
        <v>25.49880027771</v>
      </c>
      <c r="D457" s="12">
        <v>1976</v>
      </c>
    </row>
    <row r="458" spans="1:4" ht="19.899999999999999" customHeight="1">
      <c r="A458" s="11" t="s">
        <v>1</v>
      </c>
      <c r="B458" s="12" t="s">
        <v>43</v>
      </c>
      <c r="C458" s="12">
        <v>21.251789093017599</v>
      </c>
      <c r="D458" s="12">
        <v>1976</v>
      </c>
    </row>
    <row r="459" spans="1:4" ht="19.899999999999999" customHeight="1">
      <c r="A459" s="11" t="s">
        <v>9</v>
      </c>
      <c r="B459" s="12" t="s">
        <v>43</v>
      </c>
      <c r="C459" s="12">
        <v>31.254409790039102</v>
      </c>
      <c r="D459" s="12">
        <v>1976</v>
      </c>
    </row>
    <row r="460" spans="1:4" ht="19.899999999999999" customHeight="1">
      <c r="A460" s="11" t="s">
        <v>10</v>
      </c>
      <c r="B460" s="12" t="s">
        <v>43</v>
      </c>
      <c r="C460" s="12">
        <v>60.523658752441399</v>
      </c>
      <c r="D460" s="12">
        <v>1976</v>
      </c>
    </row>
    <row r="461" spans="1:4" ht="19.899999999999999" customHeight="1">
      <c r="A461" s="11" t="s">
        <v>11</v>
      </c>
      <c r="B461" s="12" t="s">
        <v>43</v>
      </c>
      <c r="C461" s="12">
        <v>105.017791748047</v>
      </c>
      <c r="D461" s="12">
        <v>1976</v>
      </c>
    </row>
    <row r="462" spans="1:4" ht="19.899999999999999" customHeight="1">
      <c r="A462" s="11" t="s">
        <v>38</v>
      </c>
      <c r="B462" s="12" t="s">
        <v>43</v>
      </c>
      <c r="C462" s="12"/>
      <c r="D462" s="12">
        <v>1976</v>
      </c>
    </row>
    <row r="463" spans="1:4" ht="19.899999999999999" customHeight="1">
      <c r="A463" s="11" t="s">
        <v>12</v>
      </c>
      <c r="B463" s="12" t="s">
        <v>43</v>
      </c>
      <c r="C463" s="12">
        <v>38.268581390380902</v>
      </c>
      <c r="D463" s="12">
        <v>1976</v>
      </c>
    </row>
    <row r="464" spans="1:4" ht="19.899999999999999" customHeight="1">
      <c r="A464" s="11" t="s">
        <v>13</v>
      </c>
      <c r="B464" s="12" t="s">
        <v>43</v>
      </c>
      <c r="C464" s="12">
        <v>95.772331237792997</v>
      </c>
      <c r="D464" s="12">
        <v>1976</v>
      </c>
    </row>
    <row r="465" spans="1:4" ht="19.899999999999999" customHeight="1">
      <c r="A465" s="11" t="s">
        <v>14</v>
      </c>
      <c r="B465" s="12" t="s">
        <v>43</v>
      </c>
      <c r="C465" s="12">
        <v>61.952480316162102</v>
      </c>
      <c r="D465" s="12">
        <v>1976</v>
      </c>
    </row>
    <row r="466" spans="1:4" ht="19.899999999999999" customHeight="1">
      <c r="A466" s="11" t="s">
        <v>15</v>
      </c>
      <c r="B466" s="12" t="s">
        <v>43</v>
      </c>
      <c r="C466" s="12">
        <v>26.2606296539307</v>
      </c>
      <c r="D466" s="12">
        <v>1976</v>
      </c>
    </row>
    <row r="467" spans="1:4" ht="19.899999999999999" customHeight="1">
      <c r="A467" s="11" t="s">
        <v>16</v>
      </c>
      <c r="B467" s="12" t="s">
        <v>43</v>
      </c>
      <c r="C467" s="12"/>
      <c r="D467" s="12">
        <v>1976</v>
      </c>
    </row>
    <row r="468" spans="1:4" ht="19.899999999999999" customHeight="1">
      <c r="A468" s="11" t="s">
        <v>17</v>
      </c>
      <c r="B468" s="12" t="s">
        <v>43</v>
      </c>
      <c r="C468" s="12"/>
      <c r="D468" s="12">
        <v>1976</v>
      </c>
    </row>
    <row r="469" spans="1:4" ht="19.899999999999999" customHeight="1">
      <c r="A469" s="11" t="s">
        <v>18</v>
      </c>
      <c r="B469" s="12" t="s">
        <v>43</v>
      </c>
      <c r="C469" s="12">
        <v>84.913398742675795</v>
      </c>
      <c r="D469" s="12">
        <v>1976</v>
      </c>
    </row>
    <row r="470" spans="1:4" ht="19.899999999999999" customHeight="1">
      <c r="A470" s="11" t="s">
        <v>19</v>
      </c>
      <c r="B470" s="12" t="s">
        <v>43</v>
      </c>
      <c r="C470" s="12">
        <v>61.060928344726598</v>
      </c>
      <c r="D470" s="12">
        <v>1976</v>
      </c>
    </row>
    <row r="471" spans="1:4" ht="19.899999999999999" customHeight="1">
      <c r="A471" s="11" t="s">
        <v>20</v>
      </c>
      <c r="B471" s="12" t="s">
        <v>43</v>
      </c>
      <c r="C471" s="12">
        <v>75.507972717285199</v>
      </c>
      <c r="D471" s="12">
        <v>1976</v>
      </c>
    </row>
    <row r="472" spans="1:4" ht="19.899999999999999" customHeight="1">
      <c r="A472" s="11" t="s">
        <v>21</v>
      </c>
      <c r="B472" s="12" t="s">
        <v>43</v>
      </c>
      <c r="C472" s="12">
        <v>16.277290344238299</v>
      </c>
      <c r="D472" s="12">
        <v>1976</v>
      </c>
    </row>
    <row r="473" spans="1:4" ht="19.899999999999999" customHeight="1">
      <c r="A473" s="11" t="s">
        <v>22</v>
      </c>
      <c r="B473" s="12" t="s">
        <v>43</v>
      </c>
      <c r="C473" s="12">
        <v>56.581981658935497</v>
      </c>
      <c r="D473" s="12">
        <v>1976</v>
      </c>
    </row>
    <row r="474" spans="1:4" ht="19.899999999999999" customHeight="1">
      <c r="A474" s="11" t="s">
        <v>23</v>
      </c>
      <c r="B474" s="12" t="s">
        <v>43</v>
      </c>
      <c r="C474" s="12">
        <v>151.00918579101599</v>
      </c>
      <c r="D474" s="12">
        <v>1976</v>
      </c>
    </row>
    <row r="475" spans="1:4" ht="19.899999999999999" customHeight="1">
      <c r="A475" s="11" t="s">
        <v>24</v>
      </c>
      <c r="B475" s="12" t="s">
        <v>43</v>
      </c>
      <c r="C475" s="12">
        <v>81.903961181640597</v>
      </c>
      <c r="D475" s="12">
        <v>1976</v>
      </c>
    </row>
    <row r="476" spans="1:4" ht="19.899999999999999" customHeight="1">
      <c r="A476" s="11" t="s">
        <v>25</v>
      </c>
      <c r="B476" s="12" t="s">
        <v>43</v>
      </c>
      <c r="C476" s="12"/>
      <c r="D476" s="12">
        <v>1976</v>
      </c>
    </row>
    <row r="477" spans="1:4" ht="19.899999999999999" customHeight="1">
      <c r="A477" s="11" t="s">
        <v>26</v>
      </c>
      <c r="B477" s="12" t="s">
        <v>43</v>
      </c>
      <c r="C477" s="12">
        <v>63.088130950927699</v>
      </c>
      <c r="D477" s="12">
        <v>1976</v>
      </c>
    </row>
    <row r="478" spans="1:4" ht="19.899999999999999" customHeight="1">
      <c r="A478" s="11" t="s">
        <v>27</v>
      </c>
      <c r="B478" s="12" t="s">
        <v>43</v>
      </c>
      <c r="C478" s="12">
        <v>46.870510101318402</v>
      </c>
      <c r="D478" s="12">
        <v>1976</v>
      </c>
    </row>
    <row r="479" spans="1:4" ht="19.899999999999999" customHeight="1">
      <c r="A479" s="11" t="s">
        <v>28</v>
      </c>
      <c r="B479" s="12" t="s">
        <v>43</v>
      </c>
      <c r="C479" s="12">
        <v>92.465408325195298</v>
      </c>
      <c r="D479" s="12">
        <v>1976</v>
      </c>
    </row>
    <row r="480" spans="1:4" ht="19.899999999999999" customHeight="1">
      <c r="A480" s="11" t="s">
        <v>29</v>
      </c>
      <c r="B480" s="12" t="s">
        <v>43</v>
      </c>
      <c r="C480" s="12">
        <v>70.822517395019503</v>
      </c>
      <c r="D480" s="12">
        <v>1976</v>
      </c>
    </row>
    <row r="481" spans="1:4" ht="19.899999999999999" customHeight="1">
      <c r="A481" s="11" t="s">
        <v>4</v>
      </c>
      <c r="B481" s="12" t="s">
        <v>43</v>
      </c>
      <c r="C481" s="12">
        <v>21.8879909515381</v>
      </c>
      <c r="D481" s="12">
        <v>1977</v>
      </c>
    </row>
    <row r="482" spans="1:4" ht="19.899999999999999" customHeight="1">
      <c r="A482" s="11" t="s">
        <v>5</v>
      </c>
      <c r="B482" s="12" t="s">
        <v>43</v>
      </c>
      <c r="C482" s="12">
        <v>93.554161071777301</v>
      </c>
      <c r="D482" s="12">
        <v>1977</v>
      </c>
    </row>
    <row r="483" spans="1:4" ht="19.899999999999999" customHeight="1">
      <c r="A483" s="11" t="s">
        <v>6</v>
      </c>
      <c r="B483" s="12" t="s">
        <v>43</v>
      </c>
      <c r="C483" s="12">
        <v>33.856521606445298</v>
      </c>
      <c r="D483" s="12">
        <v>1977</v>
      </c>
    </row>
    <row r="484" spans="1:4" ht="19.899999999999999" customHeight="1">
      <c r="A484" s="11" t="s">
        <v>7</v>
      </c>
      <c r="B484" s="12" t="s">
        <v>43</v>
      </c>
      <c r="C484" s="12">
        <v>96.039382934570298</v>
      </c>
      <c r="D484" s="12">
        <v>1977</v>
      </c>
    </row>
    <row r="485" spans="1:4" ht="19.899999999999999" customHeight="1">
      <c r="A485" s="11" t="s">
        <v>8</v>
      </c>
      <c r="B485" s="12" t="s">
        <v>43</v>
      </c>
      <c r="C485" s="12">
        <v>23.683780670166001</v>
      </c>
      <c r="D485" s="12">
        <v>1977</v>
      </c>
    </row>
    <row r="486" spans="1:4" ht="19.899999999999999" customHeight="1">
      <c r="A486" s="11" t="s">
        <v>1</v>
      </c>
      <c r="B486" s="12" t="s">
        <v>43</v>
      </c>
      <c r="C486" s="12">
        <v>22.831239700317401</v>
      </c>
      <c r="D486" s="12">
        <v>1977</v>
      </c>
    </row>
    <row r="487" spans="1:4" ht="19.899999999999999" customHeight="1">
      <c r="A487" s="11" t="s">
        <v>9</v>
      </c>
      <c r="B487" s="12" t="s">
        <v>43</v>
      </c>
      <c r="C487" s="12">
        <v>35.504230499267599</v>
      </c>
      <c r="D487" s="12">
        <v>1977</v>
      </c>
    </row>
    <row r="488" spans="1:4" ht="19.899999999999999" customHeight="1">
      <c r="A488" s="11" t="s">
        <v>10</v>
      </c>
      <c r="B488" s="12" t="s">
        <v>43</v>
      </c>
      <c r="C488" s="12">
        <v>61.618690490722699</v>
      </c>
      <c r="D488" s="12">
        <v>1977</v>
      </c>
    </row>
    <row r="489" spans="1:4" ht="19.899999999999999" customHeight="1">
      <c r="A489" s="11" t="s">
        <v>11</v>
      </c>
      <c r="B489" s="12" t="s">
        <v>43</v>
      </c>
      <c r="C489" s="12">
        <v>104.061889648438</v>
      </c>
      <c r="D489" s="12">
        <v>1977</v>
      </c>
    </row>
    <row r="490" spans="1:4" ht="19.899999999999999" customHeight="1">
      <c r="A490" s="11" t="s">
        <v>38</v>
      </c>
      <c r="B490" s="12" t="s">
        <v>43</v>
      </c>
      <c r="C490" s="12"/>
      <c r="D490" s="12">
        <v>1977</v>
      </c>
    </row>
    <row r="491" spans="1:4" ht="19.899999999999999" customHeight="1">
      <c r="A491" s="11" t="s">
        <v>12</v>
      </c>
      <c r="B491" s="12" t="s">
        <v>43</v>
      </c>
      <c r="C491" s="12"/>
      <c r="D491" s="12">
        <v>1977</v>
      </c>
    </row>
    <row r="492" spans="1:4" ht="19.899999999999999" customHeight="1">
      <c r="A492" s="11" t="s">
        <v>13</v>
      </c>
      <c r="B492" s="12" t="s">
        <v>43</v>
      </c>
      <c r="C492" s="12">
        <v>118.27223205566401</v>
      </c>
      <c r="D492" s="12">
        <v>1977</v>
      </c>
    </row>
    <row r="493" spans="1:4" ht="19.899999999999999" customHeight="1">
      <c r="A493" s="11" t="s">
        <v>14</v>
      </c>
      <c r="B493" s="12" t="s">
        <v>43</v>
      </c>
      <c r="C493" s="12">
        <v>60.886020660400398</v>
      </c>
      <c r="D493" s="12">
        <v>1977</v>
      </c>
    </row>
    <row r="494" spans="1:4" ht="19.899999999999999" customHeight="1">
      <c r="A494" s="11" t="s">
        <v>15</v>
      </c>
      <c r="B494" s="12" t="s">
        <v>43</v>
      </c>
      <c r="C494" s="12">
        <v>26.986869812011701</v>
      </c>
      <c r="D494" s="12">
        <v>1977</v>
      </c>
    </row>
    <row r="495" spans="1:4" ht="19.899999999999999" customHeight="1">
      <c r="A495" s="11" t="s">
        <v>16</v>
      </c>
      <c r="B495" s="12" t="s">
        <v>43</v>
      </c>
      <c r="C495" s="12"/>
      <c r="D495" s="12">
        <v>1977</v>
      </c>
    </row>
    <row r="496" spans="1:4" ht="19.899999999999999" customHeight="1">
      <c r="A496" s="11" t="s">
        <v>17</v>
      </c>
      <c r="B496" s="12" t="s">
        <v>43</v>
      </c>
      <c r="C496" s="12">
        <v>105.196617126465</v>
      </c>
      <c r="D496" s="12">
        <v>1977</v>
      </c>
    </row>
    <row r="497" spans="1:4" ht="19.899999999999999" customHeight="1">
      <c r="A497" s="11" t="s">
        <v>18</v>
      </c>
      <c r="B497" s="12" t="s">
        <v>43</v>
      </c>
      <c r="C497" s="12">
        <v>84.939903259277301</v>
      </c>
      <c r="D497" s="12">
        <v>1977</v>
      </c>
    </row>
    <row r="498" spans="1:4" ht="19.899999999999999" customHeight="1">
      <c r="A498" s="11" t="s">
        <v>19</v>
      </c>
      <c r="B498" s="12" t="s">
        <v>43</v>
      </c>
      <c r="C498" s="12">
        <v>70.921661376953097</v>
      </c>
      <c r="D498" s="12">
        <v>1977</v>
      </c>
    </row>
    <row r="499" spans="1:4" ht="19.899999999999999" customHeight="1">
      <c r="A499" s="11" t="s">
        <v>20</v>
      </c>
      <c r="B499" s="12" t="s">
        <v>43</v>
      </c>
      <c r="C499" s="12">
        <v>74.467597961425795</v>
      </c>
      <c r="D499" s="12">
        <v>1977</v>
      </c>
    </row>
    <row r="500" spans="1:4" ht="19.899999999999999" customHeight="1">
      <c r="A500" s="11" t="s">
        <v>21</v>
      </c>
      <c r="B500" s="12" t="s">
        <v>43</v>
      </c>
      <c r="C500" s="12">
        <v>17.879499435424801</v>
      </c>
      <c r="D500" s="12">
        <v>1977</v>
      </c>
    </row>
    <row r="501" spans="1:4" ht="19.899999999999999" customHeight="1">
      <c r="A501" s="11" t="s">
        <v>22</v>
      </c>
      <c r="B501" s="12" t="s">
        <v>43</v>
      </c>
      <c r="C501" s="12">
        <v>59.621410369872997</v>
      </c>
      <c r="D501" s="12">
        <v>1977</v>
      </c>
    </row>
    <row r="502" spans="1:4" ht="19.899999999999999" customHeight="1">
      <c r="A502" s="11" t="s">
        <v>23</v>
      </c>
      <c r="B502" s="12" t="s">
        <v>43</v>
      </c>
      <c r="C502" s="12">
        <v>129.069412231445</v>
      </c>
      <c r="D502" s="12">
        <v>1977</v>
      </c>
    </row>
    <row r="503" spans="1:4" ht="19.899999999999999" customHeight="1">
      <c r="A503" s="11" t="s">
        <v>24</v>
      </c>
      <c r="B503" s="12" t="s">
        <v>43</v>
      </c>
      <c r="C503" s="12">
        <v>86.775192260742202</v>
      </c>
      <c r="D503" s="12">
        <v>1977</v>
      </c>
    </row>
    <row r="504" spans="1:4" ht="19.899999999999999" customHeight="1">
      <c r="A504" s="11" t="s">
        <v>25</v>
      </c>
      <c r="B504" s="12" t="s">
        <v>43</v>
      </c>
      <c r="C504" s="12"/>
      <c r="D504" s="12">
        <v>1977</v>
      </c>
    </row>
    <row r="505" spans="1:4" ht="19.899999999999999" customHeight="1">
      <c r="A505" s="11" t="s">
        <v>26</v>
      </c>
      <c r="B505" s="12" t="s">
        <v>43</v>
      </c>
      <c r="C505" s="12">
        <v>71.033309936523395</v>
      </c>
      <c r="D505" s="12">
        <v>1977</v>
      </c>
    </row>
    <row r="506" spans="1:4" ht="19.899999999999999" customHeight="1">
      <c r="A506" s="11" t="s">
        <v>27</v>
      </c>
      <c r="B506" s="12" t="s">
        <v>43</v>
      </c>
      <c r="C506" s="12">
        <v>49.859100341796903</v>
      </c>
      <c r="D506" s="12">
        <v>1977</v>
      </c>
    </row>
    <row r="507" spans="1:4" ht="19.899999999999999" customHeight="1">
      <c r="A507" s="11" t="s">
        <v>28</v>
      </c>
      <c r="B507" s="12" t="s">
        <v>43</v>
      </c>
      <c r="C507" s="12">
        <v>92.176460266113295</v>
      </c>
      <c r="D507" s="12">
        <v>1977</v>
      </c>
    </row>
    <row r="508" spans="1:4" ht="19.899999999999999" customHeight="1">
      <c r="A508" s="11" t="s">
        <v>29</v>
      </c>
      <c r="B508" s="12" t="s">
        <v>43</v>
      </c>
      <c r="C508" s="12">
        <v>69.255699157714801</v>
      </c>
      <c r="D508" s="12">
        <v>1977</v>
      </c>
    </row>
    <row r="509" spans="1:4" ht="19.899999999999999" customHeight="1">
      <c r="A509" s="11" t="s">
        <v>4</v>
      </c>
      <c r="B509" s="12" t="s">
        <v>43</v>
      </c>
      <c r="C509" s="12">
        <v>23.524839401245099</v>
      </c>
      <c r="D509" s="12">
        <v>1978</v>
      </c>
    </row>
    <row r="510" spans="1:4" ht="19.899999999999999" customHeight="1">
      <c r="A510" s="11" t="s">
        <v>5</v>
      </c>
      <c r="B510" s="12" t="s">
        <v>43</v>
      </c>
      <c r="C510" s="12">
        <v>94.664627075195298</v>
      </c>
      <c r="D510" s="12">
        <v>1978</v>
      </c>
    </row>
    <row r="511" spans="1:4" ht="19.899999999999999" customHeight="1">
      <c r="A511" s="11" t="s">
        <v>6</v>
      </c>
      <c r="B511" s="12" t="s">
        <v>43</v>
      </c>
      <c r="C511" s="12"/>
      <c r="D511" s="12">
        <v>1978</v>
      </c>
    </row>
    <row r="512" spans="1:4" ht="19.899999999999999" customHeight="1">
      <c r="A512" s="11" t="s">
        <v>7</v>
      </c>
      <c r="B512" s="12" t="s">
        <v>43</v>
      </c>
      <c r="C512" s="12"/>
      <c r="D512" s="12">
        <v>1978</v>
      </c>
    </row>
    <row r="513" spans="1:4" ht="19.899999999999999" customHeight="1">
      <c r="A513" s="11" t="s">
        <v>8</v>
      </c>
      <c r="B513" s="12" t="s">
        <v>43</v>
      </c>
      <c r="C513" s="12">
        <v>26.556690216064499</v>
      </c>
      <c r="D513" s="12">
        <v>1978</v>
      </c>
    </row>
    <row r="514" spans="1:4" ht="19.899999999999999" customHeight="1">
      <c r="A514" s="11" t="s">
        <v>1</v>
      </c>
      <c r="B514" s="12" t="s">
        <v>43</v>
      </c>
      <c r="C514" s="12">
        <v>21.956119537353501</v>
      </c>
      <c r="D514" s="12">
        <v>1978</v>
      </c>
    </row>
    <row r="515" spans="1:4" ht="19.899999999999999" customHeight="1">
      <c r="A515" s="11" t="s">
        <v>9</v>
      </c>
      <c r="B515" s="12" t="s">
        <v>43</v>
      </c>
      <c r="C515" s="12">
        <v>37.318309783935497</v>
      </c>
      <c r="D515" s="12">
        <v>1978</v>
      </c>
    </row>
    <row r="516" spans="1:4" ht="19.899999999999999" customHeight="1">
      <c r="A516" s="11" t="s">
        <v>10</v>
      </c>
      <c r="B516" s="12" t="s">
        <v>43</v>
      </c>
      <c r="C516" s="12">
        <v>61.743648529052699</v>
      </c>
      <c r="D516" s="12">
        <v>1978</v>
      </c>
    </row>
    <row r="517" spans="1:4" ht="19.899999999999999" customHeight="1">
      <c r="A517" s="11" t="s">
        <v>11</v>
      </c>
      <c r="B517" s="12" t="s">
        <v>43</v>
      </c>
      <c r="C517" s="12">
        <v>99.702499389648395</v>
      </c>
      <c r="D517" s="12">
        <v>1978</v>
      </c>
    </row>
    <row r="518" spans="1:4" ht="19.899999999999999" customHeight="1">
      <c r="A518" s="11" t="s">
        <v>38</v>
      </c>
      <c r="B518" s="12" t="s">
        <v>43</v>
      </c>
      <c r="C518" s="12"/>
      <c r="D518" s="12">
        <v>1978</v>
      </c>
    </row>
    <row r="519" spans="1:4" ht="19.899999999999999" customHeight="1">
      <c r="A519" s="11" t="s">
        <v>12</v>
      </c>
      <c r="B519" s="12" t="s">
        <v>43</v>
      </c>
      <c r="C519" s="12">
        <v>46.353870391845703</v>
      </c>
      <c r="D519" s="12">
        <v>1978</v>
      </c>
    </row>
    <row r="520" spans="1:4" ht="19.899999999999999" customHeight="1">
      <c r="A520" s="11" t="s">
        <v>13</v>
      </c>
      <c r="B520" s="12" t="s">
        <v>43</v>
      </c>
      <c r="C520" s="12">
        <v>122.07749176025401</v>
      </c>
      <c r="D520" s="12">
        <v>1978</v>
      </c>
    </row>
    <row r="521" spans="1:4" ht="19.899999999999999" customHeight="1">
      <c r="A521" s="11" t="s">
        <v>14</v>
      </c>
      <c r="B521" s="12" t="s">
        <v>43</v>
      </c>
      <c r="C521" s="12">
        <v>59.087379455566399</v>
      </c>
      <c r="D521" s="12">
        <v>1978</v>
      </c>
    </row>
    <row r="522" spans="1:4" ht="19.899999999999999" customHeight="1">
      <c r="A522" s="11" t="s">
        <v>15</v>
      </c>
      <c r="B522" s="12" t="s">
        <v>43</v>
      </c>
      <c r="C522" s="12">
        <v>27.738090515136701</v>
      </c>
      <c r="D522" s="12">
        <v>1978</v>
      </c>
    </row>
    <row r="523" spans="1:4" ht="19.899999999999999" customHeight="1">
      <c r="A523" s="11" t="s">
        <v>16</v>
      </c>
      <c r="B523" s="12" t="s">
        <v>43</v>
      </c>
      <c r="C523" s="12"/>
      <c r="D523" s="12">
        <v>1978</v>
      </c>
    </row>
    <row r="524" spans="1:4" ht="19.899999999999999" customHeight="1">
      <c r="A524" s="11" t="s">
        <v>17</v>
      </c>
      <c r="B524" s="12" t="s">
        <v>43</v>
      </c>
      <c r="C524" s="12">
        <v>108.54286956787099</v>
      </c>
      <c r="D524" s="12">
        <v>1978</v>
      </c>
    </row>
    <row r="525" spans="1:4" ht="19.899999999999999" customHeight="1">
      <c r="A525" s="11" t="s">
        <v>18</v>
      </c>
      <c r="B525" s="12" t="s">
        <v>43</v>
      </c>
      <c r="C525" s="12">
        <v>86.473617553710895</v>
      </c>
      <c r="D525" s="12">
        <v>1978</v>
      </c>
    </row>
    <row r="526" spans="1:4" ht="19.899999999999999" customHeight="1">
      <c r="A526" s="11" t="s">
        <v>19</v>
      </c>
      <c r="B526" s="12" t="s">
        <v>43</v>
      </c>
      <c r="C526" s="12">
        <v>78.559310913085895</v>
      </c>
      <c r="D526" s="12">
        <v>1978</v>
      </c>
    </row>
    <row r="527" spans="1:4" ht="19.899999999999999" customHeight="1">
      <c r="A527" s="11" t="s">
        <v>20</v>
      </c>
      <c r="B527" s="12" t="s">
        <v>43</v>
      </c>
      <c r="C527" s="12">
        <v>72.295852661132798</v>
      </c>
      <c r="D527" s="12">
        <v>1978</v>
      </c>
    </row>
    <row r="528" spans="1:4" ht="19.899999999999999" customHeight="1">
      <c r="A528" s="11" t="s">
        <v>21</v>
      </c>
      <c r="B528" s="12" t="s">
        <v>43</v>
      </c>
      <c r="C528" s="12">
        <v>19.210170745849599</v>
      </c>
      <c r="D528" s="12">
        <v>1978</v>
      </c>
    </row>
    <row r="529" spans="1:4" ht="19.899999999999999" customHeight="1">
      <c r="A529" s="11" t="s">
        <v>22</v>
      </c>
      <c r="B529" s="12" t="s">
        <v>43</v>
      </c>
      <c r="C529" s="12">
        <v>61.736698150634801</v>
      </c>
      <c r="D529" s="12">
        <v>1978</v>
      </c>
    </row>
    <row r="530" spans="1:4" ht="19.899999999999999" customHeight="1">
      <c r="A530" s="11" t="s">
        <v>23</v>
      </c>
      <c r="B530" s="12" t="s">
        <v>43</v>
      </c>
      <c r="C530" s="12">
        <v>140.31506347656301</v>
      </c>
      <c r="D530" s="12">
        <v>1978</v>
      </c>
    </row>
    <row r="531" spans="1:4" ht="19.899999999999999" customHeight="1">
      <c r="A531" s="11" t="s">
        <v>24</v>
      </c>
      <c r="B531" s="12" t="s">
        <v>43</v>
      </c>
      <c r="C531" s="12">
        <v>91.707237243652301</v>
      </c>
      <c r="D531" s="12">
        <v>1978</v>
      </c>
    </row>
    <row r="532" spans="1:4" ht="19.899999999999999" customHeight="1">
      <c r="A532" s="11" t="s">
        <v>25</v>
      </c>
      <c r="B532" s="12" t="s">
        <v>43</v>
      </c>
      <c r="C532" s="12"/>
      <c r="D532" s="12">
        <v>1978</v>
      </c>
    </row>
    <row r="533" spans="1:4" ht="19.899999999999999" customHeight="1">
      <c r="A533" s="11" t="s">
        <v>26</v>
      </c>
      <c r="B533" s="12" t="s">
        <v>43</v>
      </c>
      <c r="C533" s="12">
        <v>90.416877746582003</v>
      </c>
      <c r="D533" s="12">
        <v>1978</v>
      </c>
    </row>
    <row r="534" spans="1:4" ht="19.899999999999999" customHeight="1">
      <c r="A534" s="11" t="s">
        <v>27</v>
      </c>
      <c r="B534" s="12" t="s">
        <v>43</v>
      </c>
      <c r="C534" s="12">
        <v>51.263248443603501</v>
      </c>
      <c r="D534" s="12">
        <v>1978</v>
      </c>
    </row>
    <row r="535" spans="1:4" ht="19.899999999999999" customHeight="1">
      <c r="A535" s="11" t="s">
        <v>28</v>
      </c>
      <c r="B535" s="12" t="s">
        <v>43</v>
      </c>
      <c r="C535" s="12">
        <v>91.536300659179702</v>
      </c>
      <c r="D535" s="12">
        <v>1978</v>
      </c>
    </row>
    <row r="536" spans="1:4" ht="19.899999999999999" customHeight="1">
      <c r="A536" s="11" t="s">
        <v>29</v>
      </c>
      <c r="B536" s="12" t="s">
        <v>43</v>
      </c>
      <c r="C536" s="12">
        <v>62.220741271972699</v>
      </c>
      <c r="D536" s="12">
        <v>1978</v>
      </c>
    </row>
    <row r="537" spans="1:4" ht="19.899999999999999" customHeight="1">
      <c r="A537" s="11" t="s">
        <v>4</v>
      </c>
      <c r="B537" s="12" t="s">
        <v>43</v>
      </c>
      <c r="C537" s="12">
        <v>23.9002895355225</v>
      </c>
      <c r="D537" s="12">
        <v>1979</v>
      </c>
    </row>
    <row r="538" spans="1:4" ht="19.899999999999999" customHeight="1">
      <c r="A538" s="11" t="s">
        <v>5</v>
      </c>
      <c r="B538" s="12" t="s">
        <v>43</v>
      </c>
      <c r="C538" s="12">
        <v>95.239776611328097</v>
      </c>
      <c r="D538" s="12">
        <v>1979</v>
      </c>
    </row>
    <row r="539" spans="1:4" ht="19.899999999999999" customHeight="1">
      <c r="A539" s="11" t="s">
        <v>6</v>
      </c>
      <c r="B539" s="12" t="s">
        <v>43</v>
      </c>
      <c r="C539" s="12"/>
      <c r="D539" s="12">
        <v>1979</v>
      </c>
    </row>
    <row r="540" spans="1:4" ht="19.899999999999999" customHeight="1">
      <c r="A540" s="11" t="s">
        <v>7</v>
      </c>
      <c r="B540" s="12" t="s">
        <v>43</v>
      </c>
      <c r="C540" s="12">
        <v>105.16561889648401</v>
      </c>
      <c r="D540" s="12">
        <v>1979</v>
      </c>
    </row>
    <row r="541" spans="1:4" ht="19.899999999999999" customHeight="1">
      <c r="A541" s="11" t="s">
        <v>8</v>
      </c>
      <c r="B541" s="12" t="s">
        <v>43</v>
      </c>
      <c r="C541" s="12">
        <v>26.630830764770501</v>
      </c>
      <c r="D541" s="12">
        <v>1979</v>
      </c>
    </row>
    <row r="542" spans="1:4" ht="19.899999999999999" customHeight="1">
      <c r="A542" s="11" t="s">
        <v>1</v>
      </c>
      <c r="B542" s="12" t="s">
        <v>43</v>
      </c>
      <c r="C542" s="12">
        <v>26.123640060424801</v>
      </c>
      <c r="D542" s="12">
        <v>1979</v>
      </c>
    </row>
    <row r="543" spans="1:4" ht="19.899999999999999" customHeight="1">
      <c r="A543" s="11" t="s">
        <v>9</v>
      </c>
      <c r="B543" s="12" t="s">
        <v>43</v>
      </c>
      <c r="C543" s="12">
        <v>39.255500793457003</v>
      </c>
      <c r="D543" s="12">
        <v>1979</v>
      </c>
    </row>
    <row r="544" spans="1:4" ht="19.899999999999999" customHeight="1">
      <c r="A544" s="11" t="s">
        <v>10</v>
      </c>
      <c r="B544" s="12" t="s">
        <v>43</v>
      </c>
      <c r="C544" s="12">
        <v>62.381221771240199</v>
      </c>
      <c r="D544" s="12">
        <v>1979</v>
      </c>
    </row>
    <row r="545" spans="1:4" ht="19.899999999999999" customHeight="1">
      <c r="A545" s="11" t="s">
        <v>11</v>
      </c>
      <c r="B545" s="12" t="s">
        <v>43</v>
      </c>
      <c r="C545" s="12">
        <v>119.332321166992</v>
      </c>
      <c r="D545" s="12">
        <v>1979</v>
      </c>
    </row>
    <row r="546" spans="1:4" ht="19.899999999999999" customHeight="1">
      <c r="A546" s="11" t="s">
        <v>38</v>
      </c>
      <c r="B546" s="12" t="s">
        <v>43</v>
      </c>
      <c r="C546" s="12"/>
      <c r="D546" s="12">
        <v>1979</v>
      </c>
    </row>
    <row r="547" spans="1:4" ht="19.899999999999999" customHeight="1">
      <c r="A547" s="11" t="s">
        <v>12</v>
      </c>
      <c r="B547" s="12" t="s">
        <v>43</v>
      </c>
      <c r="C547" s="12">
        <v>46.455421447753899</v>
      </c>
      <c r="D547" s="12">
        <v>1979</v>
      </c>
    </row>
    <row r="548" spans="1:4" ht="19.899999999999999" customHeight="1">
      <c r="A548" s="11" t="s">
        <v>13</v>
      </c>
      <c r="B548" s="12" t="s">
        <v>43</v>
      </c>
      <c r="C548" s="12">
        <v>122.89080047607401</v>
      </c>
      <c r="D548" s="12">
        <v>1979</v>
      </c>
    </row>
    <row r="549" spans="1:4" ht="19.899999999999999" customHeight="1">
      <c r="A549" s="11" t="s">
        <v>14</v>
      </c>
      <c r="B549" s="12" t="s">
        <v>43</v>
      </c>
      <c r="C549" s="12">
        <v>59.675270080566399</v>
      </c>
      <c r="D549" s="12">
        <v>1979</v>
      </c>
    </row>
    <row r="550" spans="1:4" ht="19.899999999999999" customHeight="1">
      <c r="A550" s="11" t="s">
        <v>15</v>
      </c>
      <c r="B550" s="12" t="s">
        <v>43</v>
      </c>
      <c r="C550" s="12">
        <v>28.177940368652301</v>
      </c>
      <c r="D550" s="12">
        <v>1979</v>
      </c>
    </row>
    <row r="551" spans="1:4" ht="19.899999999999999" customHeight="1">
      <c r="A551" s="11" t="s">
        <v>16</v>
      </c>
      <c r="B551" s="12" t="s">
        <v>43</v>
      </c>
      <c r="C551" s="12"/>
      <c r="D551" s="12">
        <v>1979</v>
      </c>
    </row>
    <row r="552" spans="1:4" ht="19.899999999999999" customHeight="1">
      <c r="A552" s="11" t="s">
        <v>17</v>
      </c>
      <c r="B552" s="12" t="s">
        <v>43</v>
      </c>
      <c r="C552" s="12">
        <v>110.095268249512</v>
      </c>
      <c r="D552" s="12">
        <v>1979</v>
      </c>
    </row>
    <row r="553" spans="1:4" ht="19.899999999999999" customHeight="1">
      <c r="A553" s="11" t="s">
        <v>18</v>
      </c>
      <c r="B553" s="12" t="s">
        <v>43</v>
      </c>
      <c r="C553" s="12">
        <v>87.684791564941406</v>
      </c>
      <c r="D553" s="12">
        <v>1979</v>
      </c>
    </row>
    <row r="554" spans="1:4" ht="19.899999999999999" customHeight="1">
      <c r="A554" s="11" t="s">
        <v>19</v>
      </c>
      <c r="B554" s="12" t="s">
        <v>43</v>
      </c>
      <c r="C554" s="12">
        <v>88.543472290039105</v>
      </c>
      <c r="D554" s="12">
        <v>1979</v>
      </c>
    </row>
    <row r="555" spans="1:4" ht="19.899999999999999" customHeight="1">
      <c r="A555" s="11" t="s">
        <v>20</v>
      </c>
      <c r="B555" s="12" t="s">
        <v>43</v>
      </c>
      <c r="C555" s="12">
        <v>77.762451171875</v>
      </c>
      <c r="D555" s="12">
        <v>1979</v>
      </c>
    </row>
    <row r="556" spans="1:4" ht="19.899999999999999" customHeight="1">
      <c r="A556" s="11" t="s">
        <v>21</v>
      </c>
      <c r="B556" s="12" t="s">
        <v>43</v>
      </c>
      <c r="C556" s="12">
        <v>19.7563991546631</v>
      </c>
      <c r="D556" s="12">
        <v>1979</v>
      </c>
    </row>
    <row r="557" spans="1:4" ht="19.899999999999999" customHeight="1">
      <c r="A557" s="11" t="s">
        <v>22</v>
      </c>
      <c r="B557" s="12" t="s">
        <v>43</v>
      </c>
      <c r="C557" s="12">
        <v>66.4287109375</v>
      </c>
      <c r="D557" s="12">
        <v>1979</v>
      </c>
    </row>
    <row r="558" spans="1:4" ht="19.899999999999999" customHeight="1">
      <c r="A558" s="11" t="s">
        <v>23</v>
      </c>
      <c r="B558" s="12" t="s">
        <v>43</v>
      </c>
      <c r="C558" s="12"/>
      <c r="D558" s="12">
        <v>1979</v>
      </c>
    </row>
    <row r="559" spans="1:4" ht="19.899999999999999" customHeight="1">
      <c r="A559" s="11" t="s">
        <v>24</v>
      </c>
      <c r="B559" s="12" t="s">
        <v>43</v>
      </c>
      <c r="C559" s="12">
        <v>94.950126647949205</v>
      </c>
      <c r="D559" s="12">
        <v>1979</v>
      </c>
    </row>
    <row r="560" spans="1:4" ht="19.899999999999999" customHeight="1">
      <c r="A560" s="11" t="s">
        <v>25</v>
      </c>
      <c r="B560" s="12" t="s">
        <v>43</v>
      </c>
      <c r="C560" s="12"/>
      <c r="D560" s="12">
        <v>1979</v>
      </c>
    </row>
    <row r="561" spans="1:4" ht="19.899999999999999" customHeight="1">
      <c r="A561" s="11" t="s">
        <v>26</v>
      </c>
      <c r="B561" s="12" t="s">
        <v>43</v>
      </c>
      <c r="C561" s="12">
        <v>93.870246887207003</v>
      </c>
      <c r="D561" s="12">
        <v>1979</v>
      </c>
    </row>
    <row r="562" spans="1:4" ht="19.899999999999999" customHeight="1">
      <c r="A562" s="11" t="s">
        <v>27</v>
      </c>
      <c r="B562" s="12" t="s">
        <v>43</v>
      </c>
      <c r="C562" s="12">
        <v>50.3974418640137</v>
      </c>
      <c r="D562" s="12">
        <v>1979</v>
      </c>
    </row>
    <row r="563" spans="1:4" ht="19.899999999999999" customHeight="1">
      <c r="A563" s="11" t="s">
        <v>28</v>
      </c>
      <c r="B563" s="12" t="s">
        <v>43</v>
      </c>
      <c r="C563" s="12">
        <v>91.142860412597699</v>
      </c>
      <c r="D563" s="12">
        <v>1979</v>
      </c>
    </row>
    <row r="564" spans="1:4" ht="19.899999999999999" customHeight="1">
      <c r="A564" s="11" t="s">
        <v>29</v>
      </c>
      <c r="B564" s="12" t="s">
        <v>43</v>
      </c>
      <c r="C564" s="12">
        <v>60.420539855957003</v>
      </c>
      <c r="D564" s="12">
        <v>1979</v>
      </c>
    </row>
    <row r="565" spans="1:4" ht="19.899999999999999" customHeight="1">
      <c r="A565" s="11" t="s">
        <v>4</v>
      </c>
      <c r="B565" s="12" t="s">
        <v>43</v>
      </c>
      <c r="C565" s="12">
        <v>25.978530883789102</v>
      </c>
      <c r="D565" s="12">
        <v>1980</v>
      </c>
    </row>
    <row r="566" spans="1:4" ht="19.899999999999999" customHeight="1">
      <c r="A566" s="11" t="s">
        <v>5</v>
      </c>
      <c r="B566" s="12" t="s">
        <v>43</v>
      </c>
      <c r="C566" s="12">
        <v>95.666366577148395</v>
      </c>
      <c r="D566" s="12">
        <v>1980</v>
      </c>
    </row>
    <row r="567" spans="1:4" ht="19.899999999999999" customHeight="1">
      <c r="A567" s="11" t="s">
        <v>6</v>
      </c>
      <c r="B567" s="12" t="s">
        <v>43</v>
      </c>
      <c r="C567" s="12"/>
      <c r="D567" s="12">
        <v>1980</v>
      </c>
    </row>
    <row r="568" spans="1:4" ht="19.899999999999999" customHeight="1">
      <c r="A568" s="11" t="s">
        <v>7</v>
      </c>
      <c r="B568" s="12" t="s">
        <v>43</v>
      </c>
      <c r="C568" s="12"/>
      <c r="D568" s="12">
        <v>1980</v>
      </c>
    </row>
    <row r="569" spans="1:4" ht="19.899999999999999" customHeight="1">
      <c r="A569" s="11" t="s">
        <v>8</v>
      </c>
      <c r="B569" s="12" t="s">
        <v>43</v>
      </c>
      <c r="C569" s="12">
        <v>26.614120483398398</v>
      </c>
      <c r="D569" s="12">
        <v>1980</v>
      </c>
    </row>
    <row r="570" spans="1:4" ht="19.899999999999999" customHeight="1">
      <c r="A570" s="11" t="s">
        <v>1</v>
      </c>
      <c r="B570" s="12" t="s">
        <v>43</v>
      </c>
      <c r="C570" s="12">
        <v>33.763401031494098</v>
      </c>
      <c r="D570" s="12">
        <v>1980</v>
      </c>
    </row>
    <row r="571" spans="1:4" ht="19.899999999999999" customHeight="1">
      <c r="A571" s="11" t="s">
        <v>9</v>
      </c>
      <c r="B571" s="12" t="s">
        <v>43</v>
      </c>
      <c r="C571" s="12">
        <v>40.525440216064503</v>
      </c>
      <c r="D571" s="12">
        <v>1980</v>
      </c>
    </row>
    <row r="572" spans="1:4" ht="19.899999999999999" customHeight="1">
      <c r="A572" s="11" t="s">
        <v>10</v>
      </c>
      <c r="B572" s="12" t="s">
        <v>43</v>
      </c>
      <c r="C572" s="12">
        <v>67.844131469726605</v>
      </c>
      <c r="D572" s="12">
        <v>1980</v>
      </c>
    </row>
    <row r="573" spans="1:4" ht="19.899999999999999" customHeight="1">
      <c r="A573" s="11" t="s">
        <v>11</v>
      </c>
      <c r="B573" s="12" t="s">
        <v>43</v>
      </c>
      <c r="C573" s="12">
        <v>119.864608764648</v>
      </c>
      <c r="D573" s="12">
        <v>1980</v>
      </c>
    </row>
    <row r="574" spans="1:4" ht="19.899999999999999" customHeight="1">
      <c r="A574" s="11" t="s">
        <v>38</v>
      </c>
      <c r="B574" s="12" t="s">
        <v>43</v>
      </c>
      <c r="C574" s="12"/>
      <c r="D574" s="12">
        <v>1980</v>
      </c>
    </row>
    <row r="575" spans="1:4" ht="19.899999999999999" customHeight="1">
      <c r="A575" s="11" t="s">
        <v>12</v>
      </c>
      <c r="B575" s="12" t="s">
        <v>43</v>
      </c>
      <c r="C575" s="12">
        <v>49.053199768066399</v>
      </c>
      <c r="D575" s="12">
        <v>1980</v>
      </c>
    </row>
    <row r="576" spans="1:4" ht="19.899999999999999" customHeight="1">
      <c r="A576" s="11" t="s">
        <v>13</v>
      </c>
      <c r="B576" s="12" t="s">
        <v>43</v>
      </c>
      <c r="C576" s="12">
        <v>130.89309692382801</v>
      </c>
      <c r="D576" s="12">
        <v>1980</v>
      </c>
    </row>
    <row r="577" spans="1:4" ht="19.899999999999999" customHeight="1">
      <c r="A577" s="11" t="s">
        <v>14</v>
      </c>
      <c r="B577" s="12" t="s">
        <v>43</v>
      </c>
      <c r="C577" s="12">
        <v>63.36083984375</v>
      </c>
      <c r="D577" s="12">
        <v>1980</v>
      </c>
    </row>
    <row r="578" spans="1:4" ht="19.899999999999999" customHeight="1">
      <c r="A578" s="11" t="s">
        <v>15</v>
      </c>
      <c r="B578" s="12" t="s">
        <v>43</v>
      </c>
      <c r="C578" s="12">
        <v>27.936439514160199</v>
      </c>
      <c r="D578" s="12">
        <v>1980</v>
      </c>
    </row>
    <row r="579" spans="1:4" ht="19.899999999999999" customHeight="1">
      <c r="A579" s="11" t="s">
        <v>16</v>
      </c>
      <c r="B579" s="12" t="s">
        <v>43</v>
      </c>
      <c r="C579" s="12"/>
      <c r="D579" s="12">
        <v>1980</v>
      </c>
    </row>
    <row r="580" spans="1:4" ht="19.899999999999999" customHeight="1">
      <c r="A580" s="11" t="s">
        <v>17</v>
      </c>
      <c r="B580" s="12" t="s">
        <v>43</v>
      </c>
      <c r="C580" s="12"/>
      <c r="D580" s="12">
        <v>1980</v>
      </c>
    </row>
    <row r="581" spans="1:4" ht="19.899999999999999" customHeight="1">
      <c r="A581" s="11" t="s">
        <v>18</v>
      </c>
      <c r="B581" s="12" t="s">
        <v>43</v>
      </c>
      <c r="C581" s="12">
        <v>89.146026611328097</v>
      </c>
      <c r="D581" s="12">
        <v>1980</v>
      </c>
    </row>
    <row r="582" spans="1:4" ht="19.899999999999999" customHeight="1">
      <c r="A582" s="11" t="s">
        <v>19</v>
      </c>
      <c r="B582" s="12" t="s">
        <v>43</v>
      </c>
      <c r="C582" s="12">
        <v>91.174392700195298</v>
      </c>
      <c r="D582" s="12">
        <v>1980</v>
      </c>
    </row>
    <row r="583" spans="1:4" ht="19.899999999999999" customHeight="1">
      <c r="A583" s="11" t="s">
        <v>20</v>
      </c>
      <c r="B583" s="12" t="s">
        <v>43</v>
      </c>
      <c r="C583" s="12">
        <v>86.2158203125</v>
      </c>
      <c r="D583" s="12">
        <v>1980</v>
      </c>
    </row>
    <row r="584" spans="1:4" ht="19.899999999999999" customHeight="1">
      <c r="A584" s="11" t="s">
        <v>21</v>
      </c>
      <c r="B584" s="12" t="s">
        <v>43</v>
      </c>
      <c r="C584" s="12">
        <v>21.515499114990199</v>
      </c>
      <c r="D584" s="12">
        <v>1980</v>
      </c>
    </row>
    <row r="585" spans="1:4" ht="19.899999999999999" customHeight="1">
      <c r="A585" s="11" t="s">
        <v>22</v>
      </c>
      <c r="B585" s="12" t="s">
        <v>43</v>
      </c>
      <c r="C585" s="12">
        <v>69.555862426757798</v>
      </c>
      <c r="D585" s="12">
        <v>1980</v>
      </c>
    </row>
    <row r="586" spans="1:4" ht="19.899999999999999" customHeight="1">
      <c r="A586" s="11" t="s">
        <v>23</v>
      </c>
      <c r="B586" s="12" t="s">
        <v>43</v>
      </c>
      <c r="C586" s="12">
        <v>159.35328674316401</v>
      </c>
      <c r="D586" s="12">
        <v>1980</v>
      </c>
    </row>
    <row r="587" spans="1:4" ht="19.899999999999999" customHeight="1">
      <c r="A587" s="11" t="s">
        <v>24</v>
      </c>
      <c r="B587" s="12" t="s">
        <v>43</v>
      </c>
      <c r="C587" s="12">
        <v>99.025062561035199</v>
      </c>
      <c r="D587" s="12">
        <v>1980</v>
      </c>
    </row>
    <row r="588" spans="1:4" ht="19.899999999999999" customHeight="1">
      <c r="A588" s="11" t="s">
        <v>25</v>
      </c>
      <c r="B588" s="12" t="s">
        <v>43</v>
      </c>
      <c r="C588" s="12"/>
      <c r="D588" s="12">
        <v>1980</v>
      </c>
    </row>
    <row r="589" spans="1:4" ht="19.899999999999999" customHeight="1">
      <c r="A589" s="11" t="s">
        <v>26</v>
      </c>
      <c r="B589" s="12" t="s">
        <v>43</v>
      </c>
      <c r="C589" s="12">
        <v>95.398002624511705</v>
      </c>
      <c r="D589" s="12">
        <v>1980</v>
      </c>
    </row>
    <row r="590" spans="1:4" ht="19.899999999999999" customHeight="1">
      <c r="A590" s="11" t="s">
        <v>27</v>
      </c>
      <c r="B590" s="12" t="s">
        <v>43</v>
      </c>
      <c r="C590" s="12">
        <v>52.240810394287102</v>
      </c>
      <c r="D590" s="12">
        <v>1980</v>
      </c>
    </row>
    <row r="591" spans="1:4" ht="19.899999999999999" customHeight="1">
      <c r="A591" s="11" t="s">
        <v>28</v>
      </c>
      <c r="B591" s="12" t="s">
        <v>43</v>
      </c>
      <c r="C591" s="12">
        <v>91.848129272460895</v>
      </c>
      <c r="D591" s="12">
        <v>1980</v>
      </c>
    </row>
    <row r="592" spans="1:4" ht="19.899999999999999" customHeight="1">
      <c r="A592" s="11" t="s">
        <v>29</v>
      </c>
      <c r="B592" s="12" t="s">
        <v>43</v>
      </c>
      <c r="C592" s="12">
        <v>86.403739929199205</v>
      </c>
      <c r="D592" s="12">
        <v>1980</v>
      </c>
    </row>
    <row r="593" spans="1:4" ht="19.899999999999999" customHeight="1">
      <c r="A593" s="11" t="s">
        <v>4</v>
      </c>
      <c r="B593" s="12" t="s">
        <v>43</v>
      </c>
      <c r="C593" s="12">
        <v>28.4558506011963</v>
      </c>
      <c r="D593" s="12">
        <v>1981</v>
      </c>
    </row>
    <row r="594" spans="1:4" ht="19.899999999999999" customHeight="1">
      <c r="A594" s="11" t="s">
        <v>5</v>
      </c>
      <c r="B594" s="12" t="s">
        <v>43</v>
      </c>
      <c r="C594" s="12">
        <v>98.156158447265597</v>
      </c>
      <c r="D594" s="12">
        <v>1981</v>
      </c>
    </row>
    <row r="595" spans="1:4" ht="19.899999999999999" customHeight="1">
      <c r="A595" s="11" t="s">
        <v>6</v>
      </c>
      <c r="B595" s="12" t="s">
        <v>43</v>
      </c>
      <c r="C595" s="12"/>
      <c r="D595" s="12">
        <v>1981</v>
      </c>
    </row>
    <row r="596" spans="1:4" ht="19.899999999999999" customHeight="1">
      <c r="A596" s="11" t="s">
        <v>7</v>
      </c>
      <c r="B596" s="12" t="s">
        <v>43</v>
      </c>
      <c r="C596" s="12">
        <v>117.65087890625</v>
      </c>
      <c r="D596" s="12">
        <v>1981</v>
      </c>
    </row>
    <row r="597" spans="1:4" ht="19.899999999999999" customHeight="1">
      <c r="A597" s="11" t="s">
        <v>8</v>
      </c>
      <c r="B597" s="12" t="s">
        <v>43</v>
      </c>
      <c r="C597" s="12">
        <v>27.850629806518601</v>
      </c>
      <c r="D597" s="12">
        <v>1981</v>
      </c>
    </row>
    <row r="598" spans="1:4" ht="19.899999999999999" customHeight="1">
      <c r="A598" s="11" t="s">
        <v>1</v>
      </c>
      <c r="B598" s="12" t="s">
        <v>43</v>
      </c>
      <c r="C598" s="12">
        <v>38.856410980224602</v>
      </c>
      <c r="D598" s="12">
        <v>1981</v>
      </c>
    </row>
    <row r="599" spans="1:4" ht="19.899999999999999" customHeight="1">
      <c r="A599" s="11" t="s">
        <v>9</v>
      </c>
      <c r="B599" s="12" t="s">
        <v>43</v>
      </c>
      <c r="C599" s="12">
        <v>39.273200988769503</v>
      </c>
      <c r="D599" s="12">
        <v>1981</v>
      </c>
    </row>
    <row r="600" spans="1:4" ht="19.899999999999999" customHeight="1">
      <c r="A600" s="11" t="s">
        <v>10</v>
      </c>
      <c r="B600" s="12" t="s">
        <v>43</v>
      </c>
      <c r="C600" s="12">
        <v>74.512687683105497</v>
      </c>
      <c r="D600" s="12">
        <v>1981</v>
      </c>
    </row>
    <row r="601" spans="1:4" ht="19.899999999999999" customHeight="1">
      <c r="A601" s="11" t="s">
        <v>11</v>
      </c>
      <c r="B601" s="12" t="s">
        <v>43</v>
      </c>
      <c r="C601" s="12">
        <v>116.051719665527</v>
      </c>
      <c r="D601" s="12">
        <v>1981</v>
      </c>
    </row>
    <row r="602" spans="1:4" ht="19.899999999999999" customHeight="1">
      <c r="A602" s="11" t="s">
        <v>38</v>
      </c>
      <c r="B602" s="12" t="s">
        <v>43</v>
      </c>
      <c r="C602" s="12"/>
      <c r="D602" s="12">
        <v>1981</v>
      </c>
    </row>
    <row r="603" spans="1:4" ht="19.899999999999999" customHeight="1">
      <c r="A603" s="11" t="s">
        <v>12</v>
      </c>
      <c r="B603" s="12" t="s">
        <v>43</v>
      </c>
      <c r="C603" s="12"/>
      <c r="D603" s="12">
        <v>1981</v>
      </c>
    </row>
    <row r="604" spans="1:4" ht="19.899999999999999" customHeight="1">
      <c r="A604" s="11" t="s">
        <v>13</v>
      </c>
      <c r="B604" s="12" t="s">
        <v>43</v>
      </c>
      <c r="C604" s="12">
        <v>137.29318237304699</v>
      </c>
      <c r="D604" s="12">
        <v>1981</v>
      </c>
    </row>
    <row r="605" spans="1:4" ht="19.899999999999999" customHeight="1">
      <c r="A605" s="11" t="s">
        <v>14</v>
      </c>
      <c r="B605" s="12" t="s">
        <v>43</v>
      </c>
      <c r="C605" s="12">
        <v>63.7058715820313</v>
      </c>
      <c r="D605" s="12">
        <v>1981</v>
      </c>
    </row>
    <row r="606" spans="1:4" ht="19.899999999999999" customHeight="1">
      <c r="A606" s="11" t="s">
        <v>15</v>
      </c>
      <c r="B606" s="12" t="s">
        <v>43</v>
      </c>
      <c r="C606" s="12">
        <v>26.636499404907202</v>
      </c>
      <c r="D606" s="12">
        <v>1981</v>
      </c>
    </row>
    <row r="607" spans="1:4" ht="19.899999999999999" customHeight="1">
      <c r="A607" s="11" t="s">
        <v>16</v>
      </c>
      <c r="B607" s="12" t="s">
        <v>43</v>
      </c>
      <c r="C607" s="12">
        <v>82.667152404785199</v>
      </c>
      <c r="D607" s="12">
        <v>1981</v>
      </c>
    </row>
    <row r="608" spans="1:4" ht="19.899999999999999" customHeight="1">
      <c r="A608" s="11" t="s">
        <v>17</v>
      </c>
      <c r="B608" s="12" t="s">
        <v>43</v>
      </c>
      <c r="C608" s="12">
        <v>100.611198425293</v>
      </c>
      <c r="D608" s="12">
        <v>1981</v>
      </c>
    </row>
    <row r="609" spans="1:4" ht="19.899999999999999" customHeight="1">
      <c r="A609" s="11" t="s">
        <v>18</v>
      </c>
      <c r="B609" s="12" t="s">
        <v>43</v>
      </c>
      <c r="C609" s="12">
        <v>91.807479858398395</v>
      </c>
      <c r="D609" s="12">
        <v>1981</v>
      </c>
    </row>
    <row r="610" spans="1:4" ht="19.899999999999999" customHeight="1">
      <c r="A610" s="11" t="s">
        <v>19</v>
      </c>
      <c r="B610" s="12" t="s">
        <v>43</v>
      </c>
      <c r="C610" s="12">
        <v>71.736923217773395</v>
      </c>
      <c r="D610" s="12">
        <v>1981</v>
      </c>
    </row>
    <row r="611" spans="1:4" ht="19.899999999999999" customHeight="1">
      <c r="A611" s="11" t="s">
        <v>20</v>
      </c>
      <c r="B611" s="12" t="s">
        <v>43</v>
      </c>
      <c r="C611" s="12"/>
      <c r="D611" s="12">
        <v>1981</v>
      </c>
    </row>
    <row r="612" spans="1:4" ht="19.899999999999999" customHeight="1">
      <c r="A612" s="11" t="s">
        <v>21</v>
      </c>
      <c r="B612" s="12" t="s">
        <v>43</v>
      </c>
      <c r="C612" s="12">
        <v>23.0036506652832</v>
      </c>
      <c r="D612" s="12">
        <v>1981</v>
      </c>
    </row>
    <row r="613" spans="1:4" ht="19.899999999999999" customHeight="1">
      <c r="A613" s="11" t="s">
        <v>22</v>
      </c>
      <c r="B613" s="12" t="s">
        <v>43</v>
      </c>
      <c r="C613" s="12">
        <v>73.902328491210895</v>
      </c>
      <c r="D613" s="12">
        <v>1981</v>
      </c>
    </row>
    <row r="614" spans="1:4" ht="19.899999999999999" customHeight="1">
      <c r="A614" s="11" t="s">
        <v>23</v>
      </c>
      <c r="B614" s="12" t="s">
        <v>43</v>
      </c>
      <c r="C614" s="12">
        <v>157.85618591308599</v>
      </c>
      <c r="D614" s="12">
        <v>1981</v>
      </c>
    </row>
    <row r="615" spans="1:4" ht="19.899999999999999" customHeight="1">
      <c r="A615" s="11" t="s">
        <v>24</v>
      </c>
      <c r="B615" s="12" t="s">
        <v>43</v>
      </c>
      <c r="C615" s="12">
        <v>101.26393127441401</v>
      </c>
      <c r="D615" s="12">
        <v>1981</v>
      </c>
    </row>
    <row r="616" spans="1:4" ht="19.899999999999999" customHeight="1">
      <c r="A616" s="11" t="s">
        <v>25</v>
      </c>
      <c r="B616" s="12" t="s">
        <v>43</v>
      </c>
      <c r="C616" s="12"/>
      <c r="D616" s="12">
        <v>1981</v>
      </c>
    </row>
    <row r="617" spans="1:4" ht="19.899999999999999" customHeight="1">
      <c r="A617" s="11" t="s">
        <v>26</v>
      </c>
      <c r="B617" s="12" t="s">
        <v>43</v>
      </c>
      <c r="C617" s="12">
        <v>96.950248718261705</v>
      </c>
      <c r="D617" s="12">
        <v>1981</v>
      </c>
    </row>
    <row r="618" spans="1:4" ht="19.899999999999999" customHeight="1">
      <c r="A618" s="11" t="s">
        <v>27</v>
      </c>
      <c r="B618" s="12" t="s">
        <v>43</v>
      </c>
      <c r="C618" s="12">
        <v>54.7929496765137</v>
      </c>
      <c r="D618" s="12">
        <v>1981</v>
      </c>
    </row>
    <row r="619" spans="1:4" ht="19.899999999999999" customHeight="1">
      <c r="A619" s="11" t="s">
        <v>28</v>
      </c>
      <c r="B619" s="12" t="s">
        <v>43</v>
      </c>
      <c r="C619" s="12">
        <v>90.995437622070298</v>
      </c>
      <c r="D619" s="12">
        <v>1981</v>
      </c>
    </row>
    <row r="620" spans="1:4" ht="19.899999999999999" customHeight="1">
      <c r="A620" s="11" t="s">
        <v>29</v>
      </c>
      <c r="B620" s="12" t="s">
        <v>43</v>
      </c>
      <c r="C620" s="12">
        <v>115.81024169921901</v>
      </c>
      <c r="D620" s="12">
        <v>1981</v>
      </c>
    </row>
    <row r="621" spans="1:4" ht="19.899999999999999" customHeight="1">
      <c r="A621" s="11" t="s">
        <v>4</v>
      </c>
      <c r="B621" s="12" t="s">
        <v>43</v>
      </c>
      <c r="C621" s="12">
        <v>32.990550994872997</v>
      </c>
      <c r="D621" s="12">
        <v>1982</v>
      </c>
    </row>
    <row r="622" spans="1:4" ht="19.899999999999999" customHeight="1">
      <c r="A622" s="11" t="s">
        <v>5</v>
      </c>
      <c r="B622" s="12" t="s">
        <v>43</v>
      </c>
      <c r="C622" s="12">
        <v>99.140937805175795</v>
      </c>
      <c r="D622" s="12">
        <v>1982</v>
      </c>
    </row>
    <row r="623" spans="1:4" ht="19.899999999999999" customHeight="1">
      <c r="A623" s="11" t="s">
        <v>6</v>
      </c>
      <c r="B623" s="12" t="s">
        <v>43</v>
      </c>
      <c r="C623" s="12"/>
      <c r="D623" s="12">
        <v>1982</v>
      </c>
    </row>
    <row r="624" spans="1:4" ht="19.899999999999999" customHeight="1">
      <c r="A624" s="11" t="s">
        <v>7</v>
      </c>
      <c r="B624" s="12" t="s">
        <v>43</v>
      </c>
      <c r="C624" s="12"/>
      <c r="D624" s="12">
        <v>1982</v>
      </c>
    </row>
    <row r="625" spans="1:4" ht="19.899999999999999" customHeight="1">
      <c r="A625" s="11" t="s">
        <v>8</v>
      </c>
      <c r="B625" s="12" t="s">
        <v>43</v>
      </c>
      <c r="C625" s="12">
        <v>30.096839904785199</v>
      </c>
      <c r="D625" s="12">
        <v>1982</v>
      </c>
    </row>
    <row r="626" spans="1:4" ht="19.899999999999999" customHeight="1">
      <c r="A626" s="11" t="s">
        <v>1</v>
      </c>
      <c r="B626" s="12" t="s">
        <v>43</v>
      </c>
      <c r="C626" s="12">
        <v>41.638359069824197</v>
      </c>
      <c r="D626" s="12">
        <v>1982</v>
      </c>
    </row>
    <row r="627" spans="1:4" ht="19.899999999999999" customHeight="1">
      <c r="A627" s="11" t="s">
        <v>9</v>
      </c>
      <c r="B627" s="12" t="s">
        <v>43</v>
      </c>
      <c r="C627" s="12">
        <v>37.296249389648402</v>
      </c>
      <c r="D627" s="12">
        <v>1982</v>
      </c>
    </row>
    <row r="628" spans="1:4" ht="19.899999999999999" customHeight="1">
      <c r="A628" s="11" t="s">
        <v>10</v>
      </c>
      <c r="B628" s="12" t="s">
        <v>43</v>
      </c>
      <c r="C628" s="12">
        <v>75.290908813476605</v>
      </c>
      <c r="D628" s="12">
        <v>1982</v>
      </c>
    </row>
    <row r="629" spans="1:4" ht="19.899999999999999" customHeight="1">
      <c r="A629" s="11" t="s">
        <v>11</v>
      </c>
      <c r="B629" s="12" t="s">
        <v>43</v>
      </c>
      <c r="C629" s="12">
        <v>117.455192565918</v>
      </c>
      <c r="D629" s="12">
        <v>1982</v>
      </c>
    </row>
    <row r="630" spans="1:4" ht="19.899999999999999" customHeight="1">
      <c r="A630" s="11" t="s">
        <v>38</v>
      </c>
      <c r="B630" s="12" t="s">
        <v>43</v>
      </c>
      <c r="C630" s="12"/>
      <c r="D630" s="12">
        <v>1982</v>
      </c>
    </row>
    <row r="631" spans="1:4" ht="19.899999999999999" customHeight="1">
      <c r="A631" s="11" t="s">
        <v>12</v>
      </c>
      <c r="B631" s="12" t="s">
        <v>43</v>
      </c>
      <c r="C631" s="12"/>
      <c r="D631" s="12">
        <v>1982</v>
      </c>
    </row>
    <row r="632" spans="1:4" ht="19.899999999999999" customHeight="1">
      <c r="A632" s="11" t="s">
        <v>13</v>
      </c>
      <c r="B632" s="12" t="s">
        <v>43</v>
      </c>
      <c r="C632" s="12">
        <v>133.42367553710901</v>
      </c>
      <c r="D632" s="12">
        <v>1982</v>
      </c>
    </row>
    <row r="633" spans="1:4" ht="19.899999999999999" customHeight="1">
      <c r="A633" s="11" t="s">
        <v>14</v>
      </c>
      <c r="B633" s="12" t="s">
        <v>43</v>
      </c>
      <c r="C633" s="12">
        <v>67.449989318847699</v>
      </c>
      <c r="D633" s="12">
        <v>1982</v>
      </c>
    </row>
    <row r="634" spans="1:4" ht="19.899999999999999" customHeight="1">
      <c r="A634" s="11" t="s">
        <v>15</v>
      </c>
      <c r="B634" s="12" t="s">
        <v>43</v>
      </c>
      <c r="C634" s="12">
        <v>25.950750350952099</v>
      </c>
      <c r="D634" s="12">
        <v>1982</v>
      </c>
    </row>
    <row r="635" spans="1:4" ht="19.899999999999999" customHeight="1">
      <c r="A635" s="11" t="s">
        <v>16</v>
      </c>
      <c r="B635" s="12" t="s">
        <v>43</v>
      </c>
      <c r="C635" s="12"/>
      <c r="D635" s="12">
        <v>1982</v>
      </c>
    </row>
    <row r="636" spans="1:4" ht="19.899999999999999" customHeight="1">
      <c r="A636" s="11" t="s">
        <v>17</v>
      </c>
      <c r="B636" s="12" t="s">
        <v>43</v>
      </c>
      <c r="C636" s="12">
        <v>90.324180603027301</v>
      </c>
      <c r="D636" s="12">
        <v>1982</v>
      </c>
    </row>
    <row r="637" spans="1:4" ht="19.899999999999999" customHeight="1">
      <c r="A637" s="11" t="s">
        <v>18</v>
      </c>
      <c r="B637" s="12" t="s">
        <v>43</v>
      </c>
      <c r="C637" s="12">
        <v>95.661857604980497</v>
      </c>
      <c r="D637" s="12">
        <v>1982</v>
      </c>
    </row>
    <row r="638" spans="1:4" ht="19.899999999999999" customHeight="1">
      <c r="A638" s="11" t="s">
        <v>19</v>
      </c>
      <c r="B638" s="12" t="s">
        <v>43</v>
      </c>
      <c r="C638" s="12">
        <v>74.100997924804702</v>
      </c>
      <c r="D638" s="12">
        <v>1982</v>
      </c>
    </row>
    <row r="639" spans="1:4" ht="19.899999999999999" customHeight="1">
      <c r="A639" s="11" t="s">
        <v>20</v>
      </c>
      <c r="B639" s="12" t="s">
        <v>43</v>
      </c>
      <c r="C639" s="12">
        <v>86.920600891113295</v>
      </c>
      <c r="D639" s="12">
        <v>1982</v>
      </c>
    </row>
    <row r="640" spans="1:4" ht="19.899999999999999" customHeight="1">
      <c r="A640" s="11" t="s">
        <v>21</v>
      </c>
      <c r="B640" s="12" t="s">
        <v>43</v>
      </c>
      <c r="C640" s="12">
        <v>23.236320495605501</v>
      </c>
      <c r="D640" s="12">
        <v>1982</v>
      </c>
    </row>
    <row r="641" spans="1:4" ht="19.899999999999999" customHeight="1">
      <c r="A641" s="11" t="s">
        <v>22</v>
      </c>
      <c r="B641" s="12" t="s">
        <v>43</v>
      </c>
      <c r="C641" s="12">
        <v>74.781822204589801</v>
      </c>
      <c r="D641" s="12">
        <v>1982</v>
      </c>
    </row>
    <row r="642" spans="1:4" ht="19.899999999999999" customHeight="1">
      <c r="A642" s="11" t="s">
        <v>23</v>
      </c>
      <c r="B642" s="12" t="s">
        <v>43</v>
      </c>
      <c r="C642" s="12">
        <v>155.25018310546901</v>
      </c>
      <c r="D642" s="12">
        <v>1982</v>
      </c>
    </row>
    <row r="643" spans="1:4" ht="19.899999999999999" customHeight="1">
      <c r="A643" s="11" t="s">
        <v>24</v>
      </c>
      <c r="B643" s="12" t="s">
        <v>43</v>
      </c>
      <c r="C643" s="12">
        <v>100.93068695068401</v>
      </c>
      <c r="D643" s="12">
        <v>1982</v>
      </c>
    </row>
    <row r="644" spans="1:4" ht="19.899999999999999" customHeight="1">
      <c r="A644" s="11" t="s">
        <v>25</v>
      </c>
      <c r="B644" s="12" t="s">
        <v>43</v>
      </c>
      <c r="C644" s="12"/>
      <c r="D644" s="12">
        <v>1982</v>
      </c>
    </row>
    <row r="645" spans="1:4" ht="19.899999999999999" customHeight="1">
      <c r="A645" s="11" t="s">
        <v>26</v>
      </c>
      <c r="B645" s="12" t="s">
        <v>43</v>
      </c>
      <c r="C645" s="12">
        <v>93.023429870605497</v>
      </c>
      <c r="D645" s="12">
        <v>1982</v>
      </c>
    </row>
    <row r="646" spans="1:4" ht="19.899999999999999" customHeight="1">
      <c r="A646" s="11" t="s">
        <v>27</v>
      </c>
      <c r="B646" s="12" t="s">
        <v>43</v>
      </c>
      <c r="C646" s="12">
        <v>61.043228149414098</v>
      </c>
      <c r="D646" s="12">
        <v>1982</v>
      </c>
    </row>
    <row r="647" spans="1:4" ht="19.899999999999999" customHeight="1">
      <c r="A647" s="11" t="s">
        <v>28</v>
      </c>
      <c r="B647" s="12" t="s">
        <v>43</v>
      </c>
      <c r="C647" s="12">
        <v>91.443199157714801</v>
      </c>
      <c r="D647" s="12">
        <v>1982</v>
      </c>
    </row>
    <row r="648" spans="1:4" ht="19.899999999999999" customHeight="1">
      <c r="A648" s="11" t="s">
        <v>29</v>
      </c>
      <c r="B648" s="12" t="s">
        <v>43</v>
      </c>
      <c r="C648" s="12">
        <v>123.92392730712901</v>
      </c>
      <c r="D648" s="12">
        <v>1982</v>
      </c>
    </row>
    <row r="649" spans="1:4" ht="19.899999999999999" customHeight="1">
      <c r="A649" s="11" t="s">
        <v>4</v>
      </c>
      <c r="B649" s="12" t="s">
        <v>43</v>
      </c>
      <c r="C649" s="12">
        <v>40.551441192627003</v>
      </c>
      <c r="D649" s="12">
        <v>1983</v>
      </c>
    </row>
    <row r="650" spans="1:4" ht="19.899999999999999" customHeight="1">
      <c r="A650" s="11" t="s">
        <v>5</v>
      </c>
      <c r="B650" s="12" t="s">
        <v>43</v>
      </c>
      <c r="C650" s="12">
        <v>101.704536437988</v>
      </c>
      <c r="D650" s="12">
        <v>1983</v>
      </c>
    </row>
    <row r="651" spans="1:4" ht="19.899999999999999" customHeight="1">
      <c r="A651" s="11" t="s">
        <v>6</v>
      </c>
      <c r="B651" s="12" t="s">
        <v>43</v>
      </c>
      <c r="C651" s="12"/>
      <c r="D651" s="12">
        <v>1983</v>
      </c>
    </row>
    <row r="652" spans="1:4" ht="19.899999999999999" customHeight="1">
      <c r="A652" s="11" t="s">
        <v>7</v>
      </c>
      <c r="B652" s="12" t="s">
        <v>43</v>
      </c>
      <c r="C652" s="12">
        <v>113.873657226563</v>
      </c>
      <c r="D652" s="12">
        <v>1983</v>
      </c>
    </row>
    <row r="653" spans="1:4" ht="19.899999999999999" customHeight="1">
      <c r="A653" s="11" t="s">
        <v>8</v>
      </c>
      <c r="B653" s="12" t="s">
        <v>43</v>
      </c>
      <c r="C653" s="12">
        <v>31.516359329223601</v>
      </c>
      <c r="D653" s="12">
        <v>1983</v>
      </c>
    </row>
    <row r="654" spans="1:4" ht="19.899999999999999" customHeight="1">
      <c r="A654" s="11" t="s">
        <v>1</v>
      </c>
      <c r="B654" s="12" t="s">
        <v>43</v>
      </c>
      <c r="C654" s="12">
        <v>42.2387504577637</v>
      </c>
      <c r="D654" s="12">
        <v>1983</v>
      </c>
    </row>
    <row r="655" spans="1:4" ht="19.899999999999999" customHeight="1">
      <c r="A655" s="11" t="s">
        <v>9</v>
      </c>
      <c r="B655" s="12" t="s">
        <v>43</v>
      </c>
      <c r="C655" s="12">
        <v>35.907058715820298</v>
      </c>
      <c r="D655" s="12">
        <v>1983</v>
      </c>
    </row>
    <row r="656" spans="1:4" ht="19.899999999999999" customHeight="1">
      <c r="A656" s="11" t="s">
        <v>10</v>
      </c>
      <c r="B656" s="12" t="s">
        <v>43</v>
      </c>
      <c r="C656" s="12">
        <v>81.044052124023395</v>
      </c>
      <c r="D656" s="12">
        <v>1983</v>
      </c>
    </row>
    <row r="657" spans="1:4" ht="19.899999999999999" customHeight="1">
      <c r="A657" s="11" t="s">
        <v>11</v>
      </c>
      <c r="B657" s="12" t="s">
        <v>43</v>
      </c>
      <c r="C657" s="12">
        <v>116.49749755859401</v>
      </c>
      <c r="D657" s="12">
        <v>1983</v>
      </c>
    </row>
    <row r="658" spans="1:4" ht="19.899999999999999" customHeight="1">
      <c r="A658" s="11" t="s">
        <v>38</v>
      </c>
      <c r="B658" s="12" t="s">
        <v>43</v>
      </c>
      <c r="C658" s="12"/>
      <c r="D658" s="12">
        <v>1983</v>
      </c>
    </row>
    <row r="659" spans="1:4" ht="19.899999999999999" customHeight="1">
      <c r="A659" s="11" t="s">
        <v>12</v>
      </c>
      <c r="B659" s="12" t="s">
        <v>43</v>
      </c>
      <c r="C659" s="12"/>
      <c r="D659" s="12">
        <v>1983</v>
      </c>
    </row>
    <row r="660" spans="1:4" ht="19.899999999999999" customHeight="1">
      <c r="A660" s="11" t="s">
        <v>13</v>
      </c>
      <c r="B660" s="12" t="s">
        <v>43</v>
      </c>
      <c r="C660" s="12">
        <v>126.832763671875</v>
      </c>
      <c r="D660" s="12">
        <v>1983</v>
      </c>
    </row>
    <row r="661" spans="1:4" ht="19.899999999999999" customHeight="1">
      <c r="A661" s="11" t="s">
        <v>14</v>
      </c>
      <c r="B661" s="12" t="s">
        <v>43</v>
      </c>
      <c r="C661" s="12">
        <v>63.732841491699197</v>
      </c>
      <c r="D661" s="12">
        <v>1983</v>
      </c>
    </row>
    <row r="662" spans="1:4" ht="19.899999999999999" customHeight="1">
      <c r="A662" s="11" t="s">
        <v>15</v>
      </c>
      <c r="B662" s="12" t="s">
        <v>43</v>
      </c>
      <c r="C662" s="12">
        <v>25.5748291015625</v>
      </c>
      <c r="D662" s="12">
        <v>1983</v>
      </c>
    </row>
    <row r="663" spans="1:4" ht="19.899999999999999" customHeight="1">
      <c r="A663" s="11" t="s">
        <v>16</v>
      </c>
      <c r="B663" s="12" t="s">
        <v>43</v>
      </c>
      <c r="C663" s="12"/>
      <c r="D663" s="12">
        <v>1983</v>
      </c>
    </row>
    <row r="664" spans="1:4" ht="19.899999999999999" customHeight="1">
      <c r="A664" s="11" t="s">
        <v>17</v>
      </c>
      <c r="B664" s="12" t="s">
        <v>43</v>
      </c>
      <c r="C664" s="12">
        <v>82.489967346191406</v>
      </c>
      <c r="D664" s="12">
        <v>1983</v>
      </c>
    </row>
    <row r="665" spans="1:4" ht="19.899999999999999" customHeight="1">
      <c r="A665" s="11" t="s">
        <v>18</v>
      </c>
      <c r="B665" s="12" t="s">
        <v>43</v>
      </c>
      <c r="C665" s="12">
        <v>96.741691589355497</v>
      </c>
      <c r="D665" s="12">
        <v>1983</v>
      </c>
    </row>
    <row r="666" spans="1:4" ht="19.899999999999999" customHeight="1">
      <c r="A666" s="11" t="s">
        <v>19</v>
      </c>
      <c r="B666" s="12" t="s">
        <v>43</v>
      </c>
      <c r="C666" s="12">
        <v>79.318931579589801</v>
      </c>
      <c r="D666" s="12">
        <v>1983</v>
      </c>
    </row>
    <row r="667" spans="1:4" ht="19.899999999999999" customHeight="1">
      <c r="A667" s="11" t="s">
        <v>20</v>
      </c>
      <c r="B667" s="12" t="s">
        <v>43</v>
      </c>
      <c r="C667" s="12">
        <v>88.728553771972699</v>
      </c>
      <c r="D667" s="12">
        <v>1983</v>
      </c>
    </row>
    <row r="668" spans="1:4" ht="19.899999999999999" customHeight="1">
      <c r="A668" s="11" t="s">
        <v>21</v>
      </c>
      <c r="B668" s="12" t="s">
        <v>43</v>
      </c>
      <c r="C668" s="12">
        <v>23.178960800170799</v>
      </c>
      <c r="D668" s="12">
        <v>1983</v>
      </c>
    </row>
    <row r="669" spans="1:4" ht="19.899999999999999" customHeight="1">
      <c r="A669" s="11" t="s">
        <v>22</v>
      </c>
      <c r="B669" s="12" t="s">
        <v>43</v>
      </c>
      <c r="C669" s="12">
        <v>71.556289672851605</v>
      </c>
      <c r="D669" s="12">
        <v>1983</v>
      </c>
    </row>
    <row r="670" spans="1:4" ht="19.899999999999999" customHeight="1">
      <c r="A670" s="11" t="s">
        <v>23</v>
      </c>
      <c r="B670" s="12" t="s">
        <v>43</v>
      </c>
      <c r="C670" s="12">
        <v>146.96969604492199</v>
      </c>
      <c r="D670" s="12">
        <v>1983</v>
      </c>
    </row>
    <row r="671" spans="1:4" ht="19.899999999999999" customHeight="1">
      <c r="A671" s="11" t="s">
        <v>24</v>
      </c>
      <c r="B671" s="12" t="s">
        <v>43</v>
      </c>
      <c r="C671" s="12">
        <v>100.06430816650401</v>
      </c>
      <c r="D671" s="12">
        <v>1983</v>
      </c>
    </row>
    <row r="672" spans="1:4" ht="19.899999999999999" customHeight="1">
      <c r="A672" s="11" t="s">
        <v>25</v>
      </c>
      <c r="B672" s="12" t="s">
        <v>43</v>
      </c>
      <c r="C672" s="12"/>
      <c r="D672" s="12">
        <v>1983</v>
      </c>
    </row>
    <row r="673" spans="1:4" ht="19.899999999999999" customHeight="1">
      <c r="A673" s="11" t="s">
        <v>26</v>
      </c>
      <c r="B673" s="12" t="s">
        <v>43</v>
      </c>
      <c r="C673" s="12">
        <v>91.149177551269503</v>
      </c>
      <c r="D673" s="12">
        <v>1983</v>
      </c>
    </row>
    <row r="674" spans="1:4" ht="19.899999999999999" customHeight="1">
      <c r="A674" s="11" t="s">
        <v>27</v>
      </c>
      <c r="B674" s="12" t="s">
        <v>43</v>
      </c>
      <c r="C674" s="12">
        <v>63.287551879882798</v>
      </c>
      <c r="D674" s="12">
        <v>1983</v>
      </c>
    </row>
    <row r="675" spans="1:4" ht="19.899999999999999" customHeight="1">
      <c r="A675" s="11" t="s">
        <v>28</v>
      </c>
      <c r="B675" s="12" t="s">
        <v>43</v>
      </c>
      <c r="C675" s="12">
        <v>93.822898864745994</v>
      </c>
      <c r="D675" s="12">
        <v>1983</v>
      </c>
    </row>
    <row r="676" spans="1:4" ht="19.899999999999999" customHeight="1">
      <c r="A676" s="11" t="s">
        <v>29</v>
      </c>
      <c r="B676" s="12" t="s">
        <v>43</v>
      </c>
      <c r="C676" s="12">
        <v>127.760116577148</v>
      </c>
      <c r="D676" s="12">
        <v>1983</v>
      </c>
    </row>
    <row r="677" spans="1:4" ht="19.899999999999999" customHeight="1">
      <c r="A677" s="11" t="s">
        <v>4</v>
      </c>
      <c r="B677" s="12" t="s">
        <v>43</v>
      </c>
      <c r="C677" s="12">
        <v>45.846431732177699</v>
      </c>
      <c r="D677" s="12">
        <v>1984</v>
      </c>
    </row>
    <row r="678" spans="1:4" ht="19.899999999999999" customHeight="1">
      <c r="A678" s="11" t="s">
        <v>5</v>
      </c>
      <c r="B678" s="12" t="s">
        <v>43</v>
      </c>
      <c r="C678" s="12">
        <v>99.949508666992202</v>
      </c>
      <c r="D678" s="12">
        <v>1984</v>
      </c>
    </row>
    <row r="679" spans="1:4" ht="19.899999999999999" customHeight="1">
      <c r="A679" s="11" t="s">
        <v>6</v>
      </c>
      <c r="B679" s="12" t="s">
        <v>43</v>
      </c>
      <c r="C679" s="12"/>
      <c r="D679" s="12">
        <v>1984</v>
      </c>
    </row>
    <row r="680" spans="1:4" ht="19.899999999999999" customHeight="1">
      <c r="A680" s="11" t="s">
        <v>7</v>
      </c>
      <c r="B680" s="12" t="s">
        <v>43</v>
      </c>
      <c r="C680" s="12">
        <v>111.297889709473</v>
      </c>
      <c r="D680" s="12">
        <v>1984</v>
      </c>
    </row>
    <row r="681" spans="1:4" ht="19.899999999999999" customHeight="1">
      <c r="A681" s="11" t="s">
        <v>8</v>
      </c>
      <c r="B681" s="12" t="s">
        <v>43</v>
      </c>
      <c r="C681" s="12">
        <v>32.549171447753899</v>
      </c>
      <c r="D681" s="12">
        <v>1984</v>
      </c>
    </row>
    <row r="682" spans="1:4" ht="19.899999999999999" customHeight="1">
      <c r="A682" s="11" t="s">
        <v>1</v>
      </c>
      <c r="B682" s="12" t="s">
        <v>43</v>
      </c>
      <c r="C682" s="12">
        <v>40.314029693603501</v>
      </c>
      <c r="D682" s="12">
        <v>1984</v>
      </c>
    </row>
    <row r="683" spans="1:4" ht="19.899999999999999" customHeight="1">
      <c r="A683" s="11" t="s">
        <v>9</v>
      </c>
      <c r="B683" s="12" t="s">
        <v>43</v>
      </c>
      <c r="C683" s="12">
        <v>34.509689331054702</v>
      </c>
      <c r="D683" s="12">
        <v>1984</v>
      </c>
    </row>
    <row r="684" spans="1:4" ht="19.899999999999999" customHeight="1">
      <c r="A684" s="11" t="s">
        <v>10</v>
      </c>
      <c r="B684" s="12" t="s">
        <v>43</v>
      </c>
      <c r="C684" s="12">
        <v>85.480812072753906</v>
      </c>
      <c r="D684" s="12">
        <v>1984</v>
      </c>
    </row>
    <row r="685" spans="1:4" ht="19.899999999999999" customHeight="1">
      <c r="A685" s="11" t="s">
        <v>11</v>
      </c>
      <c r="B685" s="12" t="s">
        <v>43</v>
      </c>
      <c r="C685" s="12">
        <v>111.760040283203</v>
      </c>
      <c r="D685" s="12">
        <v>1984</v>
      </c>
    </row>
    <row r="686" spans="1:4" ht="19.899999999999999" customHeight="1">
      <c r="A686" s="11" t="s">
        <v>38</v>
      </c>
      <c r="B686" s="12" t="s">
        <v>43</v>
      </c>
      <c r="C686" s="12"/>
      <c r="D686" s="12">
        <v>1984</v>
      </c>
    </row>
    <row r="687" spans="1:4" ht="19.899999999999999" customHeight="1">
      <c r="A687" s="11" t="s">
        <v>12</v>
      </c>
      <c r="B687" s="12" t="s">
        <v>43</v>
      </c>
      <c r="C687" s="12">
        <v>39.473579406738303</v>
      </c>
      <c r="D687" s="12">
        <v>1984</v>
      </c>
    </row>
    <row r="688" spans="1:4" ht="19.899999999999999" customHeight="1">
      <c r="A688" s="11" t="s">
        <v>13</v>
      </c>
      <c r="B688" s="12" t="s">
        <v>43</v>
      </c>
      <c r="C688" s="12">
        <v>119.143760681152</v>
      </c>
      <c r="D688" s="12">
        <v>1984</v>
      </c>
    </row>
    <row r="689" spans="1:4" ht="19.899999999999999" customHeight="1">
      <c r="A689" s="11" t="s">
        <v>14</v>
      </c>
      <c r="B689" s="12" t="s">
        <v>43</v>
      </c>
      <c r="C689" s="12">
        <v>58.967739105224602</v>
      </c>
      <c r="D689" s="12">
        <v>1984</v>
      </c>
    </row>
    <row r="690" spans="1:4" ht="19.899999999999999" customHeight="1">
      <c r="A690" s="11" t="s">
        <v>15</v>
      </c>
      <c r="B690" s="12" t="s">
        <v>43</v>
      </c>
      <c r="C690" s="12">
        <v>24.5282306671143</v>
      </c>
      <c r="D690" s="12">
        <v>1984</v>
      </c>
    </row>
    <row r="691" spans="1:4" ht="19.899999999999999" customHeight="1">
      <c r="A691" s="11" t="s">
        <v>16</v>
      </c>
      <c r="B691" s="12" t="s">
        <v>43</v>
      </c>
      <c r="C691" s="12"/>
      <c r="D691" s="12">
        <v>1984</v>
      </c>
    </row>
    <row r="692" spans="1:4" ht="19.899999999999999" customHeight="1">
      <c r="A692" s="11" t="s">
        <v>17</v>
      </c>
      <c r="B692" s="12" t="s">
        <v>43</v>
      </c>
      <c r="C692" s="12">
        <v>86.248626708984403</v>
      </c>
      <c r="D692" s="12">
        <v>1984</v>
      </c>
    </row>
    <row r="693" spans="1:4" ht="19.899999999999999" customHeight="1">
      <c r="A693" s="11" t="s">
        <v>18</v>
      </c>
      <c r="B693" s="12" t="s">
        <v>43</v>
      </c>
      <c r="C693" s="12">
        <v>97.238189697265597</v>
      </c>
      <c r="D693" s="12">
        <v>1984</v>
      </c>
    </row>
    <row r="694" spans="1:4" ht="19.899999999999999" customHeight="1">
      <c r="A694" s="11" t="s">
        <v>19</v>
      </c>
      <c r="B694" s="12" t="s">
        <v>43</v>
      </c>
      <c r="C694" s="12">
        <v>82.725051879882798</v>
      </c>
      <c r="D694" s="12">
        <v>1984</v>
      </c>
    </row>
    <row r="695" spans="1:4" ht="19.899999999999999" customHeight="1">
      <c r="A695" s="11" t="s">
        <v>20</v>
      </c>
      <c r="B695" s="12" t="s">
        <v>43</v>
      </c>
      <c r="C695" s="12">
        <v>85.746307373046903</v>
      </c>
      <c r="D695" s="12">
        <v>1984</v>
      </c>
    </row>
    <row r="696" spans="1:4" ht="19.899999999999999" customHeight="1">
      <c r="A696" s="11" t="s">
        <v>21</v>
      </c>
      <c r="B696" s="12" t="s">
        <v>43</v>
      </c>
      <c r="C696" s="12">
        <v>23.229610443115199</v>
      </c>
      <c r="D696" s="12">
        <v>1984</v>
      </c>
    </row>
    <row r="697" spans="1:4" ht="19.899999999999999" customHeight="1">
      <c r="A697" s="11" t="s">
        <v>22</v>
      </c>
      <c r="B697" s="12" t="s">
        <v>43</v>
      </c>
      <c r="C697" s="12">
        <v>69.911819458007798</v>
      </c>
      <c r="D697" s="12">
        <v>1984</v>
      </c>
    </row>
    <row r="698" spans="1:4" ht="19.899999999999999" customHeight="1">
      <c r="A698" s="11" t="s">
        <v>23</v>
      </c>
      <c r="B698" s="12" t="s">
        <v>43</v>
      </c>
      <c r="C698" s="12">
        <v>136.6328125</v>
      </c>
      <c r="D698" s="12">
        <v>1984</v>
      </c>
    </row>
    <row r="699" spans="1:4" ht="19.899999999999999" customHeight="1">
      <c r="A699" s="11" t="s">
        <v>24</v>
      </c>
      <c r="B699" s="12" t="s">
        <v>43</v>
      </c>
      <c r="C699" s="12">
        <v>99.804023742675795</v>
      </c>
      <c r="D699" s="12">
        <v>1984</v>
      </c>
    </row>
    <row r="700" spans="1:4" ht="19.899999999999999" customHeight="1">
      <c r="A700" s="11" t="s">
        <v>25</v>
      </c>
      <c r="B700" s="12" t="s">
        <v>43</v>
      </c>
      <c r="C700" s="12"/>
      <c r="D700" s="12">
        <v>1984</v>
      </c>
    </row>
    <row r="701" spans="1:4" ht="19.899999999999999" customHeight="1">
      <c r="A701" s="11" t="s">
        <v>26</v>
      </c>
      <c r="B701" s="12" t="s">
        <v>43</v>
      </c>
      <c r="C701" s="12">
        <v>86.518310546875</v>
      </c>
      <c r="D701" s="12">
        <v>1984</v>
      </c>
    </row>
    <row r="702" spans="1:4" ht="19.899999999999999" customHeight="1">
      <c r="A702" s="11" t="s">
        <v>27</v>
      </c>
      <c r="B702" s="12" t="s">
        <v>43</v>
      </c>
      <c r="C702" s="12">
        <v>68.394142150878906</v>
      </c>
      <c r="D702" s="12">
        <v>1984</v>
      </c>
    </row>
    <row r="703" spans="1:4" ht="19.899999999999999" customHeight="1">
      <c r="A703" s="11" t="s">
        <v>28</v>
      </c>
      <c r="B703" s="12" t="s">
        <v>43</v>
      </c>
      <c r="C703" s="12">
        <v>96.034339904785199</v>
      </c>
      <c r="D703" s="12">
        <v>1984</v>
      </c>
    </row>
    <row r="704" spans="1:4" ht="19.899999999999999" customHeight="1">
      <c r="A704" s="11" t="s">
        <v>29</v>
      </c>
      <c r="B704" s="12" t="s">
        <v>43</v>
      </c>
      <c r="C704" s="12">
        <v>127.95802307128901</v>
      </c>
      <c r="D704" s="12">
        <v>1984</v>
      </c>
    </row>
    <row r="705" spans="1:4" ht="19.899999999999999" customHeight="1">
      <c r="A705" s="11" t="s">
        <v>4</v>
      </c>
      <c r="B705" s="12" t="s">
        <v>43</v>
      </c>
      <c r="C705" s="12">
        <v>50.367668151855497</v>
      </c>
      <c r="D705" s="12">
        <v>1985</v>
      </c>
    </row>
    <row r="706" spans="1:4" ht="19.899999999999999" customHeight="1">
      <c r="A706" s="11" t="s">
        <v>5</v>
      </c>
      <c r="B706" s="12" t="s">
        <v>43</v>
      </c>
      <c r="C706" s="12">
        <v>100.92649841308599</v>
      </c>
      <c r="D706" s="12">
        <v>1985</v>
      </c>
    </row>
    <row r="707" spans="1:4" ht="19.899999999999999" customHeight="1">
      <c r="A707" s="11" t="s">
        <v>6</v>
      </c>
      <c r="B707" s="12" t="s">
        <v>43</v>
      </c>
      <c r="C707" s="12">
        <v>34.525070190429702</v>
      </c>
      <c r="D707" s="12">
        <v>1985</v>
      </c>
    </row>
    <row r="708" spans="1:4" ht="19.899999999999999" customHeight="1">
      <c r="A708" s="11" t="s">
        <v>7</v>
      </c>
      <c r="B708" s="12" t="s">
        <v>43</v>
      </c>
      <c r="C708" s="12">
        <v>108.628898620605</v>
      </c>
      <c r="D708" s="12">
        <v>1985</v>
      </c>
    </row>
    <row r="709" spans="1:4" ht="19.899999999999999" customHeight="1">
      <c r="A709" s="11" t="s">
        <v>8</v>
      </c>
      <c r="B709" s="12" t="s">
        <v>43</v>
      </c>
      <c r="C709" s="12">
        <v>32.102859497070298</v>
      </c>
      <c r="D709" s="12">
        <v>1985</v>
      </c>
    </row>
    <row r="710" spans="1:4" ht="19.899999999999999" customHeight="1">
      <c r="A710" s="11" t="s">
        <v>1</v>
      </c>
      <c r="B710" s="12" t="s">
        <v>43</v>
      </c>
      <c r="C710" s="12">
        <v>37.430000305175803</v>
      </c>
      <c r="D710" s="12">
        <v>1985</v>
      </c>
    </row>
    <row r="711" spans="1:4" ht="19.899999999999999" customHeight="1">
      <c r="A711" s="11" t="s">
        <v>9</v>
      </c>
      <c r="B711" s="12" t="s">
        <v>43</v>
      </c>
      <c r="C711" s="12">
        <v>39.007820129394503</v>
      </c>
      <c r="D711" s="12">
        <v>1985</v>
      </c>
    </row>
    <row r="712" spans="1:4" ht="19.899999999999999" customHeight="1">
      <c r="A712" s="11" t="s">
        <v>10</v>
      </c>
      <c r="B712" s="12" t="s">
        <v>43</v>
      </c>
      <c r="C712" s="12">
        <v>86.683067321777301</v>
      </c>
      <c r="D712" s="12">
        <v>1985</v>
      </c>
    </row>
    <row r="713" spans="1:4" ht="19.899999999999999" customHeight="1">
      <c r="A713" s="11" t="s">
        <v>11</v>
      </c>
      <c r="B713" s="12" t="s">
        <v>43</v>
      </c>
      <c r="C713" s="12">
        <v>106.590087890625</v>
      </c>
      <c r="D713" s="12">
        <v>1985</v>
      </c>
    </row>
    <row r="714" spans="1:4" ht="19.899999999999999" customHeight="1">
      <c r="A714" s="11" t="s">
        <v>38</v>
      </c>
      <c r="B714" s="12" t="s">
        <v>43</v>
      </c>
      <c r="C714" s="12"/>
      <c r="D714" s="12">
        <v>1985</v>
      </c>
    </row>
    <row r="715" spans="1:4" ht="19.899999999999999" customHeight="1">
      <c r="A715" s="11" t="s">
        <v>12</v>
      </c>
      <c r="B715" s="12" t="s">
        <v>43</v>
      </c>
      <c r="C715" s="12"/>
      <c r="D715" s="12">
        <v>1985</v>
      </c>
    </row>
    <row r="716" spans="1:4" ht="19.899999999999999" customHeight="1">
      <c r="A716" s="11" t="s">
        <v>13</v>
      </c>
      <c r="B716" s="12" t="s">
        <v>43</v>
      </c>
      <c r="C716" s="12">
        <v>113.802200317383</v>
      </c>
      <c r="D716" s="12">
        <v>1985</v>
      </c>
    </row>
    <row r="717" spans="1:4" ht="19.899999999999999" customHeight="1">
      <c r="A717" s="11" t="s">
        <v>14</v>
      </c>
      <c r="B717" s="12" t="s">
        <v>43</v>
      </c>
      <c r="C717" s="12">
        <v>60.5111083984375</v>
      </c>
      <c r="D717" s="12">
        <v>1985</v>
      </c>
    </row>
    <row r="718" spans="1:4" ht="19.899999999999999" customHeight="1">
      <c r="A718" s="11" t="s">
        <v>15</v>
      </c>
      <c r="B718" s="12" t="s">
        <v>43</v>
      </c>
      <c r="C718" s="12">
        <v>23.969129562377901</v>
      </c>
      <c r="D718" s="12">
        <v>1985</v>
      </c>
    </row>
    <row r="719" spans="1:4" ht="19.899999999999999" customHeight="1">
      <c r="A719" s="11" t="s">
        <v>16</v>
      </c>
      <c r="B719" s="12" t="s">
        <v>43</v>
      </c>
      <c r="C719" s="12"/>
      <c r="D719" s="12">
        <v>1985</v>
      </c>
    </row>
    <row r="720" spans="1:4" ht="19.899999999999999" customHeight="1">
      <c r="A720" s="11" t="s">
        <v>17</v>
      </c>
      <c r="B720" s="12" t="s">
        <v>43</v>
      </c>
      <c r="C720" s="12">
        <v>86.274459838867202</v>
      </c>
      <c r="D720" s="12">
        <v>1985</v>
      </c>
    </row>
    <row r="721" spans="1:4" ht="19.899999999999999" customHeight="1">
      <c r="A721" s="11" t="s">
        <v>18</v>
      </c>
      <c r="B721" s="12" t="s">
        <v>43</v>
      </c>
      <c r="C721" s="12">
        <v>95.300117492675795</v>
      </c>
      <c r="D721" s="12">
        <v>1985</v>
      </c>
    </row>
    <row r="722" spans="1:4" ht="19.899999999999999" customHeight="1">
      <c r="A722" s="11" t="s">
        <v>19</v>
      </c>
      <c r="B722" s="12" t="s">
        <v>43</v>
      </c>
      <c r="C722" s="12">
        <v>83.369400024414105</v>
      </c>
      <c r="D722" s="12">
        <v>1985</v>
      </c>
    </row>
    <row r="723" spans="1:4" ht="19.899999999999999" customHeight="1">
      <c r="A723" s="11" t="s">
        <v>20</v>
      </c>
      <c r="B723" s="12" t="s">
        <v>43</v>
      </c>
      <c r="C723" s="12">
        <v>87.695762634277301</v>
      </c>
      <c r="D723" s="12">
        <v>1985</v>
      </c>
    </row>
    <row r="724" spans="1:4" ht="19.899999999999999" customHeight="1">
      <c r="A724" s="11" t="s">
        <v>21</v>
      </c>
      <c r="B724" s="12" t="s">
        <v>43</v>
      </c>
      <c r="C724" s="12">
        <v>22.670059204101602</v>
      </c>
      <c r="D724" s="12">
        <v>1985</v>
      </c>
    </row>
    <row r="725" spans="1:4" ht="19.899999999999999" customHeight="1">
      <c r="A725" s="11" t="s">
        <v>22</v>
      </c>
      <c r="B725" s="12" t="s">
        <v>43</v>
      </c>
      <c r="C725" s="12">
        <v>68.978752136230497</v>
      </c>
      <c r="D725" s="12">
        <v>1985</v>
      </c>
    </row>
    <row r="726" spans="1:4" ht="19.899999999999999" customHeight="1">
      <c r="A726" s="11" t="s">
        <v>23</v>
      </c>
      <c r="B726" s="12" t="s">
        <v>43</v>
      </c>
      <c r="C726" s="12">
        <v>128.45338439941401</v>
      </c>
      <c r="D726" s="12">
        <v>1985</v>
      </c>
    </row>
    <row r="727" spans="1:4" ht="19.899999999999999" customHeight="1">
      <c r="A727" s="11" t="s">
        <v>24</v>
      </c>
      <c r="B727" s="12" t="s">
        <v>43</v>
      </c>
      <c r="C727" s="12">
        <v>100.612197875977</v>
      </c>
      <c r="D727" s="12">
        <v>1985</v>
      </c>
    </row>
    <row r="728" spans="1:4" ht="19.899999999999999" customHeight="1">
      <c r="A728" s="11" t="s">
        <v>25</v>
      </c>
      <c r="B728" s="12" t="s">
        <v>43</v>
      </c>
      <c r="C728" s="12"/>
      <c r="D728" s="12">
        <v>1985</v>
      </c>
    </row>
    <row r="729" spans="1:4" ht="19.899999999999999" customHeight="1">
      <c r="A729" s="11" t="s">
        <v>26</v>
      </c>
      <c r="B729" s="12" t="s">
        <v>43</v>
      </c>
      <c r="C729" s="12">
        <v>76.142761230468807</v>
      </c>
      <c r="D729" s="12">
        <v>1985</v>
      </c>
    </row>
    <row r="730" spans="1:4" ht="19.899999999999999" customHeight="1">
      <c r="A730" s="11" t="s">
        <v>27</v>
      </c>
      <c r="B730" s="12" t="s">
        <v>43</v>
      </c>
      <c r="C730" s="12">
        <v>72.735137939453097</v>
      </c>
      <c r="D730" s="12">
        <v>1985</v>
      </c>
    </row>
    <row r="731" spans="1:4" ht="19.899999999999999" customHeight="1">
      <c r="A731" s="11" t="s">
        <v>28</v>
      </c>
      <c r="B731" s="12" t="s">
        <v>43</v>
      </c>
      <c r="C731" s="12">
        <v>99.0953369140625</v>
      </c>
      <c r="D731" s="12">
        <v>1985</v>
      </c>
    </row>
    <row r="732" spans="1:4" ht="19.899999999999999" customHeight="1">
      <c r="A732" s="11" t="s">
        <v>29</v>
      </c>
      <c r="B732" s="12" t="s">
        <v>43</v>
      </c>
      <c r="C732" s="12">
        <v>127.965530395508</v>
      </c>
      <c r="D732" s="12">
        <v>1985</v>
      </c>
    </row>
    <row r="733" spans="1:4" ht="19.899999999999999" customHeight="1">
      <c r="A733" s="11" t="s">
        <v>4</v>
      </c>
      <c r="B733" s="12" t="s">
        <v>43</v>
      </c>
      <c r="C733" s="12">
        <v>54.3796195983887</v>
      </c>
      <c r="D733" s="12">
        <v>1986</v>
      </c>
    </row>
    <row r="734" spans="1:4" ht="19.899999999999999" customHeight="1">
      <c r="A734" s="11" t="s">
        <v>5</v>
      </c>
      <c r="B734" s="12" t="s">
        <v>43</v>
      </c>
      <c r="C734" s="12">
        <v>101.917121887207</v>
      </c>
      <c r="D734" s="12">
        <v>1986</v>
      </c>
    </row>
    <row r="735" spans="1:4" ht="19.899999999999999" customHeight="1">
      <c r="A735" s="11" t="s">
        <v>6</v>
      </c>
      <c r="B735" s="12" t="s">
        <v>43</v>
      </c>
      <c r="C735" s="12">
        <v>39.272739410400398</v>
      </c>
      <c r="D735" s="12">
        <v>1986</v>
      </c>
    </row>
    <row r="736" spans="1:4" ht="19.899999999999999" customHeight="1">
      <c r="A736" s="11" t="s">
        <v>7</v>
      </c>
      <c r="B736" s="12" t="s">
        <v>43</v>
      </c>
      <c r="C736" s="12">
        <v>111.85133361816401</v>
      </c>
      <c r="D736" s="12">
        <v>1986</v>
      </c>
    </row>
    <row r="737" spans="1:4" ht="19.899999999999999" customHeight="1">
      <c r="A737" s="11" t="s">
        <v>8</v>
      </c>
      <c r="B737" s="12" t="s">
        <v>43</v>
      </c>
      <c r="C737" s="12">
        <v>34.000888824462898</v>
      </c>
      <c r="D737" s="12">
        <v>1986</v>
      </c>
    </row>
    <row r="738" spans="1:4" ht="19.899999999999999" customHeight="1">
      <c r="A738" s="11" t="s">
        <v>1</v>
      </c>
      <c r="B738" s="12" t="s">
        <v>43</v>
      </c>
      <c r="C738" s="12">
        <v>36.8820610046387</v>
      </c>
      <c r="D738" s="12">
        <v>1986</v>
      </c>
    </row>
    <row r="739" spans="1:4" ht="19.899999999999999" customHeight="1">
      <c r="A739" s="11" t="s">
        <v>9</v>
      </c>
      <c r="B739" s="12" t="s">
        <v>43</v>
      </c>
      <c r="C739" s="12">
        <v>36.302341461181598</v>
      </c>
      <c r="D739" s="12">
        <v>1986</v>
      </c>
    </row>
    <row r="740" spans="1:4" ht="19.899999999999999" customHeight="1">
      <c r="A740" s="11" t="s">
        <v>10</v>
      </c>
      <c r="B740" s="12" t="s">
        <v>43</v>
      </c>
      <c r="C740" s="12">
        <v>89.138313293457003</v>
      </c>
      <c r="D740" s="12">
        <v>1986</v>
      </c>
    </row>
    <row r="741" spans="1:4" ht="19.899999999999999" customHeight="1">
      <c r="A741" s="11" t="s">
        <v>11</v>
      </c>
      <c r="B741" s="12" t="s">
        <v>43</v>
      </c>
      <c r="C741" s="12">
        <v>106.03240203857401</v>
      </c>
      <c r="D741" s="12">
        <v>1986</v>
      </c>
    </row>
    <row r="742" spans="1:4" ht="19.899999999999999" customHeight="1">
      <c r="A742" s="11" t="s">
        <v>38</v>
      </c>
      <c r="B742" s="12" t="s">
        <v>43</v>
      </c>
      <c r="C742" s="12"/>
      <c r="D742" s="12">
        <v>1986</v>
      </c>
    </row>
    <row r="743" spans="1:4" ht="19.899999999999999" customHeight="1">
      <c r="A743" s="11" t="s">
        <v>12</v>
      </c>
      <c r="B743" s="12" t="s">
        <v>43</v>
      </c>
      <c r="C743" s="12"/>
      <c r="D743" s="12">
        <v>1986</v>
      </c>
    </row>
    <row r="744" spans="1:4" ht="19.899999999999999" customHeight="1">
      <c r="A744" s="11" t="s">
        <v>13</v>
      </c>
      <c r="B744" s="12" t="s">
        <v>43</v>
      </c>
      <c r="C744" s="12"/>
      <c r="D744" s="12">
        <v>1986</v>
      </c>
    </row>
    <row r="745" spans="1:4" ht="19.899999999999999" customHeight="1">
      <c r="A745" s="11" t="s">
        <v>14</v>
      </c>
      <c r="B745" s="12" t="s">
        <v>43</v>
      </c>
      <c r="C745" s="12">
        <v>60.195751190185497</v>
      </c>
      <c r="D745" s="12">
        <v>1986</v>
      </c>
    </row>
    <row r="746" spans="1:4" ht="19.899999999999999" customHeight="1">
      <c r="A746" s="11" t="s">
        <v>15</v>
      </c>
      <c r="B746" s="12" t="s">
        <v>43</v>
      </c>
      <c r="C746" s="12">
        <v>23.366460800170799</v>
      </c>
      <c r="D746" s="12">
        <v>1986</v>
      </c>
    </row>
    <row r="747" spans="1:4" ht="19.899999999999999" customHeight="1">
      <c r="A747" s="11" t="s">
        <v>16</v>
      </c>
      <c r="B747" s="12" t="s">
        <v>43</v>
      </c>
      <c r="C747" s="12">
        <v>84.414299011230497</v>
      </c>
      <c r="D747" s="12">
        <v>1986</v>
      </c>
    </row>
    <row r="748" spans="1:4" ht="19.899999999999999" customHeight="1">
      <c r="A748" s="11" t="s">
        <v>17</v>
      </c>
      <c r="B748" s="12" t="s">
        <v>43</v>
      </c>
      <c r="C748" s="12">
        <v>85.473968505859403</v>
      </c>
      <c r="D748" s="12">
        <v>1986</v>
      </c>
    </row>
    <row r="749" spans="1:4" ht="19.899999999999999" customHeight="1">
      <c r="A749" s="11" t="s">
        <v>18</v>
      </c>
      <c r="B749" s="12" t="s">
        <v>43</v>
      </c>
      <c r="C749" s="12">
        <v>95.988327026367202</v>
      </c>
      <c r="D749" s="12">
        <v>1986</v>
      </c>
    </row>
    <row r="750" spans="1:4" ht="19.899999999999999" customHeight="1">
      <c r="A750" s="11" t="s">
        <v>19</v>
      </c>
      <c r="B750" s="12" t="s">
        <v>43</v>
      </c>
      <c r="C750" s="12">
        <v>83.335189819335895</v>
      </c>
      <c r="D750" s="12">
        <v>1986</v>
      </c>
    </row>
    <row r="751" spans="1:4" ht="19.899999999999999" customHeight="1">
      <c r="A751" s="11" t="s">
        <v>20</v>
      </c>
      <c r="B751" s="12" t="s">
        <v>43</v>
      </c>
      <c r="C751" s="12">
        <v>84.924453735351605</v>
      </c>
      <c r="D751" s="12">
        <v>1986</v>
      </c>
    </row>
    <row r="752" spans="1:4" ht="19.899999999999999" customHeight="1">
      <c r="A752" s="11" t="s">
        <v>21</v>
      </c>
      <c r="B752" s="12" t="s">
        <v>43</v>
      </c>
      <c r="C752" s="12">
        <v>24.2181396484375</v>
      </c>
      <c r="D752" s="12">
        <v>1986</v>
      </c>
    </row>
    <row r="753" spans="1:4" ht="19.899999999999999" customHeight="1">
      <c r="A753" s="11" t="s">
        <v>22</v>
      </c>
      <c r="B753" s="12" t="s">
        <v>43</v>
      </c>
      <c r="C753" s="12">
        <v>69.545501708984403</v>
      </c>
      <c r="D753" s="12">
        <v>1986</v>
      </c>
    </row>
    <row r="754" spans="1:4" ht="19.899999999999999" customHeight="1">
      <c r="A754" s="11" t="s">
        <v>23</v>
      </c>
      <c r="B754" s="12" t="s">
        <v>43</v>
      </c>
      <c r="C754" s="12"/>
      <c r="D754" s="12">
        <v>1986</v>
      </c>
    </row>
    <row r="755" spans="1:4" ht="19.899999999999999" customHeight="1">
      <c r="A755" s="11" t="s">
        <v>24</v>
      </c>
      <c r="B755" s="12" t="s">
        <v>43</v>
      </c>
      <c r="C755" s="12">
        <v>102.03246307373</v>
      </c>
      <c r="D755" s="12">
        <v>1986</v>
      </c>
    </row>
    <row r="756" spans="1:4" ht="19.899999999999999" customHeight="1">
      <c r="A756" s="11" t="s">
        <v>25</v>
      </c>
      <c r="B756" s="12" t="s">
        <v>43</v>
      </c>
      <c r="C756" s="12"/>
      <c r="D756" s="12">
        <v>1986</v>
      </c>
    </row>
    <row r="757" spans="1:4" ht="19.899999999999999" customHeight="1">
      <c r="A757" s="11" t="s">
        <v>26</v>
      </c>
      <c r="B757" s="12" t="s">
        <v>43</v>
      </c>
      <c r="C757" s="12">
        <v>73.509201049804702</v>
      </c>
      <c r="D757" s="12">
        <v>1986</v>
      </c>
    </row>
    <row r="758" spans="1:4" ht="19.899999999999999" customHeight="1">
      <c r="A758" s="11" t="s">
        <v>27</v>
      </c>
      <c r="B758" s="12" t="s">
        <v>43</v>
      </c>
      <c r="C758" s="12">
        <v>72.941650390625</v>
      </c>
      <c r="D758" s="12">
        <v>1986</v>
      </c>
    </row>
    <row r="759" spans="1:4" ht="19.899999999999999" customHeight="1">
      <c r="A759" s="11" t="s">
        <v>28</v>
      </c>
      <c r="B759" s="12" t="s">
        <v>43</v>
      </c>
      <c r="C759" s="12">
        <v>97.876029968261705</v>
      </c>
      <c r="D759" s="12">
        <v>1986</v>
      </c>
    </row>
    <row r="760" spans="1:4" ht="19.899999999999999" customHeight="1">
      <c r="A760" s="11" t="s">
        <v>29</v>
      </c>
      <c r="B760" s="12" t="s">
        <v>43</v>
      </c>
      <c r="C760" s="12">
        <v>125.616180419922</v>
      </c>
      <c r="D760" s="12">
        <v>1986</v>
      </c>
    </row>
    <row r="761" spans="1:4" ht="19.899999999999999" customHeight="1">
      <c r="A761" s="11" t="s">
        <v>4</v>
      </c>
      <c r="B761" s="12" t="s">
        <v>43</v>
      </c>
      <c r="C761" s="12">
        <v>60.699371337890597</v>
      </c>
      <c r="D761" s="12">
        <v>1987</v>
      </c>
    </row>
    <row r="762" spans="1:4" ht="19.899999999999999" customHeight="1">
      <c r="A762" s="11" t="s">
        <v>5</v>
      </c>
      <c r="B762" s="12" t="s">
        <v>43</v>
      </c>
      <c r="C762" s="12">
        <v>103.431838989258</v>
      </c>
      <c r="D762" s="12">
        <v>1987</v>
      </c>
    </row>
    <row r="763" spans="1:4" ht="19.899999999999999" customHeight="1">
      <c r="A763" s="11" t="s">
        <v>6</v>
      </c>
      <c r="B763" s="12" t="s">
        <v>43</v>
      </c>
      <c r="C763" s="12">
        <v>38.267051696777301</v>
      </c>
      <c r="D763" s="12">
        <v>1987</v>
      </c>
    </row>
    <row r="764" spans="1:4" ht="19.899999999999999" customHeight="1">
      <c r="A764" s="11" t="s">
        <v>7</v>
      </c>
      <c r="B764" s="12" t="s">
        <v>43</v>
      </c>
      <c r="C764" s="12">
        <v>102.14089202880901</v>
      </c>
      <c r="D764" s="12">
        <v>1987</v>
      </c>
    </row>
    <row r="765" spans="1:4" ht="19.899999999999999" customHeight="1">
      <c r="A765" s="11" t="s">
        <v>8</v>
      </c>
      <c r="B765" s="12" t="s">
        <v>43</v>
      </c>
      <c r="C765" s="12">
        <v>33.987979888916001</v>
      </c>
      <c r="D765" s="12">
        <v>1987</v>
      </c>
    </row>
    <row r="766" spans="1:4" ht="19.899999999999999" customHeight="1">
      <c r="A766" s="11" t="s">
        <v>1</v>
      </c>
      <c r="B766" s="12" t="s">
        <v>43</v>
      </c>
      <c r="C766" s="12">
        <v>39.960018157958999</v>
      </c>
      <c r="D766" s="12">
        <v>1987</v>
      </c>
    </row>
    <row r="767" spans="1:4" ht="19.899999999999999" customHeight="1">
      <c r="A767" s="11" t="s">
        <v>9</v>
      </c>
      <c r="B767" s="12" t="s">
        <v>43</v>
      </c>
      <c r="C767" s="12">
        <v>34.237579345703097</v>
      </c>
      <c r="D767" s="12">
        <v>1987</v>
      </c>
    </row>
    <row r="768" spans="1:4" ht="19.899999999999999" customHeight="1">
      <c r="A768" s="11" t="s">
        <v>10</v>
      </c>
      <c r="B768" s="12" t="s">
        <v>43</v>
      </c>
      <c r="C768" s="12">
        <v>75.276420593261705</v>
      </c>
      <c r="D768" s="12">
        <v>1987</v>
      </c>
    </row>
    <row r="769" spans="1:4" ht="19.899999999999999" customHeight="1">
      <c r="A769" s="11" t="s">
        <v>11</v>
      </c>
      <c r="B769" s="12" t="s">
        <v>43</v>
      </c>
      <c r="C769" s="12">
        <v>105.324661254883</v>
      </c>
      <c r="D769" s="12">
        <v>1987</v>
      </c>
    </row>
    <row r="770" spans="1:4" ht="19.899999999999999" customHeight="1">
      <c r="A770" s="11" t="s">
        <v>38</v>
      </c>
      <c r="B770" s="12" t="s">
        <v>43</v>
      </c>
      <c r="C770" s="12"/>
      <c r="D770" s="12">
        <v>1987</v>
      </c>
    </row>
    <row r="771" spans="1:4" ht="19.899999999999999" customHeight="1">
      <c r="A771" s="11" t="s">
        <v>12</v>
      </c>
      <c r="B771" s="12" t="s">
        <v>43</v>
      </c>
      <c r="C771" s="12"/>
      <c r="D771" s="12">
        <v>1987</v>
      </c>
    </row>
    <row r="772" spans="1:4" ht="19.899999999999999" customHeight="1">
      <c r="A772" s="11" t="s">
        <v>13</v>
      </c>
      <c r="B772" s="12" t="s">
        <v>43</v>
      </c>
      <c r="C772" s="12"/>
      <c r="D772" s="12">
        <v>1987</v>
      </c>
    </row>
    <row r="773" spans="1:4" ht="19.899999999999999" customHeight="1">
      <c r="A773" s="11" t="s">
        <v>14</v>
      </c>
      <c r="B773" s="12" t="s">
        <v>43</v>
      </c>
      <c r="C773" s="12">
        <v>61.689739227294901</v>
      </c>
      <c r="D773" s="12">
        <v>1987</v>
      </c>
    </row>
    <row r="774" spans="1:4" ht="19.899999999999999" customHeight="1">
      <c r="A774" s="11" t="s">
        <v>15</v>
      </c>
      <c r="B774" s="12" t="s">
        <v>43</v>
      </c>
      <c r="C774" s="12">
        <v>23.324119567871101</v>
      </c>
      <c r="D774" s="12">
        <v>1987</v>
      </c>
    </row>
    <row r="775" spans="1:4" ht="19.899999999999999" customHeight="1">
      <c r="A775" s="11" t="s">
        <v>16</v>
      </c>
      <c r="B775" s="12" t="s">
        <v>43</v>
      </c>
      <c r="C775" s="12"/>
      <c r="D775" s="12">
        <v>1987</v>
      </c>
    </row>
    <row r="776" spans="1:4" ht="19.899999999999999" customHeight="1">
      <c r="A776" s="11" t="s">
        <v>17</v>
      </c>
      <c r="B776" s="12" t="s">
        <v>43</v>
      </c>
      <c r="C776" s="12">
        <v>69.745826721191406</v>
      </c>
      <c r="D776" s="12">
        <v>1987</v>
      </c>
    </row>
    <row r="777" spans="1:4" ht="19.899999999999999" customHeight="1">
      <c r="A777" s="11" t="s">
        <v>18</v>
      </c>
      <c r="B777" s="12" t="s">
        <v>43</v>
      </c>
      <c r="C777" s="12">
        <v>100.47722625732401</v>
      </c>
      <c r="D777" s="12">
        <v>1987</v>
      </c>
    </row>
    <row r="778" spans="1:4" ht="19.899999999999999" customHeight="1">
      <c r="A778" s="11" t="s">
        <v>19</v>
      </c>
      <c r="B778" s="12" t="s">
        <v>43</v>
      </c>
      <c r="C778" s="12">
        <v>85.0848388671875</v>
      </c>
      <c r="D778" s="12">
        <v>1987</v>
      </c>
    </row>
    <row r="779" spans="1:4" ht="19.899999999999999" customHeight="1">
      <c r="A779" s="11" t="s">
        <v>20</v>
      </c>
      <c r="B779" s="12" t="s">
        <v>43</v>
      </c>
      <c r="C779" s="12">
        <v>86.927093505859403</v>
      </c>
      <c r="D779" s="12">
        <v>1987</v>
      </c>
    </row>
    <row r="780" spans="1:4" ht="19.899999999999999" customHeight="1">
      <c r="A780" s="11" t="s">
        <v>21</v>
      </c>
      <c r="B780" s="12" t="s">
        <v>43</v>
      </c>
      <c r="C780" s="12">
        <v>25.0896091461182</v>
      </c>
      <c r="D780" s="12">
        <v>1987</v>
      </c>
    </row>
    <row r="781" spans="1:4" ht="19.899999999999999" customHeight="1">
      <c r="A781" s="11" t="s">
        <v>22</v>
      </c>
      <c r="B781" s="12" t="s">
        <v>43</v>
      </c>
      <c r="C781" s="12">
        <v>71.357933044433494</v>
      </c>
      <c r="D781" s="12">
        <v>1987</v>
      </c>
    </row>
    <row r="782" spans="1:4" ht="19.899999999999999" customHeight="1">
      <c r="A782" s="11" t="s">
        <v>23</v>
      </c>
      <c r="B782" s="12" t="s">
        <v>43</v>
      </c>
      <c r="C782" s="12">
        <v>120.74105834960901</v>
      </c>
      <c r="D782" s="12">
        <v>1987</v>
      </c>
    </row>
    <row r="783" spans="1:4" ht="19.899999999999999" customHeight="1">
      <c r="A783" s="11" t="s">
        <v>24</v>
      </c>
      <c r="B783" s="12" t="s">
        <v>43</v>
      </c>
      <c r="C783" s="12">
        <v>106.38893890380901</v>
      </c>
      <c r="D783" s="12">
        <v>1987</v>
      </c>
    </row>
    <row r="784" spans="1:4" ht="19.899999999999999" customHeight="1">
      <c r="A784" s="11" t="s">
        <v>25</v>
      </c>
      <c r="B784" s="12" t="s">
        <v>43</v>
      </c>
      <c r="C784" s="12"/>
      <c r="D784" s="12">
        <v>1987</v>
      </c>
    </row>
    <row r="785" spans="1:4" ht="19.899999999999999" customHeight="1">
      <c r="A785" s="11" t="s">
        <v>26</v>
      </c>
      <c r="B785" s="12" t="s">
        <v>43</v>
      </c>
      <c r="C785" s="12">
        <v>71.250030517578097</v>
      </c>
      <c r="D785" s="12">
        <v>1987</v>
      </c>
    </row>
    <row r="786" spans="1:4" ht="19.899999999999999" customHeight="1">
      <c r="A786" s="11" t="s">
        <v>27</v>
      </c>
      <c r="B786" s="12" t="s">
        <v>43</v>
      </c>
      <c r="C786" s="12">
        <v>73.5048828125</v>
      </c>
      <c r="D786" s="12">
        <v>1987</v>
      </c>
    </row>
    <row r="787" spans="1:4" ht="19.899999999999999" customHeight="1">
      <c r="A787" s="11" t="s">
        <v>28</v>
      </c>
      <c r="B787" s="12" t="s">
        <v>43</v>
      </c>
      <c r="C787" s="12">
        <v>95.752662658691406</v>
      </c>
      <c r="D787" s="12">
        <v>1987</v>
      </c>
    </row>
    <row r="788" spans="1:4" ht="19.899999999999999" customHeight="1">
      <c r="A788" s="11" t="s">
        <v>29</v>
      </c>
      <c r="B788" s="12" t="s">
        <v>43</v>
      </c>
      <c r="C788" s="12">
        <v>115.720138549805</v>
      </c>
      <c r="D788" s="12">
        <v>1987</v>
      </c>
    </row>
    <row r="789" spans="1:4" ht="19.899999999999999" customHeight="1">
      <c r="A789" s="11" t="s">
        <v>4</v>
      </c>
      <c r="B789" s="12" t="s">
        <v>43</v>
      </c>
      <c r="C789" s="12">
        <v>68.080169677734403</v>
      </c>
      <c r="D789" s="12">
        <v>1988</v>
      </c>
    </row>
    <row r="790" spans="1:4" ht="19.899999999999999" customHeight="1">
      <c r="A790" s="11" t="s">
        <v>5</v>
      </c>
      <c r="B790" s="12" t="s">
        <v>43</v>
      </c>
      <c r="C790" s="12">
        <v>103.96501159668</v>
      </c>
      <c r="D790" s="12">
        <v>1988</v>
      </c>
    </row>
    <row r="791" spans="1:4" ht="19.899999999999999" customHeight="1">
      <c r="A791" s="11" t="s">
        <v>6</v>
      </c>
      <c r="B791" s="12" t="s">
        <v>43</v>
      </c>
      <c r="C791" s="12">
        <v>45.356288909912102</v>
      </c>
      <c r="D791" s="12">
        <v>1988</v>
      </c>
    </row>
    <row r="792" spans="1:4" ht="19.899999999999999" customHeight="1">
      <c r="A792" s="11" t="s">
        <v>7</v>
      </c>
      <c r="B792" s="12" t="s">
        <v>43</v>
      </c>
      <c r="C792" s="12">
        <v>102.14266967773401</v>
      </c>
      <c r="D792" s="12">
        <v>1988</v>
      </c>
    </row>
    <row r="793" spans="1:4" ht="19.899999999999999" customHeight="1">
      <c r="A793" s="11" t="s">
        <v>8</v>
      </c>
      <c r="B793" s="12" t="s">
        <v>43</v>
      </c>
      <c r="C793" s="12">
        <v>33.713199615478501</v>
      </c>
      <c r="D793" s="12">
        <v>1988</v>
      </c>
    </row>
    <row r="794" spans="1:4" ht="19.899999999999999" customHeight="1">
      <c r="A794" s="11" t="s">
        <v>1</v>
      </c>
      <c r="B794" s="12" t="s">
        <v>43</v>
      </c>
      <c r="C794" s="12">
        <v>40.778850555419901</v>
      </c>
      <c r="D794" s="12">
        <v>1988</v>
      </c>
    </row>
    <row r="795" spans="1:4" ht="19.899999999999999" customHeight="1">
      <c r="A795" s="11" t="s">
        <v>9</v>
      </c>
      <c r="B795" s="12" t="s">
        <v>43</v>
      </c>
      <c r="C795" s="12">
        <v>35.262359619140597</v>
      </c>
      <c r="D795" s="12">
        <v>1988</v>
      </c>
    </row>
    <row r="796" spans="1:4" ht="19.899999999999999" customHeight="1">
      <c r="A796" s="11" t="s">
        <v>10</v>
      </c>
      <c r="B796" s="12" t="s">
        <v>43</v>
      </c>
      <c r="C796" s="12"/>
      <c r="D796" s="12">
        <v>1988</v>
      </c>
    </row>
    <row r="797" spans="1:4" ht="19.899999999999999" customHeight="1">
      <c r="A797" s="11" t="s">
        <v>11</v>
      </c>
      <c r="B797" s="12" t="s">
        <v>43</v>
      </c>
      <c r="C797" s="12">
        <v>103.346473693848</v>
      </c>
      <c r="D797" s="12">
        <v>1988</v>
      </c>
    </row>
    <row r="798" spans="1:4" ht="19.899999999999999" customHeight="1">
      <c r="A798" s="11" t="s">
        <v>38</v>
      </c>
      <c r="B798" s="12" t="s">
        <v>43</v>
      </c>
      <c r="C798" s="12"/>
      <c r="D798" s="12">
        <v>1988</v>
      </c>
    </row>
    <row r="799" spans="1:4" ht="19.899999999999999" customHeight="1">
      <c r="A799" s="11" t="s">
        <v>12</v>
      </c>
      <c r="B799" s="12" t="s">
        <v>43</v>
      </c>
      <c r="C799" s="12"/>
      <c r="D799" s="12">
        <v>1988</v>
      </c>
    </row>
    <row r="800" spans="1:4" ht="19.899999999999999" customHeight="1">
      <c r="A800" s="11" t="s">
        <v>13</v>
      </c>
      <c r="B800" s="12" t="s">
        <v>43</v>
      </c>
      <c r="C800" s="12">
        <v>95.6734619140625</v>
      </c>
      <c r="D800" s="12">
        <v>1988</v>
      </c>
    </row>
    <row r="801" spans="1:4" ht="19.899999999999999" customHeight="1">
      <c r="A801" s="11" t="s">
        <v>14</v>
      </c>
      <c r="B801" s="12" t="s">
        <v>43</v>
      </c>
      <c r="C801" s="12">
        <v>61.151229858398402</v>
      </c>
      <c r="D801" s="12">
        <v>1988</v>
      </c>
    </row>
    <row r="802" spans="1:4" ht="19.899999999999999" customHeight="1">
      <c r="A802" s="11" t="s">
        <v>15</v>
      </c>
      <c r="B802" s="12" t="s">
        <v>43</v>
      </c>
      <c r="C802" s="12">
        <v>23.395790100097699</v>
      </c>
      <c r="D802" s="12">
        <v>1988</v>
      </c>
    </row>
    <row r="803" spans="1:4" ht="19.899999999999999" customHeight="1">
      <c r="A803" s="11" t="s">
        <v>16</v>
      </c>
      <c r="B803" s="12" t="s">
        <v>43</v>
      </c>
      <c r="C803" s="12"/>
      <c r="D803" s="12">
        <v>1988</v>
      </c>
    </row>
    <row r="804" spans="1:4" ht="19.899999999999999" customHeight="1">
      <c r="A804" s="11" t="s">
        <v>17</v>
      </c>
      <c r="B804" s="12" t="s">
        <v>43</v>
      </c>
      <c r="C804" s="12">
        <v>63.894939422607401</v>
      </c>
      <c r="D804" s="12">
        <v>1988</v>
      </c>
    </row>
    <row r="805" spans="1:4" ht="19.899999999999999" customHeight="1">
      <c r="A805" s="11" t="s">
        <v>18</v>
      </c>
      <c r="B805" s="12" t="s">
        <v>43</v>
      </c>
      <c r="C805" s="12">
        <v>99.513031005859403</v>
      </c>
      <c r="D805" s="12">
        <v>1988</v>
      </c>
    </row>
    <row r="806" spans="1:4" ht="19.899999999999999" customHeight="1">
      <c r="A806" s="11" t="s">
        <v>19</v>
      </c>
      <c r="B806" s="12" t="s">
        <v>43</v>
      </c>
      <c r="C806" s="12">
        <v>89.313529968261705</v>
      </c>
      <c r="D806" s="12">
        <v>1988</v>
      </c>
    </row>
    <row r="807" spans="1:4" ht="19.899999999999999" customHeight="1">
      <c r="A807" s="11" t="s">
        <v>20</v>
      </c>
      <c r="B807" s="12" t="s">
        <v>43</v>
      </c>
      <c r="C807" s="12">
        <v>87.144149780273395</v>
      </c>
      <c r="D807" s="12">
        <v>1988</v>
      </c>
    </row>
    <row r="808" spans="1:4" ht="19.899999999999999" customHeight="1">
      <c r="A808" s="11" t="s">
        <v>21</v>
      </c>
      <c r="B808" s="12" t="s">
        <v>43</v>
      </c>
      <c r="C808" s="12">
        <v>24.785509109497099</v>
      </c>
      <c r="D808" s="12">
        <v>1988</v>
      </c>
    </row>
    <row r="809" spans="1:4" ht="19.899999999999999" customHeight="1">
      <c r="A809" s="11" t="s">
        <v>22</v>
      </c>
      <c r="B809" s="12" t="s">
        <v>43</v>
      </c>
      <c r="C809" s="12">
        <v>72.542167663574205</v>
      </c>
      <c r="D809" s="12">
        <v>1988</v>
      </c>
    </row>
    <row r="810" spans="1:4" ht="19.899999999999999" customHeight="1">
      <c r="A810" s="11" t="s">
        <v>23</v>
      </c>
      <c r="B810" s="12" t="s">
        <v>43</v>
      </c>
      <c r="C810" s="12">
        <v>124.43267822265599</v>
      </c>
      <c r="D810" s="12">
        <v>1988</v>
      </c>
    </row>
    <row r="811" spans="1:4" ht="19.899999999999999" customHeight="1">
      <c r="A811" s="11" t="s">
        <v>24</v>
      </c>
      <c r="B811" s="12" t="s">
        <v>43</v>
      </c>
      <c r="C811" s="12">
        <v>108.2216796875</v>
      </c>
      <c r="D811" s="12">
        <v>1988</v>
      </c>
    </row>
    <row r="812" spans="1:4" ht="19.899999999999999" customHeight="1">
      <c r="A812" s="11" t="s">
        <v>25</v>
      </c>
      <c r="B812" s="12" t="s">
        <v>43</v>
      </c>
      <c r="C812" s="12"/>
      <c r="D812" s="12">
        <v>1988</v>
      </c>
    </row>
    <row r="813" spans="1:4" ht="19.899999999999999" customHeight="1">
      <c r="A813" s="11" t="s">
        <v>26</v>
      </c>
      <c r="B813" s="12" t="s">
        <v>43</v>
      </c>
      <c r="C813" s="12">
        <v>69.186820983886705</v>
      </c>
      <c r="D813" s="12">
        <v>1988</v>
      </c>
    </row>
    <row r="814" spans="1:4" ht="19.899999999999999" customHeight="1">
      <c r="A814" s="11" t="s">
        <v>27</v>
      </c>
      <c r="B814" s="12" t="s">
        <v>43</v>
      </c>
      <c r="C814" s="12">
        <v>74.009048461914105</v>
      </c>
      <c r="D814" s="12">
        <v>1988</v>
      </c>
    </row>
    <row r="815" spans="1:4" ht="19.899999999999999" customHeight="1">
      <c r="A815" s="11" t="s">
        <v>28</v>
      </c>
      <c r="B815" s="12" t="s">
        <v>43</v>
      </c>
      <c r="C815" s="12">
        <v>95.299430847167997</v>
      </c>
      <c r="D815" s="12">
        <v>1988</v>
      </c>
    </row>
    <row r="816" spans="1:4" ht="19.899999999999999" customHeight="1">
      <c r="A816" s="11" t="s">
        <v>29</v>
      </c>
      <c r="B816" s="12" t="s">
        <v>43</v>
      </c>
      <c r="C816" s="12">
        <v>109.815460205078</v>
      </c>
      <c r="D816" s="12">
        <v>1988</v>
      </c>
    </row>
    <row r="817" spans="1:4" ht="19.899999999999999" customHeight="1">
      <c r="A817" s="11" t="s">
        <v>4</v>
      </c>
      <c r="B817" s="12" t="s">
        <v>43</v>
      </c>
      <c r="C817" s="12">
        <v>69.330116271972699</v>
      </c>
      <c r="D817" s="12">
        <v>1989</v>
      </c>
    </row>
    <row r="818" spans="1:4" ht="19.899999999999999" customHeight="1">
      <c r="A818" s="11" t="s">
        <v>5</v>
      </c>
      <c r="B818" s="12" t="s">
        <v>43</v>
      </c>
      <c r="C818" s="12">
        <v>100.36061859130901</v>
      </c>
      <c r="D818" s="12">
        <v>1989</v>
      </c>
    </row>
    <row r="819" spans="1:4" ht="19.899999999999999" customHeight="1">
      <c r="A819" s="11" t="s">
        <v>6</v>
      </c>
      <c r="B819" s="12" t="s">
        <v>43</v>
      </c>
      <c r="C819" s="12">
        <v>44.291690826416001</v>
      </c>
      <c r="D819" s="12">
        <v>1989</v>
      </c>
    </row>
    <row r="820" spans="1:4" ht="19.899999999999999" customHeight="1">
      <c r="A820" s="11" t="s">
        <v>7</v>
      </c>
      <c r="B820" s="12" t="s">
        <v>43</v>
      </c>
      <c r="C820" s="12">
        <v>100.69532775878901</v>
      </c>
      <c r="D820" s="12">
        <v>1989</v>
      </c>
    </row>
    <row r="821" spans="1:4" ht="19.899999999999999" customHeight="1">
      <c r="A821" s="11" t="s">
        <v>8</v>
      </c>
      <c r="B821" s="12" t="s">
        <v>43</v>
      </c>
      <c r="C821" s="12">
        <v>32.936248779296903</v>
      </c>
      <c r="D821" s="12">
        <v>1989</v>
      </c>
    </row>
    <row r="822" spans="1:4" ht="19.899999999999999" customHeight="1">
      <c r="A822" s="11" t="s">
        <v>1</v>
      </c>
      <c r="B822" s="12" t="s">
        <v>43</v>
      </c>
      <c r="C822" s="12">
        <v>39.046009063720703</v>
      </c>
      <c r="D822" s="12">
        <v>1989</v>
      </c>
    </row>
    <row r="823" spans="1:4" ht="19.899999999999999" customHeight="1">
      <c r="A823" s="11" t="s">
        <v>9</v>
      </c>
      <c r="B823" s="12" t="s">
        <v>43</v>
      </c>
      <c r="C823" s="12">
        <v>35.490928649902301</v>
      </c>
      <c r="D823" s="12">
        <v>1989</v>
      </c>
    </row>
    <row r="824" spans="1:4" ht="19.899999999999999" customHeight="1">
      <c r="A824" s="11" t="s">
        <v>10</v>
      </c>
      <c r="B824" s="12" t="s">
        <v>43</v>
      </c>
      <c r="C824" s="12"/>
      <c r="D824" s="12">
        <v>1989</v>
      </c>
    </row>
    <row r="825" spans="1:4" ht="19.899999999999999" customHeight="1">
      <c r="A825" s="11" t="s">
        <v>11</v>
      </c>
      <c r="B825" s="12" t="s">
        <v>43</v>
      </c>
      <c r="C825" s="12">
        <v>103.941482543945</v>
      </c>
      <c r="D825" s="12">
        <v>1989</v>
      </c>
    </row>
    <row r="826" spans="1:4" ht="19.899999999999999" customHeight="1">
      <c r="A826" s="11" t="s">
        <v>38</v>
      </c>
      <c r="B826" s="12" t="s">
        <v>43</v>
      </c>
      <c r="C826" s="12"/>
      <c r="D826" s="12">
        <v>1989</v>
      </c>
    </row>
    <row r="827" spans="1:4" ht="19.899999999999999" customHeight="1">
      <c r="A827" s="11" t="s">
        <v>12</v>
      </c>
      <c r="B827" s="12" t="s">
        <v>43</v>
      </c>
      <c r="C827" s="12"/>
      <c r="D827" s="12">
        <v>1989</v>
      </c>
    </row>
    <row r="828" spans="1:4" ht="19.899999999999999" customHeight="1">
      <c r="A828" s="11" t="s">
        <v>13</v>
      </c>
      <c r="B828" s="12" t="s">
        <v>43</v>
      </c>
      <c r="C828" s="12">
        <v>96.246536254882798</v>
      </c>
      <c r="D828" s="12">
        <v>1989</v>
      </c>
    </row>
    <row r="829" spans="1:4" ht="19.899999999999999" customHeight="1">
      <c r="A829" s="11" t="s">
        <v>14</v>
      </c>
      <c r="B829" s="12" t="s">
        <v>43</v>
      </c>
      <c r="C829" s="12">
        <v>67.540901184082003</v>
      </c>
      <c r="D829" s="12">
        <v>1989</v>
      </c>
    </row>
    <row r="830" spans="1:4" ht="19.899999999999999" customHeight="1">
      <c r="A830" s="11" t="s">
        <v>15</v>
      </c>
      <c r="B830" s="12" t="s">
        <v>43</v>
      </c>
      <c r="C830" s="12">
        <v>27.0549507141113</v>
      </c>
      <c r="D830" s="12">
        <v>1989</v>
      </c>
    </row>
    <row r="831" spans="1:4" ht="19.899999999999999" customHeight="1">
      <c r="A831" s="11" t="s">
        <v>16</v>
      </c>
      <c r="B831" s="12" t="s">
        <v>43</v>
      </c>
      <c r="C831" s="12">
        <v>88.0443115234375</v>
      </c>
      <c r="D831" s="12">
        <v>1989</v>
      </c>
    </row>
    <row r="832" spans="1:4" ht="19.899999999999999" customHeight="1">
      <c r="A832" s="11" t="s">
        <v>17</v>
      </c>
      <c r="B832" s="12" t="s">
        <v>43</v>
      </c>
      <c r="C832" s="12">
        <v>63.2771186828613</v>
      </c>
      <c r="D832" s="12">
        <v>1989</v>
      </c>
    </row>
    <row r="833" spans="1:4" ht="19.899999999999999" customHeight="1">
      <c r="A833" s="11" t="s">
        <v>18</v>
      </c>
      <c r="B833" s="12" t="s">
        <v>43</v>
      </c>
      <c r="C833" s="12">
        <v>100.943168640137</v>
      </c>
      <c r="D833" s="12">
        <v>1989</v>
      </c>
    </row>
    <row r="834" spans="1:4" ht="19.899999999999999" customHeight="1">
      <c r="A834" s="11" t="s">
        <v>19</v>
      </c>
      <c r="B834" s="12" t="s">
        <v>43</v>
      </c>
      <c r="C834" s="12">
        <v>104.11224365234401</v>
      </c>
      <c r="D834" s="12">
        <v>1989</v>
      </c>
    </row>
    <row r="835" spans="1:4" ht="19.899999999999999" customHeight="1">
      <c r="A835" s="11" t="s">
        <v>20</v>
      </c>
      <c r="B835" s="12" t="s">
        <v>43</v>
      </c>
      <c r="C835" s="12">
        <v>84.362747192382798</v>
      </c>
      <c r="D835" s="12">
        <v>1989</v>
      </c>
    </row>
    <row r="836" spans="1:4" ht="19.899999999999999" customHeight="1">
      <c r="A836" s="11" t="s">
        <v>21</v>
      </c>
      <c r="B836" s="12" t="s">
        <v>43</v>
      </c>
      <c r="C836" s="12">
        <v>25.652469635009801</v>
      </c>
      <c r="D836" s="12">
        <v>1989</v>
      </c>
    </row>
    <row r="837" spans="1:4" ht="19.899999999999999" customHeight="1">
      <c r="A837" s="11" t="s">
        <v>22</v>
      </c>
      <c r="B837" s="12" t="s">
        <v>43</v>
      </c>
      <c r="C837" s="12">
        <v>73.428482055664105</v>
      </c>
      <c r="D837" s="12">
        <v>1989</v>
      </c>
    </row>
    <row r="838" spans="1:4" ht="19.899999999999999" customHeight="1">
      <c r="A838" s="11" t="s">
        <v>23</v>
      </c>
      <c r="B838" s="12" t="s">
        <v>43</v>
      </c>
      <c r="C838" s="12"/>
      <c r="D838" s="12">
        <v>1989</v>
      </c>
    </row>
    <row r="839" spans="1:4" ht="19.899999999999999" customHeight="1">
      <c r="A839" s="11" t="s">
        <v>24</v>
      </c>
      <c r="B839" s="12" t="s">
        <v>43</v>
      </c>
      <c r="C839" s="12">
        <v>109.688339233398</v>
      </c>
      <c r="D839" s="12">
        <v>1989</v>
      </c>
    </row>
    <row r="840" spans="1:4" ht="19.899999999999999" customHeight="1">
      <c r="A840" s="11" t="s">
        <v>25</v>
      </c>
      <c r="B840" s="12" t="s">
        <v>43</v>
      </c>
      <c r="C840" s="12"/>
      <c r="D840" s="12">
        <v>1989</v>
      </c>
    </row>
    <row r="841" spans="1:4" ht="19.899999999999999" customHeight="1">
      <c r="A841" s="11" t="s">
        <v>26</v>
      </c>
      <c r="B841" s="12" t="s">
        <v>43</v>
      </c>
      <c r="C841" s="12">
        <v>69.091072082519503</v>
      </c>
      <c r="D841" s="12">
        <v>1989</v>
      </c>
    </row>
    <row r="842" spans="1:4" ht="19.899999999999999" customHeight="1">
      <c r="A842" s="11" t="s">
        <v>27</v>
      </c>
      <c r="B842" s="12" t="s">
        <v>43</v>
      </c>
      <c r="C842" s="12">
        <v>69.829040527343807</v>
      </c>
      <c r="D842" s="12">
        <v>1989</v>
      </c>
    </row>
    <row r="843" spans="1:4" ht="19.899999999999999" customHeight="1">
      <c r="A843" s="11" t="s">
        <v>28</v>
      </c>
      <c r="B843" s="12" t="s">
        <v>43</v>
      </c>
      <c r="C843" s="12">
        <v>94.124557495117202</v>
      </c>
      <c r="D843" s="12">
        <v>1989</v>
      </c>
    </row>
    <row r="844" spans="1:4" ht="19.899999999999999" customHeight="1">
      <c r="A844" s="11" t="s">
        <v>29</v>
      </c>
      <c r="B844" s="12" t="s">
        <v>43</v>
      </c>
      <c r="C844" s="12">
        <v>107.62328338623</v>
      </c>
      <c r="D844" s="12">
        <v>1989</v>
      </c>
    </row>
    <row r="845" spans="1:4" ht="19.899999999999999" customHeight="1">
      <c r="A845" s="11" t="s">
        <v>4</v>
      </c>
      <c r="B845" s="12" t="s">
        <v>43</v>
      </c>
      <c r="C845" s="12">
        <v>69.845901489257798</v>
      </c>
      <c r="D845" s="12">
        <v>1990</v>
      </c>
    </row>
    <row r="846" spans="1:4" ht="19.899999999999999" customHeight="1">
      <c r="A846" s="11" t="s">
        <v>5</v>
      </c>
      <c r="B846" s="12" t="s">
        <v>43</v>
      </c>
      <c r="C846" s="12">
        <v>99.948753356933494</v>
      </c>
      <c r="D846" s="12">
        <v>1990</v>
      </c>
    </row>
    <row r="847" spans="1:4" ht="19.899999999999999" customHeight="1">
      <c r="A847" s="11" t="s">
        <v>6</v>
      </c>
      <c r="B847" s="12" t="s">
        <v>43</v>
      </c>
      <c r="C847" s="12">
        <v>49.554519653320298</v>
      </c>
      <c r="D847" s="12">
        <v>1990</v>
      </c>
    </row>
    <row r="848" spans="1:4" ht="19.899999999999999" customHeight="1">
      <c r="A848" s="11" t="s">
        <v>7</v>
      </c>
      <c r="B848" s="12" t="s">
        <v>43</v>
      </c>
      <c r="C848" s="12">
        <v>99.053642272949205</v>
      </c>
      <c r="D848" s="12">
        <v>1990</v>
      </c>
    </row>
    <row r="849" spans="1:4" ht="19.899999999999999" customHeight="1">
      <c r="A849" s="11" t="s">
        <v>8</v>
      </c>
      <c r="B849" s="12" t="s">
        <v>43</v>
      </c>
      <c r="C849" s="12">
        <v>33.297958374023402</v>
      </c>
      <c r="D849" s="12">
        <v>1990</v>
      </c>
    </row>
    <row r="850" spans="1:4" ht="19.899999999999999" customHeight="1">
      <c r="A850" s="11" t="s">
        <v>1</v>
      </c>
      <c r="B850" s="12" t="s">
        <v>43</v>
      </c>
      <c r="C850" s="12">
        <v>35.164440155029197</v>
      </c>
      <c r="D850" s="12">
        <v>1990</v>
      </c>
    </row>
    <row r="851" spans="1:4" ht="19.899999999999999" customHeight="1">
      <c r="A851" s="11" t="s">
        <v>9</v>
      </c>
      <c r="B851" s="12" t="s">
        <v>43</v>
      </c>
      <c r="C851" s="12">
        <v>34.774730682372997</v>
      </c>
      <c r="D851" s="12">
        <v>1990</v>
      </c>
    </row>
    <row r="852" spans="1:4" ht="19.899999999999999" customHeight="1">
      <c r="A852" s="11" t="s">
        <v>10</v>
      </c>
      <c r="B852" s="12" t="s">
        <v>43</v>
      </c>
      <c r="C852" s="12"/>
      <c r="D852" s="12">
        <v>1990</v>
      </c>
    </row>
    <row r="853" spans="1:4" ht="19.899999999999999" customHeight="1">
      <c r="A853" s="11" t="s">
        <v>11</v>
      </c>
      <c r="B853" s="12" t="s">
        <v>43</v>
      </c>
      <c r="C853" s="12">
        <v>100.52353668212901</v>
      </c>
      <c r="D853" s="12">
        <v>1990</v>
      </c>
    </row>
    <row r="854" spans="1:4" ht="19.899999999999999" customHeight="1">
      <c r="A854" s="11" t="s">
        <v>38</v>
      </c>
      <c r="B854" s="12" t="s">
        <v>43</v>
      </c>
      <c r="C854" s="12"/>
      <c r="D854" s="12">
        <v>1990</v>
      </c>
    </row>
    <row r="855" spans="1:4" ht="19.899999999999999" customHeight="1">
      <c r="A855" s="11" t="s">
        <v>12</v>
      </c>
      <c r="B855" s="12" t="s">
        <v>43</v>
      </c>
      <c r="C855" s="12"/>
      <c r="D855" s="12">
        <v>1990</v>
      </c>
    </row>
    <row r="856" spans="1:4" ht="19.899999999999999" customHeight="1">
      <c r="A856" s="11" t="s">
        <v>13</v>
      </c>
      <c r="B856" s="12" t="s">
        <v>43</v>
      </c>
      <c r="C856" s="12">
        <v>92.841087341308494</v>
      </c>
      <c r="D856" s="12">
        <v>1990</v>
      </c>
    </row>
    <row r="857" spans="1:4" ht="19.899999999999999" customHeight="1">
      <c r="A857" s="11" t="s">
        <v>14</v>
      </c>
      <c r="B857" s="12" t="s">
        <v>43</v>
      </c>
      <c r="C857" s="12">
        <v>73.222602844238295</v>
      </c>
      <c r="D857" s="12">
        <v>1990</v>
      </c>
    </row>
    <row r="858" spans="1:4" ht="19.899999999999999" customHeight="1">
      <c r="A858" s="11" t="s">
        <v>15</v>
      </c>
      <c r="B858" s="12" t="s">
        <v>43</v>
      </c>
      <c r="C858" s="12">
        <v>27.254299163818398</v>
      </c>
      <c r="D858" s="12">
        <v>1990</v>
      </c>
    </row>
    <row r="859" spans="1:4" ht="19.899999999999999" customHeight="1">
      <c r="A859" s="11" t="s">
        <v>16</v>
      </c>
      <c r="B859" s="12" t="s">
        <v>43</v>
      </c>
      <c r="C859" s="12">
        <v>90.014862060546903</v>
      </c>
      <c r="D859" s="12">
        <v>1990</v>
      </c>
    </row>
    <row r="860" spans="1:4" ht="19.899999999999999" customHeight="1">
      <c r="A860" s="11" t="s">
        <v>17</v>
      </c>
      <c r="B860" s="12" t="s">
        <v>43</v>
      </c>
      <c r="C860" s="12">
        <v>64.475791931152301</v>
      </c>
      <c r="D860" s="12">
        <v>1990</v>
      </c>
    </row>
    <row r="861" spans="1:4" ht="19.899999999999999" customHeight="1">
      <c r="A861" s="11" t="s">
        <v>18</v>
      </c>
      <c r="B861" s="12" t="s">
        <v>43</v>
      </c>
      <c r="C861" s="12">
        <v>92.905006408691406</v>
      </c>
      <c r="D861" s="12">
        <v>1990</v>
      </c>
    </row>
    <row r="862" spans="1:4" ht="19.899999999999999" customHeight="1">
      <c r="A862" s="11" t="s">
        <v>19</v>
      </c>
      <c r="B862" s="12" t="s">
        <v>43</v>
      </c>
      <c r="C862" s="12">
        <v>111.98500823974599</v>
      </c>
      <c r="D862" s="12">
        <v>1990</v>
      </c>
    </row>
    <row r="863" spans="1:4" ht="19.899999999999999" customHeight="1">
      <c r="A863" s="11" t="s">
        <v>20</v>
      </c>
      <c r="B863" s="12" t="s">
        <v>43</v>
      </c>
      <c r="C863" s="12">
        <v>87.443511962890597</v>
      </c>
      <c r="D863" s="12">
        <v>1990</v>
      </c>
    </row>
    <row r="864" spans="1:4" ht="19.899999999999999" customHeight="1">
      <c r="A864" s="11" t="s">
        <v>21</v>
      </c>
      <c r="B864" s="12" t="s">
        <v>43</v>
      </c>
      <c r="C864" s="12">
        <v>26.1587104797363</v>
      </c>
      <c r="D864" s="12">
        <v>1990</v>
      </c>
    </row>
    <row r="865" spans="1:4" ht="19.899999999999999" customHeight="1">
      <c r="A865" s="11" t="s">
        <v>22</v>
      </c>
      <c r="B865" s="12" t="s">
        <v>43</v>
      </c>
      <c r="C865" s="12">
        <v>73.066299438476605</v>
      </c>
      <c r="D865" s="12">
        <v>1990</v>
      </c>
    </row>
    <row r="866" spans="1:4" ht="19.899999999999999" customHeight="1">
      <c r="A866" s="11" t="s">
        <v>23</v>
      </c>
      <c r="B866" s="12" t="s">
        <v>43</v>
      </c>
      <c r="C866" s="12">
        <v>138.58630371093801</v>
      </c>
      <c r="D866" s="12">
        <v>1990</v>
      </c>
    </row>
    <row r="867" spans="1:4" ht="19.899999999999999" customHeight="1">
      <c r="A867" s="11" t="s">
        <v>24</v>
      </c>
      <c r="B867" s="12" t="s">
        <v>43</v>
      </c>
      <c r="C867" s="12">
        <v>109.87660980224599</v>
      </c>
      <c r="D867" s="12">
        <v>1990</v>
      </c>
    </row>
    <row r="868" spans="1:4" ht="19.899999999999999" customHeight="1">
      <c r="A868" s="11" t="s">
        <v>25</v>
      </c>
      <c r="B868" s="12" t="s">
        <v>43</v>
      </c>
      <c r="C868" s="12"/>
      <c r="D868" s="12">
        <v>1990</v>
      </c>
    </row>
    <row r="869" spans="1:4" ht="19.899999999999999" customHeight="1">
      <c r="A869" s="11" t="s">
        <v>26</v>
      </c>
      <c r="B869" s="12" t="s">
        <v>43</v>
      </c>
      <c r="C869" s="12">
        <v>69.579986572265597</v>
      </c>
      <c r="D869" s="12">
        <v>1990</v>
      </c>
    </row>
    <row r="870" spans="1:4" ht="19.899999999999999" customHeight="1">
      <c r="A870" s="11" t="s">
        <v>27</v>
      </c>
      <c r="B870" s="12" t="s">
        <v>43</v>
      </c>
      <c r="C870" s="12">
        <v>70.444206237792997</v>
      </c>
      <c r="D870" s="12">
        <v>1990</v>
      </c>
    </row>
    <row r="871" spans="1:4" ht="19.899999999999999" customHeight="1">
      <c r="A871" s="11" t="s">
        <v>28</v>
      </c>
      <c r="B871" s="12" t="s">
        <v>43</v>
      </c>
      <c r="C871" s="12">
        <v>92.854873657226605</v>
      </c>
      <c r="D871" s="12">
        <v>1990</v>
      </c>
    </row>
    <row r="872" spans="1:4" ht="19.899999999999999" customHeight="1">
      <c r="A872" s="11" t="s">
        <v>29</v>
      </c>
      <c r="B872" s="12" t="s">
        <v>43</v>
      </c>
      <c r="C872" s="12">
        <v>99.579078674316406</v>
      </c>
      <c r="D872" s="12">
        <v>1990</v>
      </c>
    </row>
    <row r="873" spans="1:4" ht="19.899999999999999" customHeight="1">
      <c r="A873" s="11" t="s">
        <v>4</v>
      </c>
      <c r="B873" s="12" t="s">
        <v>43</v>
      </c>
      <c r="C873" s="12">
        <v>71.696052551269503</v>
      </c>
      <c r="D873" s="12">
        <v>1991</v>
      </c>
    </row>
    <row r="874" spans="1:4" ht="19.899999999999999" customHeight="1">
      <c r="A874" s="11" t="s">
        <v>5</v>
      </c>
      <c r="B874" s="12" t="s">
        <v>43</v>
      </c>
      <c r="C874" s="12">
        <v>97.377586364745994</v>
      </c>
      <c r="D874" s="12">
        <v>1991</v>
      </c>
    </row>
    <row r="875" spans="1:4" ht="19.899999999999999" customHeight="1">
      <c r="A875" s="11" t="s">
        <v>6</v>
      </c>
      <c r="B875" s="12" t="s">
        <v>43</v>
      </c>
      <c r="C875" s="12">
        <v>51.221218109130902</v>
      </c>
      <c r="D875" s="12">
        <v>1991</v>
      </c>
    </row>
    <row r="876" spans="1:4" ht="19.899999999999999" customHeight="1">
      <c r="A876" s="11" t="s">
        <v>7</v>
      </c>
      <c r="B876" s="12" t="s">
        <v>43</v>
      </c>
      <c r="C876" s="12">
        <v>102.46511077880901</v>
      </c>
      <c r="D876" s="12">
        <v>1991</v>
      </c>
    </row>
    <row r="877" spans="1:4" ht="19.899999999999999" customHeight="1">
      <c r="A877" s="11" t="s">
        <v>8</v>
      </c>
      <c r="B877" s="12" t="s">
        <v>43</v>
      </c>
      <c r="C877" s="12">
        <v>32.833160400390597</v>
      </c>
      <c r="D877" s="12">
        <v>1991</v>
      </c>
    </row>
    <row r="878" spans="1:4" ht="19.899999999999999" customHeight="1">
      <c r="A878" s="11" t="s">
        <v>1</v>
      </c>
      <c r="B878" s="12" t="s">
        <v>43</v>
      </c>
      <c r="C878" s="12">
        <v>31.462600708007798</v>
      </c>
      <c r="D878" s="12">
        <v>1991</v>
      </c>
    </row>
    <row r="879" spans="1:4" ht="19.899999999999999" customHeight="1">
      <c r="A879" s="11" t="s">
        <v>9</v>
      </c>
      <c r="B879" s="12" t="s">
        <v>43</v>
      </c>
      <c r="C879" s="12">
        <v>37.132640838622997</v>
      </c>
      <c r="D879" s="12">
        <v>1991</v>
      </c>
    </row>
    <row r="880" spans="1:4" ht="19.899999999999999" customHeight="1">
      <c r="A880" s="11" t="s">
        <v>10</v>
      </c>
      <c r="B880" s="12" t="s">
        <v>43</v>
      </c>
      <c r="C880" s="12"/>
      <c r="D880" s="12">
        <v>1991</v>
      </c>
    </row>
    <row r="881" spans="1:4" ht="19.899999999999999" customHeight="1">
      <c r="A881" s="11" t="s">
        <v>11</v>
      </c>
      <c r="B881" s="12" t="s">
        <v>43</v>
      </c>
      <c r="C881" s="12">
        <v>98.373390197753906</v>
      </c>
      <c r="D881" s="12">
        <v>1991</v>
      </c>
    </row>
    <row r="882" spans="1:4" ht="19.899999999999999" customHeight="1">
      <c r="A882" s="11" t="s">
        <v>38</v>
      </c>
      <c r="B882" s="12" t="s">
        <v>43</v>
      </c>
      <c r="C882" s="12"/>
      <c r="D882" s="12">
        <v>1991</v>
      </c>
    </row>
    <row r="883" spans="1:4" ht="19.899999999999999" customHeight="1">
      <c r="A883" s="11" t="s">
        <v>12</v>
      </c>
      <c r="B883" s="12" t="s">
        <v>43</v>
      </c>
      <c r="C883" s="12"/>
      <c r="D883" s="12">
        <v>1991</v>
      </c>
    </row>
    <row r="884" spans="1:4" ht="19.899999999999999" customHeight="1">
      <c r="A884" s="11" t="s">
        <v>13</v>
      </c>
      <c r="B884" s="12" t="s">
        <v>43</v>
      </c>
      <c r="C884" s="12">
        <v>94.553108215332003</v>
      </c>
      <c r="D884" s="12">
        <v>1991</v>
      </c>
    </row>
    <row r="885" spans="1:4" ht="19.899999999999999" customHeight="1">
      <c r="A885" s="11" t="s">
        <v>14</v>
      </c>
      <c r="B885" s="12" t="s">
        <v>43</v>
      </c>
      <c r="C885" s="12">
        <v>76.232223510742202</v>
      </c>
      <c r="D885" s="12">
        <v>1991</v>
      </c>
    </row>
    <row r="886" spans="1:4" ht="19.899999999999999" customHeight="1">
      <c r="A886" s="11" t="s">
        <v>15</v>
      </c>
      <c r="B886" s="12" t="s">
        <v>43</v>
      </c>
      <c r="C886" s="12">
        <v>27.904209136962901</v>
      </c>
      <c r="D886" s="12">
        <v>1991</v>
      </c>
    </row>
    <row r="887" spans="1:4" ht="19.899999999999999" customHeight="1">
      <c r="A887" s="11" t="s">
        <v>16</v>
      </c>
      <c r="B887" s="12" t="s">
        <v>43</v>
      </c>
      <c r="C887" s="12">
        <v>93.072036743164105</v>
      </c>
      <c r="D887" s="12">
        <v>1991</v>
      </c>
    </row>
    <row r="888" spans="1:4" ht="19.899999999999999" customHeight="1">
      <c r="A888" s="11" t="s">
        <v>17</v>
      </c>
      <c r="B888" s="12" t="s">
        <v>43</v>
      </c>
      <c r="C888" s="12">
        <v>61.901241302490199</v>
      </c>
      <c r="D888" s="12">
        <v>1991</v>
      </c>
    </row>
    <row r="889" spans="1:4" ht="19.899999999999999" customHeight="1">
      <c r="A889" s="11" t="s">
        <v>18</v>
      </c>
      <c r="B889" s="12" t="s">
        <v>43</v>
      </c>
      <c r="C889" s="12">
        <v>102.623008728027</v>
      </c>
      <c r="D889" s="12">
        <v>1991</v>
      </c>
    </row>
    <row r="890" spans="1:4" ht="19.899999999999999" customHeight="1">
      <c r="A890" s="11" t="s">
        <v>19</v>
      </c>
      <c r="B890" s="12" t="s">
        <v>43</v>
      </c>
      <c r="C890" s="12">
        <v>113.00946044921901</v>
      </c>
      <c r="D890" s="12">
        <v>1991</v>
      </c>
    </row>
    <row r="891" spans="1:4" ht="19.899999999999999" customHeight="1">
      <c r="A891" s="11" t="s">
        <v>20</v>
      </c>
      <c r="B891" s="12" t="s">
        <v>43</v>
      </c>
      <c r="C891" s="12">
        <v>91.078666687011705</v>
      </c>
      <c r="D891" s="12">
        <v>1991</v>
      </c>
    </row>
    <row r="892" spans="1:4" ht="19.899999999999999" customHeight="1">
      <c r="A892" s="11" t="s">
        <v>21</v>
      </c>
      <c r="B892" s="12" t="s">
        <v>43</v>
      </c>
      <c r="C892" s="12">
        <v>27.123519897460898</v>
      </c>
      <c r="D892" s="12">
        <v>1991</v>
      </c>
    </row>
    <row r="893" spans="1:4" ht="19.899999999999999" customHeight="1">
      <c r="A893" s="11" t="s">
        <v>22</v>
      </c>
      <c r="B893" s="12" t="s">
        <v>43</v>
      </c>
      <c r="C893" s="12">
        <v>75.087646484375</v>
      </c>
      <c r="D893" s="12">
        <v>1991</v>
      </c>
    </row>
    <row r="894" spans="1:4" ht="19.899999999999999" customHeight="1">
      <c r="A894" s="11" t="s">
        <v>23</v>
      </c>
      <c r="B894" s="12" t="s">
        <v>43</v>
      </c>
      <c r="C894" s="12">
        <v>147.843017578125</v>
      </c>
      <c r="D894" s="12">
        <v>1991</v>
      </c>
    </row>
    <row r="895" spans="1:4" ht="19.899999999999999" customHeight="1">
      <c r="A895" s="11" t="s">
        <v>24</v>
      </c>
      <c r="B895" s="12" t="s">
        <v>43</v>
      </c>
      <c r="C895" s="12">
        <v>110.46964263916</v>
      </c>
      <c r="D895" s="12">
        <v>1991</v>
      </c>
    </row>
    <row r="896" spans="1:4" ht="19.899999999999999" customHeight="1">
      <c r="A896" s="11" t="s">
        <v>25</v>
      </c>
      <c r="B896" s="12" t="s">
        <v>43</v>
      </c>
      <c r="C896" s="12">
        <v>89.008071899414105</v>
      </c>
      <c r="D896" s="12">
        <v>1991</v>
      </c>
    </row>
    <row r="897" spans="1:4" ht="19.899999999999999" customHeight="1">
      <c r="A897" s="11" t="s">
        <v>26</v>
      </c>
      <c r="B897" s="12" t="s">
        <v>43</v>
      </c>
      <c r="C897" s="12">
        <v>69.997009277343807</v>
      </c>
      <c r="D897" s="12">
        <v>1991</v>
      </c>
    </row>
    <row r="898" spans="1:4" ht="19.899999999999999" customHeight="1">
      <c r="A898" s="11" t="s">
        <v>27</v>
      </c>
      <c r="B898" s="12" t="s">
        <v>43</v>
      </c>
      <c r="C898" s="12">
        <v>70.707290649414105</v>
      </c>
      <c r="D898" s="12">
        <v>1991</v>
      </c>
    </row>
    <row r="899" spans="1:4" ht="19.899999999999999" customHeight="1">
      <c r="A899" s="11" t="s">
        <v>28</v>
      </c>
      <c r="B899" s="12" t="s">
        <v>43</v>
      </c>
      <c r="C899" s="12">
        <v>93.561546325683494</v>
      </c>
      <c r="D899" s="12">
        <v>1991</v>
      </c>
    </row>
    <row r="900" spans="1:4" ht="19.899999999999999" customHeight="1">
      <c r="A900" s="11" t="s">
        <v>29</v>
      </c>
      <c r="B900" s="12" t="s">
        <v>43</v>
      </c>
      <c r="C900" s="12">
        <v>104.628303527832</v>
      </c>
      <c r="D900" s="12">
        <v>1991</v>
      </c>
    </row>
    <row r="901" spans="1:4" ht="19.899999999999999" customHeight="1">
      <c r="A901" s="11" t="s">
        <v>4</v>
      </c>
      <c r="B901" s="12" t="s">
        <v>43</v>
      </c>
      <c r="C901" s="12">
        <v>68.363288879394503</v>
      </c>
      <c r="D901" s="12">
        <v>1992</v>
      </c>
    </row>
    <row r="902" spans="1:4" ht="19.899999999999999" customHeight="1">
      <c r="A902" s="11" t="s">
        <v>5</v>
      </c>
      <c r="B902" s="12" t="s">
        <v>43</v>
      </c>
      <c r="C902" s="12">
        <v>91.504188537597699</v>
      </c>
      <c r="D902" s="12">
        <v>1992</v>
      </c>
    </row>
    <row r="903" spans="1:4" ht="19.899999999999999" customHeight="1">
      <c r="A903" s="11" t="s">
        <v>6</v>
      </c>
      <c r="B903" s="12" t="s">
        <v>43</v>
      </c>
      <c r="C903" s="12">
        <v>53.4946098327637</v>
      </c>
      <c r="D903" s="12">
        <v>1992</v>
      </c>
    </row>
    <row r="904" spans="1:4" ht="19.899999999999999" customHeight="1">
      <c r="A904" s="11" t="s">
        <v>7</v>
      </c>
      <c r="B904" s="12" t="s">
        <v>43</v>
      </c>
      <c r="C904" s="12">
        <v>106.712509155273</v>
      </c>
      <c r="D904" s="12">
        <v>1992</v>
      </c>
    </row>
    <row r="905" spans="1:4" ht="19.899999999999999" customHeight="1">
      <c r="A905" s="11" t="s">
        <v>8</v>
      </c>
      <c r="B905" s="12" t="s">
        <v>43</v>
      </c>
      <c r="C905" s="12">
        <v>34.092048645019503</v>
      </c>
      <c r="D905" s="12">
        <v>1992</v>
      </c>
    </row>
    <row r="906" spans="1:4" ht="19.899999999999999" customHeight="1">
      <c r="A906" s="11" t="s">
        <v>1</v>
      </c>
      <c r="B906" s="12" t="s">
        <v>43</v>
      </c>
      <c r="C906" s="12">
        <v>25.193620681762699</v>
      </c>
      <c r="D906" s="12">
        <v>1992</v>
      </c>
    </row>
    <row r="907" spans="1:4" ht="19.899999999999999" customHeight="1">
      <c r="A907" s="11" t="s">
        <v>9</v>
      </c>
      <c r="B907" s="12" t="s">
        <v>43</v>
      </c>
      <c r="C907" s="12">
        <v>36.281211853027301</v>
      </c>
      <c r="D907" s="12">
        <v>1992</v>
      </c>
    </row>
    <row r="908" spans="1:4" ht="19.899999999999999" customHeight="1">
      <c r="A908" s="11" t="s">
        <v>10</v>
      </c>
      <c r="B908" s="12" t="s">
        <v>43</v>
      </c>
      <c r="C908" s="12">
        <v>74.776199340820298</v>
      </c>
      <c r="D908" s="12">
        <v>1992</v>
      </c>
    </row>
    <row r="909" spans="1:4" ht="19.899999999999999" customHeight="1">
      <c r="A909" s="11" t="s">
        <v>11</v>
      </c>
      <c r="B909" s="12" t="s">
        <v>43</v>
      </c>
      <c r="C909" s="12">
        <v>97.006973266601605</v>
      </c>
      <c r="D909" s="12">
        <v>1992</v>
      </c>
    </row>
    <row r="910" spans="1:4" ht="19.899999999999999" customHeight="1">
      <c r="A910" s="11" t="s">
        <v>38</v>
      </c>
      <c r="B910" s="12" t="s">
        <v>43</v>
      </c>
      <c r="C910" s="12"/>
      <c r="D910" s="12">
        <v>1992</v>
      </c>
    </row>
    <row r="911" spans="1:4" ht="19.899999999999999" customHeight="1">
      <c r="A911" s="11" t="s">
        <v>12</v>
      </c>
      <c r="B911" s="12" t="s">
        <v>43</v>
      </c>
      <c r="C911" s="12"/>
      <c r="D911" s="12">
        <v>1992</v>
      </c>
    </row>
    <row r="912" spans="1:4" ht="19.899999999999999" customHeight="1">
      <c r="A912" s="11" t="s">
        <v>13</v>
      </c>
      <c r="B912" s="12" t="s">
        <v>43</v>
      </c>
      <c r="C912" s="12">
        <v>87.817398071289105</v>
      </c>
      <c r="D912" s="12">
        <v>1992</v>
      </c>
    </row>
    <row r="913" spans="1:4" ht="19.899999999999999" customHeight="1">
      <c r="A913" s="11" t="s">
        <v>14</v>
      </c>
      <c r="B913" s="12" t="s">
        <v>43</v>
      </c>
      <c r="C913" s="12">
        <v>91.653221130370994</v>
      </c>
      <c r="D913" s="12">
        <v>1992</v>
      </c>
    </row>
    <row r="914" spans="1:4" ht="19.899999999999999" customHeight="1">
      <c r="A914" s="11" t="s">
        <v>15</v>
      </c>
      <c r="B914" s="12" t="s">
        <v>43</v>
      </c>
      <c r="C914" s="12">
        <v>29.742460250854499</v>
      </c>
      <c r="D914" s="12">
        <v>1992</v>
      </c>
    </row>
    <row r="915" spans="1:4" ht="19.899999999999999" customHeight="1">
      <c r="A915" s="11" t="s">
        <v>16</v>
      </c>
      <c r="B915" s="12" t="s">
        <v>43</v>
      </c>
      <c r="C915" s="12">
        <v>93.361091613769503</v>
      </c>
      <c r="D915" s="12">
        <v>1992</v>
      </c>
    </row>
    <row r="916" spans="1:4" ht="19.899999999999999" customHeight="1">
      <c r="A916" s="11" t="s">
        <v>17</v>
      </c>
      <c r="B916" s="12" t="s">
        <v>43</v>
      </c>
      <c r="C916" s="12">
        <v>59.982109069824197</v>
      </c>
      <c r="D916" s="12">
        <v>1992</v>
      </c>
    </row>
    <row r="917" spans="1:4" ht="19.899999999999999" customHeight="1">
      <c r="A917" s="11" t="s">
        <v>18</v>
      </c>
      <c r="B917" s="12" t="s">
        <v>43</v>
      </c>
      <c r="C917" s="12">
        <v>111.363410949707</v>
      </c>
      <c r="D917" s="12">
        <v>1992</v>
      </c>
    </row>
    <row r="918" spans="1:4" ht="19.899999999999999" customHeight="1">
      <c r="A918" s="11" t="s">
        <v>19</v>
      </c>
      <c r="B918" s="12" t="s">
        <v>43</v>
      </c>
      <c r="C918" s="12">
        <v>115.953742980957</v>
      </c>
      <c r="D918" s="12">
        <v>1992</v>
      </c>
    </row>
    <row r="919" spans="1:4" ht="19.899999999999999" customHeight="1">
      <c r="A919" s="11" t="s">
        <v>20</v>
      </c>
      <c r="B919" s="12" t="s">
        <v>43</v>
      </c>
      <c r="C919" s="12">
        <v>93.184097290039105</v>
      </c>
      <c r="D919" s="12">
        <v>1992</v>
      </c>
    </row>
    <row r="920" spans="1:4" ht="19.899999999999999" customHeight="1">
      <c r="A920" s="11" t="s">
        <v>21</v>
      </c>
      <c r="B920" s="12" t="s">
        <v>43</v>
      </c>
      <c r="C920" s="12">
        <v>26.465700149536101</v>
      </c>
      <c r="D920" s="12">
        <v>1992</v>
      </c>
    </row>
    <row r="921" spans="1:4" ht="19.899999999999999" customHeight="1">
      <c r="A921" s="11" t="s">
        <v>22</v>
      </c>
      <c r="B921" s="12" t="s">
        <v>43</v>
      </c>
      <c r="C921" s="12">
        <v>80.528327941894503</v>
      </c>
      <c r="D921" s="12">
        <v>1992</v>
      </c>
    </row>
    <row r="922" spans="1:4" ht="19.899999999999999" customHeight="1">
      <c r="A922" s="11" t="s">
        <v>23</v>
      </c>
      <c r="B922" s="12" t="s">
        <v>43</v>
      </c>
      <c r="C922" s="12">
        <v>158.27316284179699</v>
      </c>
      <c r="D922" s="12">
        <v>1992</v>
      </c>
    </row>
    <row r="923" spans="1:4" ht="19.899999999999999" customHeight="1">
      <c r="A923" s="11" t="s">
        <v>24</v>
      </c>
      <c r="B923" s="12" t="s">
        <v>43</v>
      </c>
      <c r="C923" s="12">
        <v>109.11019897460901</v>
      </c>
      <c r="D923" s="12">
        <v>1992</v>
      </c>
    </row>
    <row r="924" spans="1:4" ht="19.899999999999999" customHeight="1">
      <c r="A924" s="11" t="s">
        <v>25</v>
      </c>
      <c r="B924" s="12" t="s">
        <v>43</v>
      </c>
      <c r="C924" s="12">
        <v>90.630432128906307</v>
      </c>
      <c r="D924" s="12">
        <v>1992</v>
      </c>
    </row>
    <row r="925" spans="1:4" ht="19.899999999999999" customHeight="1">
      <c r="A925" s="11" t="s">
        <v>26</v>
      </c>
      <c r="B925" s="12" t="s">
        <v>43</v>
      </c>
      <c r="C925" s="12">
        <v>69.433036804199205</v>
      </c>
      <c r="D925" s="12">
        <v>1992</v>
      </c>
    </row>
    <row r="926" spans="1:4" ht="19.899999999999999" customHeight="1">
      <c r="A926" s="11" t="s">
        <v>27</v>
      </c>
      <c r="B926" s="12" t="s">
        <v>43</v>
      </c>
      <c r="C926" s="12">
        <v>63.5046195983887</v>
      </c>
      <c r="D926" s="12">
        <v>1992</v>
      </c>
    </row>
    <row r="927" spans="1:4" ht="19.899999999999999" customHeight="1">
      <c r="A927" s="11" t="s">
        <v>28</v>
      </c>
      <c r="B927" s="12" t="s">
        <v>43</v>
      </c>
      <c r="C927" s="12"/>
      <c r="D927" s="12">
        <v>1992</v>
      </c>
    </row>
    <row r="928" spans="1:4" ht="19.899999999999999" customHeight="1">
      <c r="A928" s="11" t="s">
        <v>29</v>
      </c>
      <c r="B928" s="12" t="s">
        <v>43</v>
      </c>
      <c r="C928" s="12">
        <v>102.797172546387</v>
      </c>
      <c r="D928" s="12">
        <v>1992</v>
      </c>
    </row>
    <row r="929" spans="1:4" ht="19.899999999999999" customHeight="1">
      <c r="A929" s="11" t="s">
        <v>4</v>
      </c>
      <c r="B929" s="12" t="s">
        <v>43</v>
      </c>
      <c r="C929" s="12">
        <v>67.469421386718807</v>
      </c>
      <c r="D929" s="12">
        <v>1993</v>
      </c>
    </row>
    <row r="930" spans="1:4" ht="19.899999999999999" customHeight="1">
      <c r="A930" s="11" t="s">
        <v>5</v>
      </c>
      <c r="B930" s="12" t="s">
        <v>43</v>
      </c>
      <c r="C930" s="12"/>
      <c r="D930" s="12">
        <v>1993</v>
      </c>
    </row>
    <row r="931" spans="1:4" ht="19.899999999999999" customHeight="1">
      <c r="A931" s="11" t="s">
        <v>6</v>
      </c>
      <c r="B931" s="12" t="s">
        <v>43</v>
      </c>
      <c r="C931" s="12">
        <v>50.180870056152301</v>
      </c>
      <c r="D931" s="12">
        <v>1993</v>
      </c>
    </row>
    <row r="932" spans="1:4" ht="19.899999999999999" customHeight="1">
      <c r="A932" s="11" t="s">
        <v>7</v>
      </c>
      <c r="B932" s="12" t="s">
        <v>43</v>
      </c>
      <c r="C932" s="12">
        <v>100.38616943359401</v>
      </c>
      <c r="D932" s="12">
        <v>1993</v>
      </c>
    </row>
    <row r="933" spans="1:4" ht="19.899999999999999" customHeight="1">
      <c r="A933" s="11" t="s">
        <v>8</v>
      </c>
      <c r="B933" s="12" t="s">
        <v>43</v>
      </c>
      <c r="C933" s="12">
        <v>30.952379226684599</v>
      </c>
      <c r="D933" s="12">
        <v>1993</v>
      </c>
    </row>
    <row r="934" spans="1:4" ht="19.899999999999999" customHeight="1">
      <c r="A934" s="11" t="s">
        <v>1</v>
      </c>
      <c r="B934" s="12" t="s">
        <v>43</v>
      </c>
      <c r="C934" s="12">
        <v>21.622789382934599</v>
      </c>
      <c r="D934" s="12">
        <v>1993</v>
      </c>
    </row>
    <row r="935" spans="1:4" ht="19.899999999999999" customHeight="1">
      <c r="A935" s="11" t="s">
        <v>9</v>
      </c>
      <c r="B935" s="12" t="s">
        <v>43</v>
      </c>
      <c r="C935" s="12">
        <v>39.945968627929702</v>
      </c>
      <c r="D935" s="12">
        <v>1993</v>
      </c>
    </row>
    <row r="936" spans="1:4" ht="19.899999999999999" customHeight="1">
      <c r="A936" s="11" t="s">
        <v>10</v>
      </c>
      <c r="B936" s="12" t="s">
        <v>43</v>
      </c>
      <c r="C936" s="12">
        <v>78.303131103515597</v>
      </c>
      <c r="D936" s="12">
        <v>1993</v>
      </c>
    </row>
    <row r="937" spans="1:4" ht="19.899999999999999" customHeight="1">
      <c r="A937" s="11" t="s">
        <v>11</v>
      </c>
      <c r="B937" s="12" t="s">
        <v>43</v>
      </c>
      <c r="C937" s="12">
        <v>96.269500732421903</v>
      </c>
      <c r="D937" s="12">
        <v>1993</v>
      </c>
    </row>
    <row r="938" spans="1:4" ht="19.899999999999999" customHeight="1">
      <c r="A938" s="11" t="s">
        <v>38</v>
      </c>
      <c r="B938" s="12" t="s">
        <v>43</v>
      </c>
      <c r="C938" s="12"/>
      <c r="D938" s="12">
        <v>1993</v>
      </c>
    </row>
    <row r="939" spans="1:4" ht="19.899999999999999" customHeight="1">
      <c r="A939" s="11" t="s">
        <v>12</v>
      </c>
      <c r="B939" s="12" t="s">
        <v>43</v>
      </c>
      <c r="C939" s="12"/>
      <c r="D939" s="12">
        <v>1993</v>
      </c>
    </row>
    <row r="940" spans="1:4" ht="19.899999999999999" customHeight="1">
      <c r="A940" s="11" t="s">
        <v>13</v>
      </c>
      <c r="B940" s="12" t="s">
        <v>43</v>
      </c>
      <c r="C940" s="12">
        <v>85.09716796875</v>
      </c>
      <c r="D940" s="12">
        <v>1993</v>
      </c>
    </row>
    <row r="941" spans="1:4" ht="19.899999999999999" customHeight="1">
      <c r="A941" s="11" t="s">
        <v>14</v>
      </c>
      <c r="B941" s="12" t="s">
        <v>43</v>
      </c>
      <c r="C941" s="12">
        <v>97.417022705078097</v>
      </c>
      <c r="D941" s="12">
        <v>1993</v>
      </c>
    </row>
    <row r="942" spans="1:4" ht="19.899999999999999" customHeight="1">
      <c r="A942" s="11" t="s">
        <v>15</v>
      </c>
      <c r="B942" s="12" t="s">
        <v>43</v>
      </c>
      <c r="C942" s="12">
        <v>33.303909301757798</v>
      </c>
      <c r="D942" s="12">
        <v>1993</v>
      </c>
    </row>
    <row r="943" spans="1:4" ht="19.899999999999999" customHeight="1">
      <c r="A943" s="11" t="s">
        <v>16</v>
      </c>
      <c r="B943" s="12" t="s">
        <v>43</v>
      </c>
      <c r="C943" s="12">
        <v>92.3905029296875</v>
      </c>
      <c r="D943" s="12">
        <v>1993</v>
      </c>
    </row>
    <row r="944" spans="1:4" ht="19.899999999999999" customHeight="1">
      <c r="A944" s="11" t="s">
        <v>17</v>
      </c>
      <c r="B944" s="12" t="s">
        <v>43</v>
      </c>
      <c r="C944" s="12">
        <v>60.057998657226598</v>
      </c>
      <c r="D944" s="12">
        <v>1993</v>
      </c>
    </row>
    <row r="945" spans="1:4" ht="19.899999999999999" customHeight="1">
      <c r="A945" s="11" t="s">
        <v>18</v>
      </c>
      <c r="B945" s="12" t="s">
        <v>43</v>
      </c>
      <c r="C945" s="12">
        <v>112.730796813965</v>
      </c>
      <c r="D945" s="12">
        <v>1993</v>
      </c>
    </row>
    <row r="946" spans="1:4" ht="19.899999999999999" customHeight="1">
      <c r="A946" s="11" t="s">
        <v>19</v>
      </c>
      <c r="B946" s="12" t="s">
        <v>43</v>
      </c>
      <c r="C946" s="12">
        <v>115.12615203857401</v>
      </c>
      <c r="D946" s="12">
        <v>1993</v>
      </c>
    </row>
    <row r="947" spans="1:4" ht="19.899999999999999" customHeight="1">
      <c r="A947" s="11" t="s">
        <v>20</v>
      </c>
      <c r="B947" s="12" t="s">
        <v>43</v>
      </c>
      <c r="C947" s="12">
        <v>95.944068908691406</v>
      </c>
      <c r="D947" s="12">
        <v>1993</v>
      </c>
    </row>
    <row r="948" spans="1:4" ht="19.899999999999999" customHeight="1">
      <c r="A948" s="11" t="s">
        <v>21</v>
      </c>
      <c r="B948" s="12" t="s">
        <v>43</v>
      </c>
      <c r="C948" s="12">
        <v>26.751369476318398</v>
      </c>
      <c r="D948" s="12">
        <v>1993</v>
      </c>
    </row>
    <row r="949" spans="1:4" ht="19.899999999999999" customHeight="1">
      <c r="A949" s="11" t="s">
        <v>22</v>
      </c>
      <c r="B949" s="12" t="s">
        <v>43</v>
      </c>
      <c r="C949" s="12"/>
      <c r="D949" s="12">
        <v>1993</v>
      </c>
    </row>
    <row r="950" spans="1:4" ht="19.899999999999999" customHeight="1">
      <c r="A950" s="11" t="s">
        <v>23</v>
      </c>
      <c r="B950" s="12" t="s">
        <v>43</v>
      </c>
      <c r="C950" s="12"/>
      <c r="D950" s="12">
        <v>1993</v>
      </c>
    </row>
    <row r="951" spans="1:4" ht="19.899999999999999" customHeight="1">
      <c r="A951" s="11" t="s">
        <v>24</v>
      </c>
      <c r="B951" s="12" t="s">
        <v>43</v>
      </c>
      <c r="C951" s="12">
        <v>108.891761779785</v>
      </c>
      <c r="D951" s="12">
        <v>1993</v>
      </c>
    </row>
    <row r="952" spans="1:4" ht="19.899999999999999" customHeight="1">
      <c r="A952" s="11" t="s">
        <v>25</v>
      </c>
      <c r="B952" s="12" t="s">
        <v>43</v>
      </c>
      <c r="C952" s="12">
        <v>84.404731750488295</v>
      </c>
      <c r="D952" s="12">
        <v>1993</v>
      </c>
    </row>
    <row r="953" spans="1:4" ht="19.899999999999999" customHeight="1">
      <c r="A953" s="11" t="s">
        <v>26</v>
      </c>
      <c r="B953" s="12" t="s">
        <v>43</v>
      </c>
      <c r="C953" s="12">
        <v>69.636390686035199</v>
      </c>
      <c r="D953" s="12">
        <v>1993</v>
      </c>
    </row>
    <row r="954" spans="1:4" ht="19.899999999999999" customHeight="1">
      <c r="A954" s="11" t="s">
        <v>27</v>
      </c>
      <c r="B954" s="12" t="s">
        <v>43</v>
      </c>
      <c r="C954" s="12">
        <v>68.097961425781307</v>
      </c>
      <c r="D954" s="12">
        <v>1993</v>
      </c>
    </row>
    <row r="955" spans="1:4" ht="19.899999999999999" customHeight="1">
      <c r="A955" s="11" t="s">
        <v>28</v>
      </c>
      <c r="B955" s="12" t="s">
        <v>43</v>
      </c>
      <c r="C955" s="12"/>
      <c r="D955" s="12">
        <v>1993</v>
      </c>
    </row>
    <row r="956" spans="1:4" ht="19.899999999999999" customHeight="1">
      <c r="A956" s="11" t="s">
        <v>29</v>
      </c>
      <c r="B956" s="12" t="s">
        <v>43</v>
      </c>
      <c r="C956" s="12">
        <v>106.69522094726599</v>
      </c>
      <c r="D956" s="12">
        <v>1993</v>
      </c>
    </row>
    <row r="957" spans="1:4" ht="19.899999999999999" customHeight="1">
      <c r="A957" s="11" t="s">
        <v>4</v>
      </c>
      <c r="B957" s="12" t="s">
        <v>43</v>
      </c>
      <c r="C957" s="12"/>
      <c r="D957" s="12">
        <v>1994</v>
      </c>
    </row>
    <row r="958" spans="1:4" ht="19.899999999999999" customHeight="1">
      <c r="A958" s="11" t="s">
        <v>5</v>
      </c>
      <c r="B958" s="12" t="s">
        <v>43</v>
      </c>
      <c r="C958" s="12">
        <v>84.636291503906307</v>
      </c>
      <c r="D958" s="12">
        <v>1994</v>
      </c>
    </row>
    <row r="959" spans="1:4" ht="19.899999999999999" customHeight="1">
      <c r="A959" s="11" t="s">
        <v>6</v>
      </c>
      <c r="B959" s="12" t="s">
        <v>43</v>
      </c>
      <c r="C959" s="12">
        <v>47.461151123046903</v>
      </c>
      <c r="D959" s="12">
        <v>1994</v>
      </c>
    </row>
    <row r="960" spans="1:4" ht="19.899999999999999" customHeight="1">
      <c r="A960" s="11" t="s">
        <v>7</v>
      </c>
      <c r="B960" s="12" t="s">
        <v>43</v>
      </c>
      <c r="C960" s="12">
        <v>102.18182373046901</v>
      </c>
      <c r="D960" s="12">
        <v>1994</v>
      </c>
    </row>
    <row r="961" spans="1:4" ht="19.899999999999999" customHeight="1">
      <c r="A961" s="11" t="s">
        <v>8</v>
      </c>
      <c r="B961" s="12" t="s">
        <v>43</v>
      </c>
      <c r="C961" s="12">
        <v>32.716121673583999</v>
      </c>
      <c r="D961" s="12">
        <v>1994</v>
      </c>
    </row>
    <row r="962" spans="1:4" ht="19.899999999999999" customHeight="1">
      <c r="A962" s="11" t="s">
        <v>1</v>
      </c>
      <c r="B962" s="12" t="s">
        <v>43</v>
      </c>
      <c r="C962" s="12">
        <v>25.420459747314499</v>
      </c>
      <c r="D962" s="12">
        <v>1994</v>
      </c>
    </row>
    <row r="963" spans="1:4" ht="19.899999999999999" customHeight="1">
      <c r="A963" s="11" t="s">
        <v>9</v>
      </c>
      <c r="B963" s="12" t="s">
        <v>43</v>
      </c>
      <c r="C963" s="12">
        <v>41.958889007568402</v>
      </c>
      <c r="D963" s="12">
        <v>1994</v>
      </c>
    </row>
    <row r="964" spans="1:4" ht="19.899999999999999" customHeight="1">
      <c r="A964" s="11" t="s">
        <v>10</v>
      </c>
      <c r="B964" s="12" t="s">
        <v>43</v>
      </c>
      <c r="C964" s="12">
        <v>84.053916931152301</v>
      </c>
      <c r="D964" s="12">
        <v>1994</v>
      </c>
    </row>
    <row r="965" spans="1:4" ht="19.899999999999999" customHeight="1">
      <c r="A965" s="11" t="s">
        <v>11</v>
      </c>
      <c r="B965" s="12" t="s">
        <v>43</v>
      </c>
      <c r="C965" s="12">
        <v>92.893890380859403</v>
      </c>
      <c r="D965" s="12">
        <v>1994</v>
      </c>
    </row>
    <row r="966" spans="1:4" ht="19.899999999999999" customHeight="1">
      <c r="A966" s="11" t="s">
        <v>38</v>
      </c>
      <c r="B966" s="12" t="s">
        <v>43</v>
      </c>
      <c r="C966" s="12"/>
      <c r="D966" s="12">
        <v>1994</v>
      </c>
    </row>
    <row r="967" spans="1:4" ht="19.899999999999999" customHeight="1">
      <c r="A967" s="11" t="s">
        <v>12</v>
      </c>
      <c r="B967" s="12" t="s">
        <v>43</v>
      </c>
      <c r="C967" s="12"/>
      <c r="D967" s="12">
        <v>1994</v>
      </c>
    </row>
    <row r="968" spans="1:4" ht="19.899999999999999" customHeight="1">
      <c r="A968" s="11" t="s">
        <v>13</v>
      </c>
      <c r="B968" s="12" t="s">
        <v>43</v>
      </c>
      <c r="C968" s="12">
        <v>83.555763244628906</v>
      </c>
      <c r="D968" s="12">
        <v>1994</v>
      </c>
    </row>
    <row r="969" spans="1:4" ht="19.899999999999999" customHeight="1">
      <c r="A969" s="11" t="s">
        <v>14</v>
      </c>
      <c r="B969" s="12" t="s">
        <v>43</v>
      </c>
      <c r="C969" s="12">
        <v>103.910041809082</v>
      </c>
      <c r="D969" s="12">
        <v>1994</v>
      </c>
    </row>
    <row r="970" spans="1:4" ht="19.899999999999999" customHeight="1">
      <c r="A970" s="11" t="s">
        <v>15</v>
      </c>
      <c r="B970" s="12" t="s">
        <v>43</v>
      </c>
      <c r="C970" s="12">
        <v>36.5341186523438</v>
      </c>
      <c r="D970" s="12">
        <v>1994</v>
      </c>
    </row>
    <row r="971" spans="1:4" ht="19.899999999999999" customHeight="1">
      <c r="A971" s="11" t="s">
        <v>16</v>
      </c>
      <c r="B971" s="12" t="s">
        <v>43</v>
      </c>
      <c r="C971" s="12">
        <v>91.364219665527301</v>
      </c>
      <c r="D971" s="12">
        <v>1994</v>
      </c>
    </row>
    <row r="972" spans="1:4" ht="19.899999999999999" customHeight="1">
      <c r="A972" s="11" t="s">
        <v>17</v>
      </c>
      <c r="B972" s="12" t="s">
        <v>43</v>
      </c>
      <c r="C972" s="12">
        <v>62.375450134277301</v>
      </c>
      <c r="D972" s="12">
        <v>1994</v>
      </c>
    </row>
    <row r="973" spans="1:4" ht="19.899999999999999" customHeight="1">
      <c r="A973" s="11" t="s">
        <v>18</v>
      </c>
      <c r="B973" s="12" t="s">
        <v>43</v>
      </c>
      <c r="C973" s="12">
        <v>113.60569000244099</v>
      </c>
      <c r="D973" s="12">
        <v>1994</v>
      </c>
    </row>
    <row r="974" spans="1:4" ht="19.899999999999999" customHeight="1">
      <c r="A974" s="11" t="s">
        <v>19</v>
      </c>
      <c r="B974" s="12" t="s">
        <v>43</v>
      </c>
      <c r="C974" s="12">
        <v>115.89369964599599</v>
      </c>
      <c r="D974" s="12">
        <v>1994</v>
      </c>
    </row>
    <row r="975" spans="1:4" ht="19.899999999999999" customHeight="1">
      <c r="A975" s="11" t="s">
        <v>20</v>
      </c>
      <c r="B975" s="12" t="s">
        <v>43</v>
      </c>
      <c r="C975" s="12">
        <v>98.264022827148395</v>
      </c>
      <c r="D975" s="12">
        <v>1994</v>
      </c>
    </row>
    <row r="976" spans="1:4" ht="19.899999999999999" customHeight="1">
      <c r="A976" s="11" t="s">
        <v>21</v>
      </c>
      <c r="B976" s="12" t="s">
        <v>43</v>
      </c>
      <c r="C976" s="12">
        <v>27.563329696655298</v>
      </c>
      <c r="D976" s="12">
        <v>1994</v>
      </c>
    </row>
    <row r="977" spans="1:4" ht="19.899999999999999" customHeight="1">
      <c r="A977" s="11" t="s">
        <v>22</v>
      </c>
      <c r="B977" s="12" t="s">
        <v>43</v>
      </c>
      <c r="C977" s="12"/>
      <c r="D977" s="12">
        <v>1994</v>
      </c>
    </row>
    <row r="978" spans="1:4" ht="19.899999999999999" customHeight="1">
      <c r="A978" s="11" t="s">
        <v>23</v>
      </c>
      <c r="B978" s="12" t="s">
        <v>43</v>
      </c>
      <c r="C978" s="12"/>
      <c r="D978" s="12">
        <v>1994</v>
      </c>
    </row>
    <row r="979" spans="1:4" ht="19.899999999999999" customHeight="1">
      <c r="A979" s="11" t="s">
        <v>24</v>
      </c>
      <c r="B979" s="12" t="s">
        <v>43</v>
      </c>
      <c r="C979" s="12">
        <v>108.72714233398401</v>
      </c>
      <c r="D979" s="12">
        <v>1994</v>
      </c>
    </row>
    <row r="980" spans="1:4" ht="19.899999999999999" customHeight="1">
      <c r="A980" s="11" t="s">
        <v>25</v>
      </c>
      <c r="B980" s="12" t="s">
        <v>43</v>
      </c>
      <c r="C980" s="12">
        <v>89.256111145019503</v>
      </c>
      <c r="D980" s="12">
        <v>1994</v>
      </c>
    </row>
    <row r="981" spans="1:4" ht="19.899999999999999" customHeight="1">
      <c r="A981" s="11" t="s">
        <v>26</v>
      </c>
      <c r="B981" s="12" t="s">
        <v>43</v>
      </c>
      <c r="C981" s="12">
        <v>68.561050415039105</v>
      </c>
      <c r="D981" s="12">
        <v>1994</v>
      </c>
    </row>
    <row r="982" spans="1:4" ht="19.899999999999999" customHeight="1">
      <c r="A982" s="11" t="s">
        <v>27</v>
      </c>
      <c r="B982" s="12" t="s">
        <v>43</v>
      </c>
      <c r="C982" s="12">
        <v>68.548027038574205</v>
      </c>
      <c r="D982" s="12">
        <v>1994</v>
      </c>
    </row>
    <row r="983" spans="1:4" ht="19.899999999999999" customHeight="1">
      <c r="A983" s="11" t="s">
        <v>28</v>
      </c>
      <c r="B983" s="12" t="s">
        <v>43</v>
      </c>
      <c r="C983" s="12">
        <v>86.715599060058494</v>
      </c>
      <c r="D983" s="12">
        <v>1994</v>
      </c>
    </row>
    <row r="984" spans="1:4" ht="19.899999999999999" customHeight="1">
      <c r="A984" s="11" t="s">
        <v>29</v>
      </c>
      <c r="B984" s="12" t="s">
        <v>43</v>
      </c>
      <c r="C984" s="12"/>
      <c r="D984" s="12">
        <v>1994</v>
      </c>
    </row>
    <row r="985" spans="1:4" ht="19.899999999999999" customHeight="1">
      <c r="A985" s="11" t="s">
        <v>4</v>
      </c>
      <c r="B985" s="12" t="s">
        <v>43</v>
      </c>
      <c r="C985" s="12">
        <v>50.575958251953097</v>
      </c>
      <c r="D985" s="12">
        <v>1995</v>
      </c>
    </row>
    <row r="986" spans="1:4" ht="19.899999999999999" customHeight="1">
      <c r="A986" s="11" t="s">
        <v>5</v>
      </c>
      <c r="B986" s="12" t="s">
        <v>43</v>
      </c>
      <c r="C986" s="12">
        <v>82.511451721191406</v>
      </c>
      <c r="D986" s="12">
        <v>1995</v>
      </c>
    </row>
    <row r="987" spans="1:4" ht="19.899999999999999" customHeight="1">
      <c r="A987" s="11" t="s">
        <v>6</v>
      </c>
      <c r="B987" s="12" t="s">
        <v>43</v>
      </c>
      <c r="C987" s="12">
        <v>46.280509948730497</v>
      </c>
      <c r="D987" s="12">
        <v>1995</v>
      </c>
    </row>
    <row r="988" spans="1:4" ht="19.899999999999999" customHeight="1">
      <c r="A988" s="11" t="s">
        <v>7</v>
      </c>
      <c r="B988" s="12" t="s">
        <v>43</v>
      </c>
      <c r="C988" s="12"/>
      <c r="D988" s="12">
        <v>1995</v>
      </c>
    </row>
    <row r="989" spans="1:4" ht="19.899999999999999" customHeight="1">
      <c r="A989" s="11" t="s">
        <v>8</v>
      </c>
      <c r="B989" s="12" t="s">
        <v>43</v>
      </c>
      <c r="C989" s="12">
        <v>33.660091400146499</v>
      </c>
      <c r="D989" s="12">
        <v>1995</v>
      </c>
    </row>
    <row r="990" spans="1:4" ht="19.899999999999999" customHeight="1">
      <c r="A990" s="11" t="s">
        <v>1</v>
      </c>
      <c r="B990" s="12" t="s">
        <v>43</v>
      </c>
      <c r="C990" s="12">
        <v>29.089929580688501</v>
      </c>
      <c r="D990" s="12">
        <v>1995</v>
      </c>
    </row>
    <row r="991" spans="1:4" ht="19.899999999999999" customHeight="1">
      <c r="A991" s="11" t="s">
        <v>9</v>
      </c>
      <c r="B991" s="12" t="s">
        <v>43</v>
      </c>
      <c r="C991" s="12">
        <v>45.852798461914098</v>
      </c>
      <c r="D991" s="12">
        <v>1995</v>
      </c>
    </row>
    <row r="992" spans="1:4" ht="19.899999999999999" customHeight="1">
      <c r="A992" s="11" t="s">
        <v>10</v>
      </c>
      <c r="B992" s="12" t="s">
        <v>43</v>
      </c>
      <c r="C992" s="12">
        <v>91.027679443359403</v>
      </c>
      <c r="D992" s="12">
        <v>1995</v>
      </c>
    </row>
    <row r="993" spans="1:4" ht="19.899999999999999" customHeight="1">
      <c r="A993" s="11" t="s">
        <v>11</v>
      </c>
      <c r="B993" s="12" t="s">
        <v>43</v>
      </c>
      <c r="C993" s="12">
        <v>90.794410705566406</v>
      </c>
      <c r="D993" s="12">
        <v>1995</v>
      </c>
    </row>
    <row r="994" spans="1:4" ht="19.899999999999999" customHeight="1">
      <c r="A994" s="11" t="s">
        <v>38</v>
      </c>
      <c r="B994" s="12" t="s">
        <v>43</v>
      </c>
      <c r="C994" s="12"/>
      <c r="D994" s="12">
        <v>1995</v>
      </c>
    </row>
    <row r="995" spans="1:4" ht="19.899999999999999" customHeight="1">
      <c r="A995" s="11" t="s">
        <v>12</v>
      </c>
      <c r="B995" s="12" t="s">
        <v>43</v>
      </c>
      <c r="C995" s="12"/>
      <c r="D995" s="12">
        <v>1995</v>
      </c>
    </row>
    <row r="996" spans="1:4" ht="19.899999999999999" customHeight="1">
      <c r="A996" s="11" t="s">
        <v>13</v>
      </c>
      <c r="B996" s="12" t="s">
        <v>43</v>
      </c>
      <c r="C996" s="12">
        <v>81.614387512207003</v>
      </c>
      <c r="D996" s="12">
        <v>1995</v>
      </c>
    </row>
    <row r="997" spans="1:4" ht="19.899999999999999" customHeight="1">
      <c r="A997" s="11" t="s">
        <v>14</v>
      </c>
      <c r="B997" s="12" t="s">
        <v>43</v>
      </c>
      <c r="C997" s="12">
        <v>152.21629333496099</v>
      </c>
      <c r="D997" s="12">
        <v>1995</v>
      </c>
    </row>
    <row r="998" spans="1:4" ht="19.899999999999999" customHeight="1">
      <c r="A998" s="11" t="s">
        <v>15</v>
      </c>
      <c r="B998" s="12" t="s">
        <v>43</v>
      </c>
      <c r="C998" s="12">
        <v>39.193748474121101</v>
      </c>
      <c r="D998" s="12">
        <v>1995</v>
      </c>
    </row>
    <row r="999" spans="1:4" ht="19.899999999999999" customHeight="1">
      <c r="A999" s="11" t="s">
        <v>16</v>
      </c>
      <c r="B999" s="12" t="s">
        <v>43</v>
      </c>
      <c r="C999" s="12">
        <v>95.2152099609375</v>
      </c>
      <c r="D999" s="12">
        <v>1995</v>
      </c>
    </row>
    <row r="1000" spans="1:4" ht="19.899999999999999" customHeight="1">
      <c r="A1000" s="11" t="s">
        <v>17</v>
      </c>
      <c r="B1000" s="12" t="s">
        <v>43</v>
      </c>
      <c r="C1000" s="12">
        <v>66.623237609863295</v>
      </c>
      <c r="D1000" s="12">
        <v>1995</v>
      </c>
    </row>
    <row r="1001" spans="1:4" ht="19.899999999999999" customHeight="1">
      <c r="A1001" s="11" t="s">
        <v>18</v>
      </c>
      <c r="B1001" s="12" t="s">
        <v>43</v>
      </c>
      <c r="C1001" s="12">
        <v>108.341766357422</v>
      </c>
      <c r="D1001" s="12">
        <v>1995</v>
      </c>
    </row>
    <row r="1002" spans="1:4" ht="19.899999999999999" customHeight="1">
      <c r="A1002" s="11" t="s">
        <v>19</v>
      </c>
      <c r="B1002" s="12" t="s">
        <v>43</v>
      </c>
      <c r="C1002" s="12">
        <v>115.78005218505901</v>
      </c>
      <c r="D1002" s="12">
        <v>1995</v>
      </c>
    </row>
    <row r="1003" spans="1:4" ht="19.899999999999999" customHeight="1">
      <c r="A1003" s="11" t="s">
        <v>20</v>
      </c>
      <c r="B1003" s="12" t="s">
        <v>43</v>
      </c>
      <c r="C1003" s="12">
        <v>97.099662780761705</v>
      </c>
      <c r="D1003" s="12">
        <v>1995</v>
      </c>
    </row>
    <row r="1004" spans="1:4" ht="19.899999999999999" customHeight="1">
      <c r="A1004" s="11" t="s">
        <v>21</v>
      </c>
      <c r="B1004" s="12" t="s">
        <v>43</v>
      </c>
      <c r="C1004" s="12">
        <v>27.793170928955099</v>
      </c>
      <c r="D1004" s="12">
        <v>1995</v>
      </c>
    </row>
    <row r="1005" spans="1:4" ht="19.899999999999999" customHeight="1">
      <c r="A1005" s="11" t="s">
        <v>22</v>
      </c>
      <c r="B1005" s="12" t="s">
        <v>43</v>
      </c>
      <c r="C1005" s="12"/>
      <c r="D1005" s="12">
        <v>1995</v>
      </c>
    </row>
    <row r="1006" spans="1:4" ht="19.899999999999999" customHeight="1">
      <c r="A1006" s="11" t="s">
        <v>23</v>
      </c>
      <c r="B1006" s="12" t="s">
        <v>43</v>
      </c>
      <c r="C1006" s="12"/>
      <c r="D1006" s="12">
        <v>1995</v>
      </c>
    </row>
    <row r="1007" spans="1:4" ht="19.899999999999999" customHeight="1">
      <c r="A1007" s="11" t="s">
        <v>24</v>
      </c>
      <c r="B1007" s="12" t="s">
        <v>43</v>
      </c>
      <c r="C1007" s="12">
        <v>111.356498718262</v>
      </c>
      <c r="D1007" s="12">
        <v>1995</v>
      </c>
    </row>
    <row r="1008" spans="1:4" ht="19.899999999999999" customHeight="1">
      <c r="A1008" s="11" t="s">
        <v>25</v>
      </c>
      <c r="B1008" s="12" t="s">
        <v>43</v>
      </c>
      <c r="C1008" s="12">
        <v>89.513977050781307</v>
      </c>
      <c r="D1008" s="12">
        <v>1995</v>
      </c>
    </row>
    <row r="1009" spans="1:4" ht="19.899999999999999" customHeight="1">
      <c r="A1009" s="11" t="s">
        <v>26</v>
      </c>
      <c r="B1009" s="12" t="s">
        <v>43</v>
      </c>
      <c r="C1009" s="12">
        <v>68.061233520507798</v>
      </c>
      <c r="D1009" s="12">
        <v>1995</v>
      </c>
    </row>
    <row r="1010" spans="1:4" ht="19.899999999999999" customHeight="1">
      <c r="A1010" s="11" t="s">
        <v>27</v>
      </c>
      <c r="B1010" s="12" t="s">
        <v>43</v>
      </c>
      <c r="C1010" s="12">
        <v>69.239120483398395</v>
      </c>
      <c r="D1010" s="12">
        <v>1995</v>
      </c>
    </row>
    <row r="1011" spans="1:4" ht="19.899999999999999" customHeight="1">
      <c r="A1011" s="11" t="s">
        <v>28</v>
      </c>
      <c r="B1011" s="12" t="s">
        <v>43</v>
      </c>
      <c r="C1011" s="12">
        <v>84.645561218261705</v>
      </c>
      <c r="D1011" s="12">
        <v>1995</v>
      </c>
    </row>
    <row r="1012" spans="1:4" ht="19.899999999999999" customHeight="1">
      <c r="A1012" s="11" t="s">
        <v>29</v>
      </c>
      <c r="B1012" s="12" t="s">
        <v>43</v>
      </c>
      <c r="C1012" s="12">
        <v>106.947677612305</v>
      </c>
      <c r="D1012" s="12">
        <v>1995</v>
      </c>
    </row>
    <row r="1013" spans="1:4" ht="19.899999999999999" customHeight="1">
      <c r="A1013" s="11" t="s">
        <v>4</v>
      </c>
      <c r="B1013" s="12" t="s">
        <v>43</v>
      </c>
      <c r="C1013" s="12">
        <v>39.418140411377003</v>
      </c>
      <c r="D1013" s="12">
        <v>1996</v>
      </c>
    </row>
    <row r="1014" spans="1:4" ht="19.899999999999999" customHeight="1">
      <c r="A1014" s="11" t="s">
        <v>5</v>
      </c>
      <c r="B1014" s="12" t="s">
        <v>43</v>
      </c>
      <c r="C1014" s="12">
        <v>75.931297302245994</v>
      </c>
      <c r="D1014" s="12">
        <v>1996</v>
      </c>
    </row>
    <row r="1015" spans="1:4" ht="19.899999999999999" customHeight="1">
      <c r="A1015" s="11" t="s">
        <v>6</v>
      </c>
      <c r="B1015" s="12" t="s">
        <v>43</v>
      </c>
      <c r="C1015" s="12">
        <v>48.345798492431598</v>
      </c>
      <c r="D1015" s="12">
        <v>1996</v>
      </c>
    </row>
    <row r="1016" spans="1:4" ht="19.899999999999999" customHeight="1">
      <c r="A1016" s="11" t="s">
        <v>7</v>
      </c>
      <c r="B1016" s="12" t="s">
        <v>43</v>
      </c>
      <c r="C1016" s="12">
        <v>97.114768981933494</v>
      </c>
      <c r="D1016" s="12">
        <v>1996</v>
      </c>
    </row>
    <row r="1017" spans="1:4" ht="19.899999999999999" customHeight="1">
      <c r="A1017" s="11" t="s">
        <v>8</v>
      </c>
      <c r="B1017" s="12" t="s">
        <v>43</v>
      </c>
      <c r="C1017" s="12">
        <v>33.529571533203097</v>
      </c>
      <c r="D1017" s="12">
        <v>1996</v>
      </c>
    </row>
    <row r="1018" spans="1:4" ht="19.899999999999999" customHeight="1">
      <c r="A1018" s="11" t="s">
        <v>1</v>
      </c>
      <c r="B1018" s="12" t="s">
        <v>43</v>
      </c>
      <c r="C1018" s="12">
        <v>34.952648162841697</v>
      </c>
      <c r="D1018" s="12">
        <v>1996</v>
      </c>
    </row>
    <row r="1019" spans="1:4" ht="19.899999999999999" customHeight="1">
      <c r="A1019" s="11" t="s">
        <v>9</v>
      </c>
      <c r="B1019" s="12" t="s">
        <v>43</v>
      </c>
      <c r="C1019" s="12">
        <v>47.050529479980497</v>
      </c>
      <c r="D1019" s="12">
        <v>1996</v>
      </c>
    </row>
    <row r="1020" spans="1:4" ht="19.899999999999999" customHeight="1">
      <c r="A1020" s="11" t="s">
        <v>10</v>
      </c>
      <c r="B1020" s="12" t="s">
        <v>43</v>
      </c>
      <c r="C1020" s="12">
        <v>99.255592346191406</v>
      </c>
      <c r="D1020" s="12">
        <v>1996</v>
      </c>
    </row>
    <row r="1021" spans="1:4" ht="19.899999999999999" customHeight="1">
      <c r="A1021" s="11" t="s">
        <v>11</v>
      </c>
      <c r="B1021" s="12" t="s">
        <v>43</v>
      </c>
      <c r="C1021" s="12"/>
      <c r="D1021" s="12">
        <v>1996</v>
      </c>
    </row>
    <row r="1022" spans="1:4" ht="19.899999999999999" customHeight="1">
      <c r="A1022" s="11" t="s">
        <v>38</v>
      </c>
      <c r="B1022" s="12" t="s">
        <v>43</v>
      </c>
      <c r="C1022" s="12"/>
      <c r="D1022" s="12">
        <v>1996</v>
      </c>
    </row>
    <row r="1023" spans="1:4" ht="19.899999999999999" customHeight="1">
      <c r="A1023" s="11" t="s">
        <v>12</v>
      </c>
      <c r="B1023" s="12" t="s">
        <v>43</v>
      </c>
      <c r="C1023" s="12"/>
      <c r="D1023" s="12">
        <v>1996</v>
      </c>
    </row>
    <row r="1024" spans="1:4" ht="19.899999999999999" customHeight="1">
      <c r="A1024" s="11" t="s">
        <v>13</v>
      </c>
      <c r="B1024" s="12" t="s">
        <v>43</v>
      </c>
      <c r="C1024" s="12">
        <v>86.079292297363295</v>
      </c>
      <c r="D1024" s="12">
        <v>1996</v>
      </c>
    </row>
    <row r="1025" spans="1:4" ht="19.899999999999999" customHeight="1">
      <c r="A1025" s="11" t="s">
        <v>14</v>
      </c>
      <c r="B1025" s="12" t="s">
        <v>43</v>
      </c>
      <c r="C1025" s="12">
        <v>147.69650268554699</v>
      </c>
      <c r="D1025" s="12">
        <v>1996</v>
      </c>
    </row>
    <row r="1026" spans="1:4" ht="19.899999999999999" customHeight="1">
      <c r="A1026" s="11" t="s">
        <v>15</v>
      </c>
      <c r="B1026" s="12" t="s">
        <v>43</v>
      </c>
      <c r="C1026" s="12">
        <v>42.854099273681598</v>
      </c>
      <c r="D1026" s="12">
        <v>1996</v>
      </c>
    </row>
    <row r="1027" spans="1:4" ht="19.899999999999999" customHeight="1">
      <c r="A1027" s="11" t="s">
        <v>16</v>
      </c>
      <c r="B1027" s="12" t="s">
        <v>43</v>
      </c>
      <c r="C1027" s="12">
        <v>94.431838989257798</v>
      </c>
      <c r="D1027" s="12">
        <v>1996</v>
      </c>
    </row>
    <row r="1028" spans="1:4" ht="19.899999999999999" customHeight="1">
      <c r="A1028" s="11" t="s">
        <v>17</v>
      </c>
      <c r="B1028" s="12" t="s">
        <v>43</v>
      </c>
      <c r="C1028" s="12"/>
      <c r="D1028" s="12">
        <v>1996</v>
      </c>
    </row>
    <row r="1029" spans="1:4" ht="19.899999999999999" customHeight="1">
      <c r="A1029" s="11" t="s">
        <v>18</v>
      </c>
      <c r="B1029" s="12" t="s">
        <v>43</v>
      </c>
      <c r="C1029" s="12">
        <v>107.842979431152</v>
      </c>
      <c r="D1029" s="12">
        <v>1996</v>
      </c>
    </row>
    <row r="1030" spans="1:4" ht="19.899999999999999" customHeight="1">
      <c r="A1030" s="11" t="s">
        <v>19</v>
      </c>
      <c r="B1030" s="12" t="s">
        <v>43</v>
      </c>
      <c r="C1030" s="12">
        <v>119.919891357422</v>
      </c>
      <c r="D1030" s="12">
        <v>1996</v>
      </c>
    </row>
    <row r="1031" spans="1:4" ht="19.899999999999999" customHeight="1">
      <c r="A1031" s="11" t="s">
        <v>20</v>
      </c>
      <c r="B1031" s="12" t="s">
        <v>43</v>
      </c>
      <c r="C1031" s="12">
        <v>96.223899841308494</v>
      </c>
      <c r="D1031" s="12">
        <v>1996</v>
      </c>
    </row>
    <row r="1032" spans="1:4" ht="19.899999999999999" customHeight="1">
      <c r="A1032" s="11" t="s">
        <v>21</v>
      </c>
      <c r="B1032" s="12" t="s">
        <v>43</v>
      </c>
      <c r="C1032" s="12">
        <v>28.013280868530298</v>
      </c>
      <c r="D1032" s="12">
        <v>1996</v>
      </c>
    </row>
    <row r="1033" spans="1:4" ht="19.899999999999999" customHeight="1">
      <c r="A1033" s="11" t="s">
        <v>22</v>
      </c>
      <c r="B1033" s="12" t="s">
        <v>43</v>
      </c>
      <c r="C1033" s="12"/>
      <c r="D1033" s="12">
        <v>1996</v>
      </c>
    </row>
    <row r="1034" spans="1:4" ht="19.899999999999999" customHeight="1">
      <c r="A1034" s="11" t="s">
        <v>23</v>
      </c>
      <c r="B1034" s="12" t="s">
        <v>43</v>
      </c>
      <c r="C1034" s="12">
        <v>143.24859619140599</v>
      </c>
      <c r="D1034" s="12">
        <v>1996</v>
      </c>
    </row>
    <row r="1035" spans="1:4" ht="19.899999999999999" customHeight="1">
      <c r="A1035" s="11" t="s">
        <v>24</v>
      </c>
      <c r="B1035" s="12" t="s">
        <v>43</v>
      </c>
      <c r="C1035" s="12">
        <v>106.61741638183599</v>
      </c>
      <c r="D1035" s="12">
        <v>1996</v>
      </c>
    </row>
    <row r="1036" spans="1:4" ht="19.899999999999999" customHeight="1">
      <c r="A1036" s="11" t="s">
        <v>25</v>
      </c>
      <c r="B1036" s="12" t="s">
        <v>43</v>
      </c>
      <c r="C1036" s="12">
        <v>89.464080810546903</v>
      </c>
      <c r="D1036" s="12">
        <v>1996</v>
      </c>
    </row>
    <row r="1037" spans="1:4" ht="19.899999999999999" customHeight="1">
      <c r="A1037" s="11" t="s">
        <v>26</v>
      </c>
      <c r="B1037" s="12" t="s">
        <v>43</v>
      </c>
      <c r="C1037" s="12">
        <v>67.299819946289105</v>
      </c>
      <c r="D1037" s="12">
        <v>1996</v>
      </c>
    </row>
    <row r="1038" spans="1:4" ht="19.899999999999999" customHeight="1">
      <c r="A1038" s="11" t="s">
        <v>27</v>
      </c>
      <c r="B1038" s="12" t="s">
        <v>43</v>
      </c>
      <c r="C1038" s="12">
        <v>70.399063110351605</v>
      </c>
      <c r="D1038" s="12">
        <v>1996</v>
      </c>
    </row>
    <row r="1039" spans="1:4" ht="19.899999999999999" customHeight="1">
      <c r="A1039" s="11" t="s">
        <v>28</v>
      </c>
      <c r="B1039" s="12" t="s">
        <v>43</v>
      </c>
      <c r="C1039" s="12">
        <v>83.117156982421903</v>
      </c>
      <c r="D1039" s="12">
        <v>1996</v>
      </c>
    </row>
    <row r="1040" spans="1:4" ht="19.899999999999999" customHeight="1">
      <c r="A1040" s="11" t="s">
        <v>29</v>
      </c>
      <c r="B1040" s="12" t="s">
        <v>43</v>
      </c>
      <c r="C1040" s="12">
        <v>106.44167327880901</v>
      </c>
      <c r="D1040" s="12">
        <v>1996</v>
      </c>
    </row>
    <row r="1041" spans="1:4" ht="19.899999999999999" customHeight="1">
      <c r="A1041" s="11" t="s">
        <v>4</v>
      </c>
      <c r="B1041" s="12" t="s">
        <v>43</v>
      </c>
      <c r="C1041" s="12">
        <v>40.745319366455099</v>
      </c>
      <c r="D1041" s="12">
        <v>1997</v>
      </c>
    </row>
    <row r="1042" spans="1:4" ht="19.899999999999999" customHeight="1">
      <c r="A1042" s="11" t="s">
        <v>5</v>
      </c>
      <c r="B1042" s="12" t="s">
        <v>43</v>
      </c>
      <c r="C1042" s="12">
        <v>79.593208312988295</v>
      </c>
      <c r="D1042" s="12">
        <v>1997</v>
      </c>
    </row>
    <row r="1043" spans="1:4" ht="19.899999999999999" customHeight="1">
      <c r="A1043" s="11" t="s">
        <v>6</v>
      </c>
      <c r="B1043" s="12" t="s">
        <v>43</v>
      </c>
      <c r="C1043" s="12">
        <v>53.5559692382813</v>
      </c>
      <c r="D1043" s="12">
        <v>1997</v>
      </c>
    </row>
    <row r="1044" spans="1:4" ht="19.899999999999999" customHeight="1">
      <c r="A1044" s="11" t="s">
        <v>7</v>
      </c>
      <c r="B1044" s="12" t="s">
        <v>43</v>
      </c>
      <c r="C1044" s="12"/>
      <c r="D1044" s="12">
        <v>1997</v>
      </c>
    </row>
    <row r="1045" spans="1:4" ht="19.899999999999999" customHeight="1">
      <c r="A1045" s="11" t="s">
        <v>8</v>
      </c>
      <c r="B1045" s="12" t="s">
        <v>43</v>
      </c>
      <c r="C1045" s="12">
        <v>32.836429595947301</v>
      </c>
      <c r="D1045" s="12">
        <v>1997</v>
      </c>
    </row>
    <row r="1046" spans="1:4" ht="19.899999999999999" customHeight="1">
      <c r="A1046" s="11" t="s">
        <v>1</v>
      </c>
      <c r="B1046" s="12" t="s">
        <v>43</v>
      </c>
      <c r="C1046" s="12">
        <v>40.339828491210902</v>
      </c>
      <c r="D1046" s="12">
        <v>1997</v>
      </c>
    </row>
    <row r="1047" spans="1:4" ht="19.899999999999999" customHeight="1">
      <c r="A1047" s="11" t="s">
        <v>9</v>
      </c>
      <c r="B1047" s="12" t="s">
        <v>43</v>
      </c>
      <c r="C1047" s="12">
        <v>50.541790008544901</v>
      </c>
      <c r="D1047" s="12">
        <v>1997</v>
      </c>
    </row>
    <row r="1048" spans="1:4" ht="19.899999999999999" customHeight="1">
      <c r="A1048" s="11" t="s">
        <v>10</v>
      </c>
      <c r="B1048" s="12" t="s">
        <v>43</v>
      </c>
      <c r="C1048" s="12">
        <v>108.20001220703099</v>
      </c>
      <c r="D1048" s="12">
        <v>1997</v>
      </c>
    </row>
    <row r="1049" spans="1:4" ht="19.899999999999999" customHeight="1">
      <c r="A1049" s="11" t="s">
        <v>11</v>
      </c>
      <c r="B1049" s="12" t="s">
        <v>43</v>
      </c>
      <c r="C1049" s="12"/>
      <c r="D1049" s="12">
        <v>1997</v>
      </c>
    </row>
    <row r="1050" spans="1:4" ht="19.899999999999999" customHeight="1">
      <c r="A1050" s="11" t="s">
        <v>38</v>
      </c>
      <c r="B1050" s="12" t="s">
        <v>43</v>
      </c>
      <c r="C1050" s="12"/>
      <c r="D1050" s="12">
        <v>1997</v>
      </c>
    </row>
    <row r="1051" spans="1:4" ht="19.899999999999999" customHeight="1">
      <c r="A1051" s="11" t="s">
        <v>12</v>
      </c>
      <c r="B1051" s="12" t="s">
        <v>43</v>
      </c>
      <c r="C1051" s="12"/>
      <c r="D1051" s="12">
        <v>1997</v>
      </c>
    </row>
    <row r="1052" spans="1:4" ht="19.899999999999999" customHeight="1">
      <c r="A1052" s="11" t="s">
        <v>13</v>
      </c>
      <c r="B1052" s="12" t="s">
        <v>43</v>
      </c>
      <c r="C1052" s="12"/>
      <c r="D1052" s="12">
        <v>1997</v>
      </c>
    </row>
    <row r="1053" spans="1:4" ht="19.899999999999999" customHeight="1">
      <c r="A1053" s="11" t="s">
        <v>14</v>
      </c>
      <c r="B1053" s="12" t="s">
        <v>43</v>
      </c>
      <c r="C1053" s="12"/>
      <c r="D1053" s="12">
        <v>1997</v>
      </c>
    </row>
    <row r="1054" spans="1:4" ht="19.899999999999999" customHeight="1">
      <c r="A1054" s="11" t="s">
        <v>15</v>
      </c>
      <c r="B1054" s="12" t="s">
        <v>43</v>
      </c>
      <c r="C1054" s="12">
        <v>47.812198638916001</v>
      </c>
      <c r="D1054" s="12">
        <v>1997</v>
      </c>
    </row>
    <row r="1055" spans="1:4" ht="19.899999999999999" customHeight="1">
      <c r="A1055" s="11" t="s">
        <v>16</v>
      </c>
      <c r="B1055" s="12" t="s">
        <v>43</v>
      </c>
      <c r="C1055" s="12">
        <v>94.782493591308494</v>
      </c>
      <c r="D1055" s="12">
        <v>1997</v>
      </c>
    </row>
    <row r="1056" spans="1:4" ht="19.899999999999999" customHeight="1">
      <c r="A1056" s="11" t="s">
        <v>17</v>
      </c>
      <c r="B1056" s="12" t="s">
        <v>43</v>
      </c>
      <c r="C1056" s="12"/>
      <c r="D1056" s="12">
        <v>1997</v>
      </c>
    </row>
    <row r="1057" spans="1:4" ht="19.899999999999999" customHeight="1">
      <c r="A1057" s="11" t="s">
        <v>18</v>
      </c>
      <c r="B1057" s="12" t="s">
        <v>43</v>
      </c>
      <c r="C1057" s="12">
        <v>103.552871704102</v>
      </c>
      <c r="D1057" s="12">
        <v>1997</v>
      </c>
    </row>
    <row r="1058" spans="1:4" ht="19.899999999999999" customHeight="1">
      <c r="A1058" s="11" t="s">
        <v>19</v>
      </c>
      <c r="B1058" s="12" t="s">
        <v>43</v>
      </c>
      <c r="C1058" s="12">
        <v>117.65544128418</v>
      </c>
      <c r="D1058" s="12">
        <v>1997</v>
      </c>
    </row>
    <row r="1059" spans="1:4" ht="19.899999999999999" customHeight="1">
      <c r="A1059" s="11" t="s">
        <v>20</v>
      </c>
      <c r="B1059" s="12" t="s">
        <v>43</v>
      </c>
      <c r="C1059" s="12">
        <v>97.680778503417997</v>
      </c>
      <c r="D1059" s="12">
        <v>1997</v>
      </c>
    </row>
    <row r="1060" spans="1:4" ht="19.899999999999999" customHeight="1">
      <c r="A1060" s="11" t="s">
        <v>21</v>
      </c>
      <c r="B1060" s="12" t="s">
        <v>43</v>
      </c>
      <c r="C1060" s="12">
        <v>28.851009368896499</v>
      </c>
      <c r="D1060" s="12">
        <v>1997</v>
      </c>
    </row>
    <row r="1061" spans="1:4" ht="19.899999999999999" customHeight="1">
      <c r="A1061" s="11" t="s">
        <v>22</v>
      </c>
      <c r="B1061" s="12" t="s">
        <v>43</v>
      </c>
      <c r="C1061" s="12">
        <v>101.00350189209</v>
      </c>
      <c r="D1061" s="12">
        <v>1997</v>
      </c>
    </row>
    <row r="1062" spans="1:4" ht="19.899999999999999" customHeight="1">
      <c r="A1062" s="11" t="s">
        <v>23</v>
      </c>
      <c r="B1062" s="12" t="s">
        <v>43</v>
      </c>
      <c r="C1062" s="12"/>
      <c r="D1062" s="12">
        <v>1997</v>
      </c>
    </row>
    <row r="1063" spans="1:4" ht="19.899999999999999" customHeight="1">
      <c r="A1063" s="11" t="s">
        <v>24</v>
      </c>
      <c r="B1063" s="12" t="s">
        <v>43</v>
      </c>
      <c r="C1063" s="12"/>
      <c r="D1063" s="12">
        <v>1997</v>
      </c>
    </row>
    <row r="1064" spans="1:4" ht="19.899999999999999" customHeight="1">
      <c r="A1064" s="11" t="s">
        <v>25</v>
      </c>
      <c r="B1064" s="12" t="s">
        <v>43</v>
      </c>
      <c r="C1064" s="12">
        <v>88.608360290527301</v>
      </c>
      <c r="D1064" s="12">
        <v>1997</v>
      </c>
    </row>
    <row r="1065" spans="1:4" ht="19.899999999999999" customHeight="1">
      <c r="A1065" s="11" t="s">
        <v>26</v>
      </c>
      <c r="B1065" s="12" t="s">
        <v>43</v>
      </c>
      <c r="C1065" s="12">
        <v>67.407150268554702</v>
      </c>
      <c r="D1065" s="12">
        <v>1997</v>
      </c>
    </row>
    <row r="1066" spans="1:4" ht="19.899999999999999" customHeight="1">
      <c r="A1066" s="11" t="s">
        <v>27</v>
      </c>
      <c r="B1066" s="12" t="s">
        <v>43</v>
      </c>
      <c r="C1066" s="12">
        <v>117.293807983398</v>
      </c>
      <c r="D1066" s="12">
        <v>1997</v>
      </c>
    </row>
    <row r="1067" spans="1:4" ht="19.899999999999999" customHeight="1">
      <c r="A1067" s="11" t="s">
        <v>28</v>
      </c>
      <c r="B1067" s="12" t="s">
        <v>43</v>
      </c>
      <c r="C1067" s="12"/>
      <c r="D1067" s="12">
        <v>1997</v>
      </c>
    </row>
    <row r="1068" spans="1:4" ht="19.899999999999999" customHeight="1">
      <c r="A1068" s="11" t="s">
        <v>29</v>
      </c>
      <c r="B1068" s="12" t="s">
        <v>43</v>
      </c>
      <c r="C1068" s="12">
        <v>106.329208374023</v>
      </c>
      <c r="D1068" s="12">
        <v>1997</v>
      </c>
    </row>
    <row r="1069" spans="1:4" ht="19.899999999999999" customHeight="1">
      <c r="A1069" s="11" t="s">
        <v>4</v>
      </c>
      <c r="B1069" s="12" t="s">
        <v>43</v>
      </c>
      <c r="C1069" s="12">
        <v>48.587799072265597</v>
      </c>
      <c r="D1069" s="12">
        <v>1998</v>
      </c>
    </row>
    <row r="1070" spans="1:4" ht="19.899999999999999" customHeight="1">
      <c r="A1070" s="11" t="s">
        <v>5</v>
      </c>
      <c r="B1070" s="12" t="s">
        <v>43</v>
      </c>
      <c r="C1070" s="12">
        <v>81.857307434082003</v>
      </c>
      <c r="D1070" s="12">
        <v>1998</v>
      </c>
    </row>
    <row r="1071" spans="1:4" ht="19.899999999999999" customHeight="1">
      <c r="A1071" s="11" t="s">
        <v>6</v>
      </c>
      <c r="B1071" s="12" t="s">
        <v>43</v>
      </c>
      <c r="C1071" s="12">
        <v>59.458259582519503</v>
      </c>
      <c r="D1071" s="12">
        <v>1998</v>
      </c>
    </row>
    <row r="1072" spans="1:4" ht="19.899999999999999" customHeight="1">
      <c r="A1072" s="11" t="s">
        <v>7</v>
      </c>
      <c r="B1072" s="12" t="s">
        <v>43</v>
      </c>
      <c r="C1072" s="12">
        <v>101.044731140137</v>
      </c>
      <c r="D1072" s="12">
        <v>1998</v>
      </c>
    </row>
    <row r="1073" spans="1:4" ht="19.899999999999999" customHeight="1">
      <c r="A1073" s="11" t="s">
        <v>8</v>
      </c>
      <c r="B1073" s="12" t="s">
        <v>43</v>
      </c>
      <c r="C1073" s="12">
        <v>32.197139739990199</v>
      </c>
      <c r="D1073" s="12">
        <v>1998</v>
      </c>
    </row>
    <row r="1074" spans="1:4" ht="19.899999999999999" customHeight="1">
      <c r="A1074" s="11" t="s">
        <v>1</v>
      </c>
      <c r="B1074" s="12" t="s">
        <v>43</v>
      </c>
      <c r="C1074" s="12">
        <v>49.964080810546903</v>
      </c>
      <c r="D1074" s="12">
        <v>1998</v>
      </c>
    </row>
    <row r="1075" spans="1:4" ht="19.899999999999999" customHeight="1">
      <c r="A1075" s="11" t="s">
        <v>9</v>
      </c>
      <c r="B1075" s="12" t="s">
        <v>43</v>
      </c>
      <c r="C1075" s="12">
        <v>51.0165405273438</v>
      </c>
      <c r="D1075" s="12">
        <v>1998</v>
      </c>
    </row>
    <row r="1076" spans="1:4" ht="19.899999999999999" customHeight="1">
      <c r="A1076" s="11" t="s">
        <v>10</v>
      </c>
      <c r="B1076" s="12" t="s">
        <v>43</v>
      </c>
      <c r="C1076" s="12">
        <v>111.878341674805</v>
      </c>
      <c r="D1076" s="12">
        <v>1998</v>
      </c>
    </row>
    <row r="1077" spans="1:4" ht="19.899999999999999" customHeight="1">
      <c r="A1077" s="11" t="s">
        <v>11</v>
      </c>
      <c r="B1077" s="12" t="s">
        <v>43</v>
      </c>
      <c r="C1077" s="12">
        <v>91.965950012207003</v>
      </c>
      <c r="D1077" s="12">
        <v>1998</v>
      </c>
    </row>
    <row r="1078" spans="1:4" ht="19.899999999999999" customHeight="1">
      <c r="A1078" s="11" t="s">
        <v>38</v>
      </c>
      <c r="B1078" s="12" t="s">
        <v>43</v>
      </c>
      <c r="C1078" s="12"/>
      <c r="D1078" s="12">
        <v>1998</v>
      </c>
    </row>
    <row r="1079" spans="1:4" ht="19.899999999999999" customHeight="1">
      <c r="A1079" s="11" t="s">
        <v>12</v>
      </c>
      <c r="B1079" s="12" t="s">
        <v>43</v>
      </c>
      <c r="C1079" s="12">
        <v>76.442123413085895</v>
      </c>
      <c r="D1079" s="12">
        <v>1998</v>
      </c>
    </row>
    <row r="1080" spans="1:4" ht="19.899999999999999" customHeight="1">
      <c r="A1080" s="11" t="s">
        <v>13</v>
      </c>
      <c r="B1080" s="12" t="s">
        <v>43</v>
      </c>
      <c r="C1080" s="12">
        <v>93.057670593261705</v>
      </c>
      <c r="D1080" s="12">
        <v>1998</v>
      </c>
    </row>
    <row r="1081" spans="1:4" ht="19.899999999999999" customHeight="1">
      <c r="A1081" s="11" t="s">
        <v>14</v>
      </c>
      <c r="B1081" s="12" t="s">
        <v>43</v>
      </c>
      <c r="C1081" s="12">
        <v>132.928466796875</v>
      </c>
      <c r="D1081" s="12">
        <v>1998</v>
      </c>
    </row>
    <row r="1082" spans="1:4" ht="19.899999999999999" customHeight="1">
      <c r="A1082" s="11" t="s">
        <v>15</v>
      </c>
      <c r="B1082" s="12" t="s">
        <v>43</v>
      </c>
      <c r="C1082" s="12">
        <v>51.725440979003899</v>
      </c>
      <c r="D1082" s="12">
        <v>1998</v>
      </c>
    </row>
    <row r="1083" spans="1:4" ht="19.899999999999999" customHeight="1">
      <c r="A1083" s="11" t="s">
        <v>16</v>
      </c>
      <c r="B1083" s="12" t="s">
        <v>43</v>
      </c>
      <c r="C1083" s="12"/>
      <c r="D1083" s="12">
        <v>1998</v>
      </c>
    </row>
    <row r="1084" spans="1:4" ht="19.899999999999999" customHeight="1">
      <c r="A1084" s="11" t="s">
        <v>17</v>
      </c>
      <c r="B1084" s="12" t="s">
        <v>43</v>
      </c>
      <c r="C1084" s="12">
        <v>64.124977111816406</v>
      </c>
      <c r="D1084" s="12">
        <v>1998</v>
      </c>
    </row>
    <row r="1085" spans="1:4" ht="19.899999999999999" customHeight="1">
      <c r="A1085" s="11" t="s">
        <v>18</v>
      </c>
      <c r="B1085" s="12" t="s">
        <v>43</v>
      </c>
      <c r="C1085" s="12"/>
      <c r="D1085" s="12">
        <v>1998</v>
      </c>
    </row>
    <row r="1086" spans="1:4" ht="19.899999999999999" customHeight="1">
      <c r="A1086" s="11" t="s">
        <v>19</v>
      </c>
      <c r="B1086" s="12" t="s">
        <v>43</v>
      </c>
      <c r="C1086" s="12"/>
      <c r="D1086" s="12">
        <v>1998</v>
      </c>
    </row>
    <row r="1087" spans="1:4" ht="19.899999999999999" customHeight="1">
      <c r="A1087" s="11" t="s">
        <v>20</v>
      </c>
      <c r="B1087" s="12" t="s">
        <v>43</v>
      </c>
      <c r="C1087" s="12">
        <v>98.016609191894503</v>
      </c>
      <c r="D1087" s="12">
        <v>1998</v>
      </c>
    </row>
    <row r="1088" spans="1:4" ht="19.899999999999999" customHeight="1">
      <c r="A1088" s="11" t="s">
        <v>21</v>
      </c>
      <c r="B1088" s="12" t="s">
        <v>43</v>
      </c>
      <c r="C1088" s="12">
        <v>29.022729873657202</v>
      </c>
      <c r="D1088" s="12">
        <v>1998</v>
      </c>
    </row>
    <row r="1089" spans="1:4" ht="19.899999999999999" customHeight="1">
      <c r="A1089" s="11" t="s">
        <v>22</v>
      </c>
      <c r="B1089" s="12" t="s">
        <v>43</v>
      </c>
      <c r="C1089" s="12">
        <v>105.774360656738</v>
      </c>
      <c r="D1089" s="12">
        <v>1998</v>
      </c>
    </row>
    <row r="1090" spans="1:4" ht="19.899999999999999" customHeight="1">
      <c r="A1090" s="11" t="s">
        <v>23</v>
      </c>
      <c r="B1090" s="12" t="s">
        <v>43</v>
      </c>
      <c r="C1090" s="12">
        <v>127.813850402832</v>
      </c>
      <c r="D1090" s="12">
        <v>1998</v>
      </c>
    </row>
    <row r="1091" spans="1:4" ht="19.899999999999999" customHeight="1">
      <c r="A1091" s="11" t="s">
        <v>24</v>
      </c>
      <c r="B1091" s="12" t="s">
        <v>43</v>
      </c>
      <c r="C1091" s="12">
        <v>106.955772399902</v>
      </c>
      <c r="D1091" s="12">
        <v>1998</v>
      </c>
    </row>
    <row r="1092" spans="1:4" ht="19.899999999999999" customHeight="1">
      <c r="A1092" s="11" t="s">
        <v>25</v>
      </c>
      <c r="B1092" s="12" t="s">
        <v>43</v>
      </c>
      <c r="C1092" s="12">
        <v>95.660583496093807</v>
      </c>
      <c r="D1092" s="12">
        <v>1998</v>
      </c>
    </row>
    <row r="1093" spans="1:4" ht="19.899999999999999" customHeight="1">
      <c r="A1093" s="11" t="s">
        <v>26</v>
      </c>
      <c r="B1093" s="12" t="s">
        <v>43</v>
      </c>
      <c r="C1093" s="12">
        <v>65.399078369140597</v>
      </c>
      <c r="D1093" s="12">
        <v>1998</v>
      </c>
    </row>
    <row r="1094" spans="1:4" ht="19.899999999999999" customHeight="1">
      <c r="A1094" s="11" t="s">
        <v>27</v>
      </c>
      <c r="B1094" s="12" t="s">
        <v>43</v>
      </c>
      <c r="C1094" s="12">
        <v>123.72614288330099</v>
      </c>
      <c r="D1094" s="12">
        <v>1998</v>
      </c>
    </row>
    <row r="1095" spans="1:4" ht="19.899999999999999" customHeight="1">
      <c r="A1095" s="11" t="s">
        <v>28</v>
      </c>
      <c r="B1095" s="12" t="s">
        <v>43</v>
      </c>
      <c r="C1095" s="12">
        <v>80.979331970214801</v>
      </c>
      <c r="D1095" s="12">
        <v>1998</v>
      </c>
    </row>
    <row r="1096" spans="1:4" ht="19.899999999999999" customHeight="1">
      <c r="A1096" s="11" t="s">
        <v>29</v>
      </c>
      <c r="B1096" s="12" t="s">
        <v>43</v>
      </c>
      <c r="C1096" s="12">
        <v>104.463272094727</v>
      </c>
      <c r="D1096" s="12">
        <v>1998</v>
      </c>
    </row>
    <row r="1097" spans="1:4" ht="19.899999999999999" customHeight="1">
      <c r="A1097" s="11" t="s">
        <v>4</v>
      </c>
      <c r="B1097" s="12" t="s">
        <v>43</v>
      </c>
      <c r="C1097" s="12">
        <v>57.461158752441399</v>
      </c>
      <c r="D1097" s="12">
        <v>1999</v>
      </c>
    </row>
    <row r="1098" spans="1:4" ht="19.899999999999999" customHeight="1">
      <c r="A1098" s="11" t="s">
        <v>5</v>
      </c>
      <c r="B1098" s="12" t="s">
        <v>43</v>
      </c>
      <c r="C1098" s="12">
        <v>84.464439392089801</v>
      </c>
      <c r="D1098" s="12">
        <v>1999</v>
      </c>
    </row>
    <row r="1099" spans="1:4" ht="19.899999999999999" customHeight="1">
      <c r="A1099" s="11" t="s">
        <v>6</v>
      </c>
      <c r="B1099" s="12" t="s">
        <v>43</v>
      </c>
      <c r="C1099" s="12">
        <v>61.008228302002003</v>
      </c>
      <c r="D1099" s="12">
        <v>1999</v>
      </c>
    </row>
    <row r="1100" spans="1:4" ht="19.899999999999999" customHeight="1">
      <c r="A1100" s="11" t="s">
        <v>7</v>
      </c>
      <c r="B1100" s="12" t="s">
        <v>43</v>
      </c>
      <c r="C1100" s="12">
        <v>92.945106506347699</v>
      </c>
      <c r="D1100" s="12">
        <v>1999</v>
      </c>
    </row>
    <row r="1101" spans="1:4" ht="19.899999999999999" customHeight="1">
      <c r="A1101" s="11" t="s">
        <v>8</v>
      </c>
      <c r="B1101" s="12" t="s">
        <v>43</v>
      </c>
      <c r="C1101" s="12">
        <v>32.532108306884801</v>
      </c>
      <c r="D1101" s="12">
        <v>1999</v>
      </c>
    </row>
    <row r="1102" spans="1:4" ht="19.899999999999999" customHeight="1">
      <c r="A1102" s="11" t="s">
        <v>1</v>
      </c>
      <c r="B1102" s="12" t="s">
        <v>43</v>
      </c>
      <c r="C1102" s="12">
        <v>49.405258178710902</v>
      </c>
      <c r="D1102" s="12">
        <v>1999</v>
      </c>
    </row>
    <row r="1103" spans="1:4" ht="19.899999999999999" customHeight="1">
      <c r="A1103" s="11" t="s">
        <v>9</v>
      </c>
      <c r="B1103" s="12" t="s">
        <v>43</v>
      </c>
      <c r="C1103" s="12">
        <v>53.657249450683601</v>
      </c>
      <c r="D1103" s="12">
        <v>1999</v>
      </c>
    </row>
    <row r="1104" spans="1:4" ht="19.899999999999999" customHeight="1">
      <c r="A1104" s="11" t="s">
        <v>10</v>
      </c>
      <c r="B1104" s="12" t="s">
        <v>43</v>
      </c>
      <c r="C1104" s="12"/>
      <c r="D1104" s="12">
        <v>1999</v>
      </c>
    </row>
    <row r="1105" spans="1:4" ht="19.899999999999999" customHeight="1">
      <c r="A1105" s="11" t="s">
        <v>11</v>
      </c>
      <c r="B1105" s="12" t="s">
        <v>43</v>
      </c>
      <c r="C1105" s="12">
        <v>90.548698425292997</v>
      </c>
      <c r="D1105" s="12">
        <v>1999</v>
      </c>
    </row>
    <row r="1106" spans="1:4" ht="19.899999999999999" customHeight="1">
      <c r="A1106" s="11" t="s">
        <v>38</v>
      </c>
      <c r="B1106" s="12" t="s">
        <v>43</v>
      </c>
      <c r="C1106" s="12"/>
      <c r="D1106" s="12">
        <v>1999</v>
      </c>
    </row>
    <row r="1107" spans="1:4" ht="19.899999999999999" customHeight="1">
      <c r="A1107" s="11" t="s">
        <v>12</v>
      </c>
      <c r="B1107" s="12" t="s">
        <v>43</v>
      </c>
      <c r="C1107" s="12">
        <v>95.430282592773395</v>
      </c>
      <c r="D1107" s="12">
        <v>1999</v>
      </c>
    </row>
    <row r="1108" spans="1:4" ht="19.899999999999999" customHeight="1">
      <c r="A1108" s="11" t="s">
        <v>13</v>
      </c>
      <c r="B1108" s="12" t="s">
        <v>43</v>
      </c>
      <c r="C1108" s="12">
        <v>95.740516662597699</v>
      </c>
      <c r="D1108" s="12">
        <v>1999</v>
      </c>
    </row>
    <row r="1109" spans="1:4" ht="19.899999999999999" customHeight="1">
      <c r="A1109" s="11" t="s">
        <v>14</v>
      </c>
      <c r="B1109" s="12" t="s">
        <v>43</v>
      </c>
      <c r="C1109" s="12">
        <v>131.68542480468801</v>
      </c>
      <c r="D1109" s="12">
        <v>1999</v>
      </c>
    </row>
    <row r="1110" spans="1:4" ht="19.899999999999999" customHeight="1">
      <c r="A1110" s="11" t="s">
        <v>15</v>
      </c>
      <c r="B1110" s="12" t="s">
        <v>43</v>
      </c>
      <c r="C1110" s="12">
        <v>55.971328735351598</v>
      </c>
      <c r="D1110" s="12">
        <v>1999</v>
      </c>
    </row>
    <row r="1111" spans="1:4" ht="19.899999999999999" customHeight="1">
      <c r="A1111" s="11" t="s">
        <v>16</v>
      </c>
      <c r="B1111" s="12" t="s">
        <v>43</v>
      </c>
      <c r="C1111" s="12">
        <v>99.7222900390625</v>
      </c>
      <c r="D1111" s="12">
        <v>1999</v>
      </c>
    </row>
    <row r="1112" spans="1:4" ht="19.899999999999999" customHeight="1">
      <c r="A1112" s="11" t="s">
        <v>17</v>
      </c>
      <c r="B1112" s="12" t="s">
        <v>43</v>
      </c>
      <c r="C1112" s="12">
        <v>69.120216369628906</v>
      </c>
      <c r="D1112" s="12">
        <v>1999</v>
      </c>
    </row>
    <row r="1113" spans="1:4" ht="19.899999999999999" customHeight="1">
      <c r="A1113" s="11" t="s">
        <v>18</v>
      </c>
      <c r="B1113" s="12" t="s">
        <v>43</v>
      </c>
      <c r="C1113" s="12">
        <v>97.348297119140597</v>
      </c>
      <c r="D1113" s="12">
        <v>1999</v>
      </c>
    </row>
    <row r="1114" spans="1:4" ht="19.899999999999999" customHeight="1">
      <c r="A1114" s="11" t="s">
        <v>19</v>
      </c>
      <c r="B1114" s="12" t="s">
        <v>43</v>
      </c>
      <c r="C1114" s="12">
        <v>116.642936706543</v>
      </c>
      <c r="D1114" s="12">
        <v>1999</v>
      </c>
    </row>
    <row r="1115" spans="1:4" ht="19.899999999999999" customHeight="1">
      <c r="A1115" s="11" t="s">
        <v>20</v>
      </c>
      <c r="B1115" s="12" t="s">
        <v>43</v>
      </c>
      <c r="C1115" s="12">
        <v>103.761352539063</v>
      </c>
      <c r="D1115" s="12">
        <v>1999</v>
      </c>
    </row>
    <row r="1116" spans="1:4" ht="19.899999999999999" customHeight="1">
      <c r="A1116" s="11" t="s">
        <v>21</v>
      </c>
      <c r="B1116" s="12" t="s">
        <v>43</v>
      </c>
      <c r="C1116" s="12">
        <v>30.7222805023193</v>
      </c>
      <c r="D1116" s="12">
        <v>1999</v>
      </c>
    </row>
    <row r="1117" spans="1:4" ht="19.899999999999999" customHeight="1">
      <c r="A1117" s="11" t="s">
        <v>22</v>
      </c>
      <c r="B1117" s="12" t="s">
        <v>43</v>
      </c>
      <c r="C1117" s="12">
        <v>101.774116516113</v>
      </c>
      <c r="D1117" s="12">
        <v>1999</v>
      </c>
    </row>
    <row r="1118" spans="1:4" ht="19.899999999999999" customHeight="1">
      <c r="A1118" s="11" t="s">
        <v>23</v>
      </c>
      <c r="B1118" s="12" t="s">
        <v>43</v>
      </c>
      <c r="C1118" s="12">
        <v>101.98223876953099</v>
      </c>
      <c r="D1118" s="12">
        <v>1999</v>
      </c>
    </row>
    <row r="1119" spans="1:4" ht="19.899999999999999" customHeight="1">
      <c r="A1119" s="11" t="s">
        <v>24</v>
      </c>
      <c r="B1119" s="12" t="s">
        <v>43</v>
      </c>
      <c r="C1119" s="12"/>
      <c r="D1119" s="12">
        <v>1999</v>
      </c>
    </row>
    <row r="1120" spans="1:4" ht="19.899999999999999" customHeight="1">
      <c r="A1120" s="11" t="s">
        <v>25</v>
      </c>
      <c r="B1120" s="12" t="s">
        <v>43</v>
      </c>
      <c r="C1120" s="12">
        <v>95.952857971191406</v>
      </c>
      <c r="D1120" s="12">
        <v>1999</v>
      </c>
    </row>
    <row r="1121" spans="1:4" ht="19.899999999999999" customHeight="1">
      <c r="A1121" s="11" t="s">
        <v>26</v>
      </c>
      <c r="B1121" s="12" t="s">
        <v>43</v>
      </c>
      <c r="C1121" s="12">
        <v>66.077423095703097</v>
      </c>
      <c r="D1121" s="12">
        <v>1999</v>
      </c>
    </row>
    <row r="1122" spans="1:4" ht="19.899999999999999" customHeight="1">
      <c r="A1122" s="11" t="s">
        <v>27</v>
      </c>
      <c r="B1122" s="12" t="s">
        <v>43</v>
      </c>
      <c r="C1122" s="12">
        <v>129.14537048339801</v>
      </c>
      <c r="D1122" s="12">
        <v>1999</v>
      </c>
    </row>
    <row r="1123" spans="1:4" ht="19.899999999999999" customHeight="1">
      <c r="A1123" s="11" t="s">
        <v>28</v>
      </c>
      <c r="B1123" s="12" t="s">
        <v>43</v>
      </c>
      <c r="C1123" s="12">
        <v>78.864852905273395</v>
      </c>
      <c r="D1123" s="12">
        <v>1999</v>
      </c>
    </row>
    <row r="1124" spans="1:4" ht="19.899999999999999" customHeight="1">
      <c r="A1124" s="11" t="s">
        <v>29</v>
      </c>
      <c r="B1124" s="12" t="s">
        <v>43</v>
      </c>
      <c r="C1124" s="12">
        <v>103.09725189209</v>
      </c>
      <c r="D1124" s="12">
        <v>1999</v>
      </c>
    </row>
    <row r="1125" spans="1:4" ht="19.899999999999999" customHeight="1">
      <c r="A1125" s="11" t="s">
        <v>4</v>
      </c>
      <c r="B1125" s="12" t="s">
        <v>43</v>
      </c>
      <c r="C1125" s="12">
        <v>59.208808898925803</v>
      </c>
      <c r="D1125" s="12">
        <v>2000</v>
      </c>
    </row>
    <row r="1126" spans="1:4" ht="19.899999999999999" customHeight="1">
      <c r="A1126" s="11" t="s">
        <v>5</v>
      </c>
      <c r="B1126" s="12" t="s">
        <v>43</v>
      </c>
      <c r="C1126" s="12">
        <v>86.951133728027301</v>
      </c>
      <c r="D1126" s="12">
        <v>2000</v>
      </c>
    </row>
    <row r="1127" spans="1:4" ht="19.899999999999999" customHeight="1">
      <c r="A1127" s="11" t="s">
        <v>6</v>
      </c>
      <c r="B1127" s="12" t="s">
        <v>43</v>
      </c>
      <c r="C1127" s="12">
        <v>63.796428680419901</v>
      </c>
      <c r="D1127" s="12">
        <v>2000</v>
      </c>
    </row>
    <row r="1128" spans="1:4" ht="19.899999999999999" customHeight="1">
      <c r="A1128" s="11" t="s">
        <v>7</v>
      </c>
      <c r="B1128" s="12" t="s">
        <v>43</v>
      </c>
      <c r="C1128" s="12">
        <v>103.19000244140599</v>
      </c>
      <c r="D1128" s="12">
        <v>2000</v>
      </c>
    </row>
    <row r="1129" spans="1:4" ht="19.899999999999999" customHeight="1">
      <c r="A1129" s="11" t="s">
        <v>8</v>
      </c>
      <c r="B1129" s="12" t="s">
        <v>43</v>
      </c>
      <c r="C1129" s="12">
        <v>32.494960784912102</v>
      </c>
      <c r="D1129" s="12">
        <v>2000</v>
      </c>
    </row>
    <row r="1130" spans="1:4" ht="19.899999999999999" customHeight="1">
      <c r="A1130" s="11" t="s">
        <v>1</v>
      </c>
      <c r="B1130" s="12" t="s">
        <v>43</v>
      </c>
      <c r="C1130" s="12">
        <v>54.443538665771499</v>
      </c>
      <c r="D1130" s="12">
        <v>2000</v>
      </c>
    </row>
    <row r="1131" spans="1:4" ht="19.899999999999999" customHeight="1">
      <c r="A1131" s="11" t="s">
        <v>9</v>
      </c>
      <c r="B1131" s="12" t="s">
        <v>43</v>
      </c>
      <c r="C1131" s="12">
        <v>57.180671691894503</v>
      </c>
      <c r="D1131" s="12">
        <v>2000</v>
      </c>
    </row>
    <row r="1132" spans="1:4" ht="19.899999999999999" customHeight="1">
      <c r="A1132" s="11" t="s">
        <v>10</v>
      </c>
      <c r="B1132" s="12" t="s">
        <v>43</v>
      </c>
      <c r="C1132" s="12"/>
      <c r="D1132" s="12">
        <v>2000</v>
      </c>
    </row>
    <row r="1133" spans="1:4" ht="19.899999999999999" customHeight="1">
      <c r="A1133" s="11" t="s">
        <v>11</v>
      </c>
      <c r="B1133" s="12" t="s">
        <v>43</v>
      </c>
      <c r="C1133" s="12">
        <v>94.882667541503906</v>
      </c>
      <c r="D1133" s="12">
        <v>2000</v>
      </c>
    </row>
    <row r="1134" spans="1:4" ht="19.899999999999999" customHeight="1">
      <c r="A1134" s="11" t="s">
        <v>38</v>
      </c>
      <c r="B1134" s="12" t="s">
        <v>43</v>
      </c>
      <c r="C1134" s="12"/>
      <c r="D1134" s="12">
        <v>2000</v>
      </c>
    </row>
    <row r="1135" spans="1:4" ht="19.899999999999999" customHeight="1">
      <c r="A1135" s="11" t="s">
        <v>12</v>
      </c>
      <c r="B1135" s="12" t="s">
        <v>43</v>
      </c>
      <c r="C1135" s="12">
        <v>112.986869812012</v>
      </c>
      <c r="D1135" s="12">
        <v>2000</v>
      </c>
    </row>
    <row r="1136" spans="1:4" ht="19.899999999999999" customHeight="1">
      <c r="A1136" s="11" t="s">
        <v>13</v>
      </c>
      <c r="B1136" s="12" t="s">
        <v>43</v>
      </c>
      <c r="C1136" s="12">
        <v>101.48519897460901</v>
      </c>
      <c r="D1136" s="12">
        <v>2000</v>
      </c>
    </row>
    <row r="1137" spans="1:4" ht="19.899999999999999" customHeight="1">
      <c r="A1137" s="11" t="s">
        <v>14</v>
      </c>
      <c r="B1137" s="12" t="s">
        <v>43</v>
      </c>
      <c r="C1137" s="12">
        <v>134.02926635742199</v>
      </c>
      <c r="D1137" s="12">
        <v>2000</v>
      </c>
    </row>
    <row r="1138" spans="1:4" ht="19.899999999999999" customHeight="1">
      <c r="A1138" s="11" t="s">
        <v>15</v>
      </c>
      <c r="B1138" s="12" t="s">
        <v>43</v>
      </c>
      <c r="C1138" s="12">
        <v>57.742061614990199</v>
      </c>
      <c r="D1138" s="12">
        <v>2000</v>
      </c>
    </row>
    <row r="1139" spans="1:4" ht="19.899999999999999" customHeight="1">
      <c r="A1139" s="11" t="s">
        <v>16</v>
      </c>
      <c r="B1139" s="12" t="s">
        <v>43</v>
      </c>
      <c r="C1139" s="12">
        <v>101.37638092041</v>
      </c>
      <c r="D1139" s="12">
        <v>2000</v>
      </c>
    </row>
    <row r="1140" spans="1:4" ht="19.899999999999999" customHeight="1">
      <c r="A1140" s="11" t="s">
        <v>17</v>
      </c>
      <c r="B1140" s="12" t="s">
        <v>43</v>
      </c>
      <c r="C1140" s="12">
        <v>74.263099670410199</v>
      </c>
      <c r="D1140" s="12">
        <v>2000</v>
      </c>
    </row>
    <row r="1141" spans="1:4" ht="19.899999999999999" customHeight="1">
      <c r="A1141" s="11" t="s">
        <v>18</v>
      </c>
      <c r="B1141" s="12" t="s">
        <v>43</v>
      </c>
      <c r="C1141" s="12">
        <v>100.750030517578</v>
      </c>
      <c r="D1141" s="12">
        <v>2000</v>
      </c>
    </row>
    <row r="1142" spans="1:4" ht="19.899999999999999" customHeight="1">
      <c r="A1142" s="11" t="s">
        <v>19</v>
      </c>
      <c r="B1142" s="12" t="s">
        <v>43</v>
      </c>
      <c r="C1142" s="12">
        <v>120.348823547363</v>
      </c>
      <c r="D1142" s="12">
        <v>2000</v>
      </c>
    </row>
    <row r="1143" spans="1:4" ht="19.899999999999999" customHeight="1">
      <c r="A1143" s="11" t="s">
        <v>20</v>
      </c>
      <c r="B1143" s="12" t="s">
        <v>43</v>
      </c>
      <c r="C1143" s="12">
        <v>104.830436706543</v>
      </c>
      <c r="D1143" s="12">
        <v>2000</v>
      </c>
    </row>
    <row r="1144" spans="1:4" ht="19.899999999999999" customHeight="1">
      <c r="A1144" s="11" t="s">
        <v>21</v>
      </c>
      <c r="B1144" s="12" t="s">
        <v>43</v>
      </c>
      <c r="C1144" s="12">
        <v>32.321571350097699</v>
      </c>
      <c r="D1144" s="12">
        <v>2000</v>
      </c>
    </row>
    <row r="1145" spans="1:4" ht="19.899999999999999" customHeight="1">
      <c r="A1145" s="11" t="s">
        <v>22</v>
      </c>
      <c r="B1145" s="12" t="s">
        <v>43</v>
      </c>
      <c r="C1145" s="12">
        <v>108.572372436523</v>
      </c>
      <c r="D1145" s="12">
        <v>2000</v>
      </c>
    </row>
    <row r="1146" spans="1:4" ht="19.899999999999999" customHeight="1">
      <c r="A1146" s="11" t="s">
        <v>23</v>
      </c>
      <c r="B1146" s="12" t="s">
        <v>43</v>
      </c>
      <c r="C1146" s="12"/>
      <c r="D1146" s="12">
        <v>2000</v>
      </c>
    </row>
    <row r="1147" spans="1:4" ht="19.899999999999999" customHeight="1">
      <c r="A1147" s="11" t="s">
        <v>24</v>
      </c>
      <c r="B1147" s="12" t="s">
        <v>43</v>
      </c>
      <c r="C1147" s="12"/>
      <c r="D1147" s="12">
        <v>2000</v>
      </c>
    </row>
    <row r="1148" spans="1:4" ht="19.899999999999999" customHeight="1">
      <c r="A1148" s="11" t="s">
        <v>25</v>
      </c>
      <c r="B1148" s="12" t="s">
        <v>43</v>
      </c>
      <c r="C1148" s="12">
        <v>96.549491882324205</v>
      </c>
      <c r="D1148" s="12">
        <v>2000</v>
      </c>
    </row>
    <row r="1149" spans="1:4" ht="19.899999999999999" customHeight="1">
      <c r="A1149" s="11" t="s">
        <v>26</v>
      </c>
      <c r="B1149" s="12" t="s">
        <v>43</v>
      </c>
      <c r="C1149" s="12">
        <v>67.4801025390625</v>
      </c>
      <c r="D1149" s="12">
        <v>2000</v>
      </c>
    </row>
    <row r="1150" spans="1:4" ht="19.899999999999999" customHeight="1">
      <c r="A1150" s="11" t="s">
        <v>27</v>
      </c>
      <c r="B1150" s="12" t="s">
        <v>43</v>
      </c>
      <c r="C1150" s="12">
        <v>129.99751281738301</v>
      </c>
      <c r="D1150" s="12">
        <v>2000</v>
      </c>
    </row>
    <row r="1151" spans="1:4" ht="19.899999999999999" customHeight="1">
      <c r="A1151" s="11" t="s">
        <v>28</v>
      </c>
      <c r="B1151" s="12" t="s">
        <v>43</v>
      </c>
      <c r="C1151" s="12">
        <v>78.680908203125</v>
      </c>
      <c r="D1151" s="12">
        <v>2000</v>
      </c>
    </row>
    <row r="1152" spans="1:4" ht="19.899999999999999" customHeight="1">
      <c r="A1152" s="11" t="s">
        <v>29</v>
      </c>
      <c r="B1152" s="12" t="s">
        <v>43</v>
      </c>
      <c r="C1152" s="12">
        <v>102.95583343505901</v>
      </c>
      <c r="D1152" s="12">
        <v>2000</v>
      </c>
    </row>
    <row r="1153" spans="1:4" ht="19.899999999999999" customHeight="1">
      <c r="A1153" s="11" t="s">
        <v>4</v>
      </c>
      <c r="B1153" s="12" t="s">
        <v>43</v>
      </c>
      <c r="C1153" s="12">
        <v>62.023300170898402</v>
      </c>
      <c r="D1153" s="12">
        <v>2001</v>
      </c>
    </row>
    <row r="1154" spans="1:4" ht="19.899999999999999" customHeight="1">
      <c r="A1154" s="11" t="s">
        <v>5</v>
      </c>
      <c r="B1154" s="12" t="s">
        <v>43</v>
      </c>
      <c r="C1154" s="12">
        <v>102.97776031494099</v>
      </c>
      <c r="D1154" s="12">
        <v>2001</v>
      </c>
    </row>
    <row r="1155" spans="1:4" ht="19.899999999999999" customHeight="1">
      <c r="A1155" s="11" t="s">
        <v>6</v>
      </c>
      <c r="B1155" s="12" t="s">
        <v>43</v>
      </c>
      <c r="C1155" s="12">
        <v>66.182029724120994</v>
      </c>
      <c r="D1155" s="12">
        <v>2001</v>
      </c>
    </row>
    <row r="1156" spans="1:4" ht="19.899999999999999" customHeight="1">
      <c r="A1156" s="11" t="s">
        <v>7</v>
      </c>
      <c r="B1156" s="12" t="s">
        <v>43</v>
      </c>
      <c r="C1156" s="12"/>
      <c r="D1156" s="12">
        <v>2001</v>
      </c>
    </row>
    <row r="1157" spans="1:4" ht="19.899999999999999" customHeight="1">
      <c r="A1157" s="11" t="s">
        <v>8</v>
      </c>
      <c r="B1157" s="12" t="s">
        <v>43</v>
      </c>
      <c r="C1157" s="12">
        <v>36.466239929199197</v>
      </c>
      <c r="D1157" s="12">
        <v>2001</v>
      </c>
    </row>
    <row r="1158" spans="1:4" ht="19.899999999999999" customHeight="1">
      <c r="A1158" s="11" t="s">
        <v>1</v>
      </c>
      <c r="B1158" s="12" t="s">
        <v>43</v>
      </c>
      <c r="C1158" s="12">
        <v>60.262241363525398</v>
      </c>
      <c r="D1158" s="12">
        <v>2001</v>
      </c>
    </row>
    <row r="1159" spans="1:4" ht="19.899999999999999" customHeight="1">
      <c r="A1159" s="11" t="s">
        <v>9</v>
      </c>
      <c r="B1159" s="12" t="s">
        <v>43</v>
      </c>
      <c r="C1159" s="12">
        <v>60.605930328369098</v>
      </c>
      <c r="D1159" s="12">
        <v>2001</v>
      </c>
    </row>
    <row r="1160" spans="1:4" ht="19.899999999999999" customHeight="1">
      <c r="A1160" s="11" t="s">
        <v>10</v>
      </c>
      <c r="B1160" s="12" t="s">
        <v>43</v>
      </c>
      <c r="C1160" s="12"/>
      <c r="D1160" s="12">
        <v>2001</v>
      </c>
    </row>
    <row r="1161" spans="1:4" ht="19.899999999999999" customHeight="1">
      <c r="A1161" s="11" t="s">
        <v>11</v>
      </c>
      <c r="B1161" s="12" t="s">
        <v>43</v>
      </c>
      <c r="C1161" s="12">
        <v>96.1240234375</v>
      </c>
      <c r="D1161" s="12">
        <v>2001</v>
      </c>
    </row>
    <row r="1162" spans="1:4" ht="19.899999999999999" customHeight="1">
      <c r="A1162" s="11" t="s">
        <v>38</v>
      </c>
      <c r="B1162" s="12" t="s">
        <v>43</v>
      </c>
      <c r="C1162" s="12"/>
      <c r="D1162" s="12">
        <v>2001</v>
      </c>
    </row>
    <row r="1163" spans="1:4" ht="19.899999999999999" customHeight="1">
      <c r="A1163" s="11" t="s">
        <v>12</v>
      </c>
      <c r="B1163" s="12" t="s">
        <v>43</v>
      </c>
      <c r="C1163" s="12"/>
      <c r="D1163" s="12">
        <v>2001</v>
      </c>
    </row>
    <row r="1164" spans="1:4" ht="19.899999999999999" customHeight="1">
      <c r="A1164" s="11" t="s">
        <v>13</v>
      </c>
      <c r="B1164" s="12" t="s">
        <v>43</v>
      </c>
      <c r="C1164" s="12">
        <v>102.53482055664099</v>
      </c>
      <c r="D1164" s="12">
        <v>2001</v>
      </c>
    </row>
    <row r="1165" spans="1:4" ht="19.899999999999999" customHeight="1">
      <c r="A1165" s="11" t="s">
        <v>14</v>
      </c>
      <c r="B1165" s="12" t="s">
        <v>43</v>
      </c>
      <c r="C1165" s="12">
        <v>137.72903442382801</v>
      </c>
      <c r="D1165" s="12">
        <v>2001</v>
      </c>
    </row>
    <row r="1166" spans="1:4" ht="19.899999999999999" customHeight="1">
      <c r="A1166" s="11" t="s">
        <v>15</v>
      </c>
      <c r="B1166" s="12" t="s">
        <v>43</v>
      </c>
      <c r="C1166" s="12">
        <v>62.396671295166001</v>
      </c>
      <c r="D1166" s="12">
        <v>2001</v>
      </c>
    </row>
    <row r="1167" spans="1:4" ht="19.899999999999999" customHeight="1">
      <c r="A1167" s="11" t="s">
        <v>16</v>
      </c>
      <c r="B1167" s="12" t="s">
        <v>43</v>
      </c>
      <c r="C1167" s="12">
        <v>99.361106872558494</v>
      </c>
      <c r="D1167" s="12">
        <v>2001</v>
      </c>
    </row>
    <row r="1168" spans="1:4" ht="19.899999999999999" customHeight="1">
      <c r="A1168" s="11" t="s">
        <v>17</v>
      </c>
      <c r="B1168" s="12" t="s">
        <v>43</v>
      </c>
      <c r="C1168" s="12">
        <v>79.935806274414105</v>
      </c>
      <c r="D1168" s="12">
        <v>2001</v>
      </c>
    </row>
    <row r="1169" spans="1:4" ht="19.899999999999999" customHeight="1">
      <c r="A1169" s="11" t="s">
        <v>18</v>
      </c>
      <c r="B1169" s="12" t="s">
        <v>43</v>
      </c>
      <c r="C1169" s="12">
        <v>99.930946350097699</v>
      </c>
      <c r="D1169" s="12">
        <v>2001</v>
      </c>
    </row>
    <row r="1170" spans="1:4" ht="19.899999999999999" customHeight="1">
      <c r="A1170" s="11" t="s">
        <v>19</v>
      </c>
      <c r="B1170" s="12" t="s">
        <v>43</v>
      </c>
      <c r="C1170" s="12">
        <v>113.134559631348</v>
      </c>
      <c r="D1170" s="12">
        <v>2001</v>
      </c>
    </row>
    <row r="1171" spans="1:4" ht="19.899999999999999" customHeight="1">
      <c r="A1171" s="11" t="s">
        <v>20</v>
      </c>
      <c r="B1171" s="12" t="s">
        <v>43</v>
      </c>
      <c r="C1171" s="12">
        <v>108.969970703125</v>
      </c>
      <c r="D1171" s="12">
        <v>2001</v>
      </c>
    </row>
    <row r="1172" spans="1:4" ht="19.899999999999999" customHeight="1">
      <c r="A1172" s="11" t="s">
        <v>21</v>
      </c>
      <c r="B1172" s="12" t="s">
        <v>43</v>
      </c>
      <c r="C1172" s="12">
        <v>35.331661224365199</v>
      </c>
      <c r="D1172" s="12">
        <v>2001</v>
      </c>
    </row>
    <row r="1173" spans="1:4" ht="19.899999999999999" customHeight="1">
      <c r="A1173" s="11" t="s">
        <v>22</v>
      </c>
      <c r="B1173" s="12" t="s">
        <v>43</v>
      </c>
      <c r="C1173" s="12">
        <v>109.314422607422</v>
      </c>
      <c r="D1173" s="12">
        <v>2001</v>
      </c>
    </row>
    <row r="1174" spans="1:4" ht="19.899999999999999" customHeight="1">
      <c r="A1174" s="11" t="s">
        <v>23</v>
      </c>
      <c r="B1174" s="12" t="s">
        <v>43</v>
      </c>
      <c r="C1174" s="12"/>
      <c r="D1174" s="12">
        <v>2001</v>
      </c>
    </row>
    <row r="1175" spans="1:4" ht="19.899999999999999" customHeight="1">
      <c r="A1175" s="11" t="s">
        <v>24</v>
      </c>
      <c r="B1175" s="12" t="s">
        <v>43</v>
      </c>
      <c r="C1175" s="12">
        <v>107.76986694335901</v>
      </c>
      <c r="D1175" s="12">
        <v>2001</v>
      </c>
    </row>
    <row r="1176" spans="1:4" ht="19.899999999999999" customHeight="1">
      <c r="A1176" s="11" t="s">
        <v>25</v>
      </c>
      <c r="B1176" s="12" t="s">
        <v>43</v>
      </c>
      <c r="C1176" s="12">
        <v>95.757171630859403</v>
      </c>
      <c r="D1176" s="12">
        <v>2001</v>
      </c>
    </row>
    <row r="1177" spans="1:4" ht="19.899999999999999" customHeight="1">
      <c r="A1177" s="11" t="s">
        <v>26</v>
      </c>
      <c r="B1177" s="12" t="s">
        <v>43</v>
      </c>
      <c r="C1177" s="12">
        <v>73.328720092773395</v>
      </c>
      <c r="D1177" s="12">
        <v>2001</v>
      </c>
    </row>
    <row r="1178" spans="1:4" ht="19.899999999999999" customHeight="1">
      <c r="A1178" s="11" t="s">
        <v>27</v>
      </c>
      <c r="B1178" s="12" t="s">
        <v>43</v>
      </c>
      <c r="C1178" s="12">
        <v>131.75497436523401</v>
      </c>
      <c r="D1178" s="12">
        <v>2001</v>
      </c>
    </row>
    <row r="1179" spans="1:4" ht="19.899999999999999" customHeight="1">
      <c r="A1179" s="11" t="s">
        <v>28</v>
      </c>
      <c r="B1179" s="12" t="s">
        <v>43</v>
      </c>
      <c r="C1179" s="12">
        <v>78.353759765625</v>
      </c>
      <c r="D1179" s="12">
        <v>2001</v>
      </c>
    </row>
    <row r="1180" spans="1:4" ht="19.899999999999999" customHeight="1">
      <c r="A1180" s="11" t="s">
        <v>29</v>
      </c>
      <c r="B1180" s="12" t="s">
        <v>43</v>
      </c>
      <c r="C1180" s="12">
        <v>105.661010742188</v>
      </c>
      <c r="D1180" s="12">
        <v>2001</v>
      </c>
    </row>
    <row r="1181" spans="1:4" ht="19.899999999999999" customHeight="1">
      <c r="A1181" s="11" t="s">
        <v>4</v>
      </c>
      <c r="B1181" s="12" t="s">
        <v>43</v>
      </c>
      <c r="C1181" s="12">
        <v>67.025352478027301</v>
      </c>
      <c r="D1181" s="12">
        <v>2002</v>
      </c>
    </row>
    <row r="1182" spans="1:4" ht="19.899999999999999" customHeight="1">
      <c r="A1182" s="11" t="s">
        <v>5</v>
      </c>
      <c r="B1182" s="12" t="s">
        <v>43</v>
      </c>
      <c r="C1182" s="12">
        <v>103.04702758789099</v>
      </c>
      <c r="D1182" s="12">
        <v>2002</v>
      </c>
    </row>
    <row r="1183" spans="1:4" ht="19.899999999999999" customHeight="1">
      <c r="A1183" s="11" t="s">
        <v>6</v>
      </c>
      <c r="B1183" s="12" t="s">
        <v>43</v>
      </c>
      <c r="C1183" s="12">
        <v>69.911163330078097</v>
      </c>
      <c r="D1183" s="12">
        <v>2002</v>
      </c>
    </row>
    <row r="1184" spans="1:4" ht="19.899999999999999" customHeight="1">
      <c r="A1184" s="11" t="s">
        <v>7</v>
      </c>
      <c r="B1184" s="12" t="s">
        <v>43</v>
      </c>
      <c r="C1184" s="12">
        <v>111.991317749023</v>
      </c>
      <c r="D1184" s="12">
        <v>2002</v>
      </c>
    </row>
    <row r="1185" spans="1:4" ht="19.899999999999999" customHeight="1">
      <c r="A1185" s="11" t="s">
        <v>8</v>
      </c>
      <c r="B1185" s="12" t="s">
        <v>43</v>
      </c>
      <c r="C1185" s="12">
        <v>38.338638305664098</v>
      </c>
      <c r="D1185" s="12">
        <v>2002</v>
      </c>
    </row>
    <row r="1186" spans="1:4" ht="19.899999999999999" customHeight="1">
      <c r="A1186" s="11" t="s">
        <v>1</v>
      </c>
      <c r="B1186" s="12" t="s">
        <v>43</v>
      </c>
      <c r="C1186" s="12">
        <v>63.458671569824197</v>
      </c>
      <c r="D1186" s="12">
        <v>2002</v>
      </c>
    </row>
    <row r="1187" spans="1:4" ht="19.899999999999999" customHeight="1">
      <c r="A1187" s="11" t="s">
        <v>9</v>
      </c>
      <c r="B1187" s="12" t="s">
        <v>43</v>
      </c>
      <c r="C1187" s="12">
        <v>69.408538818359403</v>
      </c>
      <c r="D1187" s="12">
        <v>2002</v>
      </c>
    </row>
    <row r="1188" spans="1:4" ht="19.899999999999999" customHeight="1">
      <c r="A1188" s="11" t="s">
        <v>10</v>
      </c>
      <c r="B1188" s="12" t="s">
        <v>43</v>
      </c>
      <c r="C1188" s="12"/>
      <c r="D1188" s="12">
        <v>2002</v>
      </c>
    </row>
    <row r="1189" spans="1:4" ht="19.899999999999999" customHeight="1">
      <c r="A1189" s="11" t="s">
        <v>11</v>
      </c>
      <c r="B1189" s="12" t="s">
        <v>43</v>
      </c>
      <c r="C1189" s="12">
        <v>89.902687072753906</v>
      </c>
      <c r="D1189" s="12">
        <v>2002</v>
      </c>
    </row>
    <row r="1190" spans="1:4" ht="19.899999999999999" customHeight="1">
      <c r="A1190" s="11" t="s">
        <v>38</v>
      </c>
      <c r="B1190" s="12" t="s">
        <v>43</v>
      </c>
      <c r="C1190" s="12"/>
      <c r="D1190" s="12">
        <v>2002</v>
      </c>
    </row>
    <row r="1191" spans="1:4" ht="19.899999999999999" customHeight="1">
      <c r="A1191" s="11" t="s">
        <v>12</v>
      </c>
      <c r="B1191" s="12" t="s">
        <v>43</v>
      </c>
      <c r="C1191" s="12"/>
      <c r="D1191" s="12">
        <v>2002</v>
      </c>
    </row>
    <row r="1192" spans="1:4" ht="19.899999999999999" customHeight="1">
      <c r="A1192" s="11" t="s">
        <v>13</v>
      </c>
      <c r="B1192" s="12" t="s">
        <v>43</v>
      </c>
      <c r="C1192" s="12">
        <v>103.30052947998</v>
      </c>
      <c r="D1192" s="12">
        <v>2002</v>
      </c>
    </row>
    <row r="1193" spans="1:4" ht="19.899999999999999" customHeight="1">
      <c r="A1193" s="11" t="s">
        <v>14</v>
      </c>
      <c r="B1193" s="12" t="s">
        <v>43</v>
      </c>
      <c r="C1193" s="12">
        <v>133.97113037109401</v>
      </c>
      <c r="D1193" s="12">
        <v>2002</v>
      </c>
    </row>
    <row r="1194" spans="1:4" ht="19.899999999999999" customHeight="1">
      <c r="A1194" s="11" t="s">
        <v>15</v>
      </c>
      <c r="B1194" s="12" t="s">
        <v>43</v>
      </c>
      <c r="C1194" s="12">
        <v>66.020286560058494</v>
      </c>
      <c r="D1194" s="12">
        <v>2002</v>
      </c>
    </row>
    <row r="1195" spans="1:4" ht="19.899999999999999" customHeight="1">
      <c r="A1195" s="11" t="s">
        <v>16</v>
      </c>
      <c r="B1195" s="12" t="s">
        <v>43</v>
      </c>
      <c r="C1195" s="12">
        <v>99.478889465332003</v>
      </c>
      <c r="D1195" s="12">
        <v>2002</v>
      </c>
    </row>
    <row r="1196" spans="1:4" ht="19.899999999999999" customHeight="1">
      <c r="A1196" s="11" t="s">
        <v>17</v>
      </c>
      <c r="B1196" s="12" t="s">
        <v>43</v>
      </c>
      <c r="C1196" s="12">
        <v>82.500709533691406</v>
      </c>
      <c r="D1196" s="12">
        <v>2002</v>
      </c>
    </row>
    <row r="1197" spans="1:4" ht="19.899999999999999" customHeight="1">
      <c r="A1197" s="11" t="s">
        <v>18</v>
      </c>
      <c r="B1197" s="12" t="s">
        <v>43</v>
      </c>
      <c r="C1197" s="12">
        <v>99.968246459960895</v>
      </c>
      <c r="D1197" s="12">
        <v>2002</v>
      </c>
    </row>
    <row r="1198" spans="1:4" ht="19.899999999999999" customHeight="1">
      <c r="A1198" s="11" t="s">
        <v>19</v>
      </c>
      <c r="B1198" s="12" t="s">
        <v>43</v>
      </c>
      <c r="C1198" s="12">
        <v>118.11033630371099</v>
      </c>
      <c r="D1198" s="12">
        <v>2002</v>
      </c>
    </row>
    <row r="1199" spans="1:4" ht="19.899999999999999" customHeight="1">
      <c r="A1199" s="11" t="s">
        <v>20</v>
      </c>
      <c r="B1199" s="12" t="s">
        <v>43</v>
      </c>
      <c r="C1199" s="12">
        <v>116.46434020996099</v>
      </c>
      <c r="D1199" s="12">
        <v>2002</v>
      </c>
    </row>
    <row r="1200" spans="1:4" ht="19.899999999999999" customHeight="1">
      <c r="A1200" s="11" t="s">
        <v>21</v>
      </c>
      <c r="B1200" s="12" t="s">
        <v>43</v>
      </c>
      <c r="C1200" s="12">
        <v>39.514961242675803</v>
      </c>
      <c r="D1200" s="12">
        <v>2002</v>
      </c>
    </row>
    <row r="1201" spans="1:4" ht="19.899999999999999" customHeight="1">
      <c r="A1201" s="11" t="s">
        <v>22</v>
      </c>
      <c r="B1201" s="12" t="s">
        <v>43</v>
      </c>
      <c r="C1201" s="12">
        <v>115.52243804931599</v>
      </c>
      <c r="D1201" s="12">
        <v>2002</v>
      </c>
    </row>
    <row r="1202" spans="1:4" ht="19.899999999999999" customHeight="1">
      <c r="A1202" s="11" t="s">
        <v>23</v>
      </c>
      <c r="B1202" s="12" t="s">
        <v>43</v>
      </c>
      <c r="C1202" s="12">
        <v>121.89234161377</v>
      </c>
      <c r="D1202" s="12">
        <v>2002</v>
      </c>
    </row>
    <row r="1203" spans="1:4" ht="19.899999999999999" customHeight="1">
      <c r="A1203" s="11" t="s">
        <v>24</v>
      </c>
      <c r="B1203" s="12" t="s">
        <v>43</v>
      </c>
      <c r="C1203" s="12">
        <v>106.02880859375</v>
      </c>
      <c r="D1203" s="12">
        <v>2002</v>
      </c>
    </row>
    <row r="1204" spans="1:4" ht="19.899999999999999" customHeight="1">
      <c r="A1204" s="11" t="s">
        <v>25</v>
      </c>
      <c r="B1204" s="12" t="s">
        <v>43</v>
      </c>
      <c r="C1204" s="12">
        <v>97.273521423339801</v>
      </c>
      <c r="D1204" s="12">
        <v>2002</v>
      </c>
    </row>
    <row r="1205" spans="1:4" ht="19.899999999999999" customHeight="1">
      <c r="A1205" s="11" t="s">
        <v>26</v>
      </c>
      <c r="B1205" s="12" t="s">
        <v>43</v>
      </c>
      <c r="C1205" s="12">
        <v>87.626419067382798</v>
      </c>
      <c r="D1205" s="12">
        <v>2002</v>
      </c>
    </row>
    <row r="1206" spans="1:4" ht="19.899999999999999" customHeight="1">
      <c r="A1206" s="11" t="s">
        <v>27</v>
      </c>
      <c r="B1206" s="12" t="s">
        <v>43</v>
      </c>
      <c r="C1206" s="12">
        <v>135.27682495117199</v>
      </c>
      <c r="D1206" s="12">
        <v>2002</v>
      </c>
    </row>
    <row r="1207" spans="1:4" ht="19.899999999999999" customHeight="1">
      <c r="A1207" s="11" t="s">
        <v>28</v>
      </c>
      <c r="B1207" s="12" t="s">
        <v>43</v>
      </c>
      <c r="C1207" s="12">
        <v>81.137306213378906</v>
      </c>
      <c r="D1207" s="12">
        <v>2002</v>
      </c>
    </row>
    <row r="1208" spans="1:4" ht="19.899999999999999" customHeight="1">
      <c r="A1208" s="11" t="s">
        <v>29</v>
      </c>
      <c r="B1208" s="12" t="s">
        <v>43</v>
      </c>
      <c r="C1208" s="12">
        <v>99.70556640625</v>
      </c>
      <c r="D1208" s="12">
        <v>2002</v>
      </c>
    </row>
    <row r="1209" spans="1:4" ht="19.899999999999999" customHeight="1">
      <c r="A1209" s="11" t="s">
        <v>4</v>
      </c>
      <c r="B1209" s="12" t="s">
        <v>43</v>
      </c>
      <c r="C1209" s="12">
        <v>72.691238403320298</v>
      </c>
      <c r="D1209" s="12">
        <v>2003</v>
      </c>
    </row>
    <row r="1210" spans="1:4" ht="19.899999999999999" customHeight="1">
      <c r="A1210" s="11" t="s">
        <v>5</v>
      </c>
      <c r="B1210" s="12" t="s">
        <v>43</v>
      </c>
      <c r="C1210" s="12">
        <v>103.225578308105</v>
      </c>
      <c r="D1210" s="12">
        <v>2003</v>
      </c>
    </row>
    <row r="1211" spans="1:4" ht="19.899999999999999" customHeight="1">
      <c r="A1211" s="11" t="s">
        <v>6</v>
      </c>
      <c r="B1211" s="12" t="s">
        <v>43</v>
      </c>
      <c r="C1211" s="12">
        <v>71.814949035644503</v>
      </c>
      <c r="D1211" s="12">
        <v>2003</v>
      </c>
    </row>
    <row r="1212" spans="1:4" ht="19.899999999999999" customHeight="1">
      <c r="A1212" s="11" t="s">
        <v>7</v>
      </c>
      <c r="B1212" s="12" t="s">
        <v>43</v>
      </c>
      <c r="C1212" s="12">
        <v>110.33235168457</v>
      </c>
      <c r="D1212" s="12">
        <v>2003</v>
      </c>
    </row>
    <row r="1213" spans="1:4" ht="19.899999999999999" customHeight="1">
      <c r="A1213" s="11" t="s">
        <v>8</v>
      </c>
      <c r="B1213" s="12" t="s">
        <v>43</v>
      </c>
      <c r="C1213" s="12">
        <v>40.190010070800803</v>
      </c>
      <c r="D1213" s="12">
        <v>2003</v>
      </c>
    </row>
    <row r="1214" spans="1:4" ht="19.899999999999999" customHeight="1">
      <c r="A1214" s="11" t="s">
        <v>1</v>
      </c>
      <c r="B1214" s="12" t="s">
        <v>43</v>
      </c>
      <c r="C1214" s="12">
        <v>64.816902160644503</v>
      </c>
      <c r="D1214" s="12">
        <v>2003</v>
      </c>
    </row>
    <row r="1215" spans="1:4" ht="19.899999999999999" customHeight="1">
      <c r="A1215" s="11" t="s">
        <v>9</v>
      </c>
      <c r="B1215" s="12" t="s">
        <v>43</v>
      </c>
      <c r="C1215" s="12">
        <v>73.143669128417997</v>
      </c>
      <c r="D1215" s="12">
        <v>2003</v>
      </c>
    </row>
    <row r="1216" spans="1:4" ht="19.899999999999999" customHeight="1">
      <c r="A1216" s="11" t="s">
        <v>10</v>
      </c>
      <c r="B1216" s="12" t="s">
        <v>43</v>
      </c>
      <c r="C1216" s="12"/>
      <c r="D1216" s="12">
        <v>2003</v>
      </c>
    </row>
    <row r="1217" spans="1:4" ht="19.899999999999999" customHeight="1">
      <c r="A1217" s="11" t="s">
        <v>11</v>
      </c>
      <c r="B1217" s="12" t="s">
        <v>43</v>
      </c>
      <c r="C1217" s="12">
        <v>103.793098449707</v>
      </c>
      <c r="D1217" s="12">
        <v>2003</v>
      </c>
    </row>
    <row r="1218" spans="1:4" ht="19.899999999999999" customHeight="1">
      <c r="A1218" s="11" t="s">
        <v>38</v>
      </c>
      <c r="B1218" s="12" t="s">
        <v>43</v>
      </c>
      <c r="C1218" s="12"/>
      <c r="D1218" s="12">
        <v>2003</v>
      </c>
    </row>
    <row r="1219" spans="1:4" ht="19.899999999999999" customHeight="1">
      <c r="A1219" s="11" t="s">
        <v>12</v>
      </c>
      <c r="B1219" s="12" t="s">
        <v>43</v>
      </c>
      <c r="C1219" s="12"/>
      <c r="D1219" s="12">
        <v>2003</v>
      </c>
    </row>
    <row r="1220" spans="1:4" ht="19.899999999999999" customHeight="1">
      <c r="A1220" s="11" t="s">
        <v>13</v>
      </c>
      <c r="B1220" s="12" t="s">
        <v>43</v>
      </c>
      <c r="C1220" s="12">
        <v>118.25473785400401</v>
      </c>
      <c r="D1220" s="12">
        <v>2003</v>
      </c>
    </row>
    <row r="1221" spans="1:4" ht="19.899999999999999" customHeight="1">
      <c r="A1221" s="11" t="s">
        <v>14</v>
      </c>
      <c r="B1221" s="12" t="s">
        <v>43</v>
      </c>
      <c r="C1221" s="12"/>
      <c r="D1221" s="12">
        <v>2003</v>
      </c>
    </row>
    <row r="1222" spans="1:4" ht="19.899999999999999" customHeight="1">
      <c r="A1222" s="11" t="s">
        <v>15</v>
      </c>
      <c r="B1222" s="12" t="s">
        <v>43</v>
      </c>
      <c r="C1222" s="12">
        <v>67.534629821777301</v>
      </c>
      <c r="D1222" s="12">
        <v>2003</v>
      </c>
    </row>
    <row r="1223" spans="1:4" ht="19.899999999999999" customHeight="1">
      <c r="A1223" s="11" t="s">
        <v>16</v>
      </c>
      <c r="B1223" s="12" t="s">
        <v>43</v>
      </c>
      <c r="C1223" s="12">
        <v>99.486541748046903</v>
      </c>
      <c r="D1223" s="12">
        <v>2003</v>
      </c>
    </row>
    <row r="1224" spans="1:4" ht="19.899999999999999" customHeight="1">
      <c r="A1224" s="11" t="s">
        <v>17</v>
      </c>
      <c r="B1224" s="12" t="s">
        <v>43</v>
      </c>
      <c r="C1224" s="12"/>
      <c r="D1224" s="12">
        <v>2003</v>
      </c>
    </row>
    <row r="1225" spans="1:4" ht="19.899999999999999" customHeight="1">
      <c r="A1225" s="11" t="s">
        <v>18</v>
      </c>
      <c r="B1225" s="12" t="s">
        <v>43</v>
      </c>
      <c r="C1225" s="12">
        <v>101.831169128418</v>
      </c>
      <c r="D1225" s="12">
        <v>2003</v>
      </c>
    </row>
    <row r="1226" spans="1:4" ht="19.899999999999999" customHeight="1">
      <c r="A1226" s="11" t="s">
        <v>19</v>
      </c>
      <c r="B1226" s="12" t="s">
        <v>43</v>
      </c>
      <c r="C1226" s="12">
        <v>115.68801116943401</v>
      </c>
      <c r="D1226" s="12">
        <v>2003</v>
      </c>
    </row>
    <row r="1227" spans="1:4" ht="19.899999999999999" customHeight="1">
      <c r="A1227" s="11" t="s">
        <v>20</v>
      </c>
      <c r="B1227" s="12" t="s">
        <v>43</v>
      </c>
      <c r="C1227" s="12">
        <v>117.540641784668</v>
      </c>
      <c r="D1227" s="12">
        <v>2003</v>
      </c>
    </row>
    <row r="1228" spans="1:4" ht="19.899999999999999" customHeight="1">
      <c r="A1228" s="11" t="s">
        <v>21</v>
      </c>
      <c r="B1228" s="12" t="s">
        <v>43</v>
      </c>
      <c r="C1228" s="12">
        <v>42.711021423339801</v>
      </c>
      <c r="D1228" s="12">
        <v>2003</v>
      </c>
    </row>
    <row r="1229" spans="1:4" ht="19.899999999999999" customHeight="1">
      <c r="A1229" s="11" t="s">
        <v>22</v>
      </c>
      <c r="B1229" s="12" t="s">
        <v>43</v>
      </c>
      <c r="C1229" s="12">
        <v>125.27752685546901</v>
      </c>
      <c r="D1229" s="12">
        <v>2003</v>
      </c>
    </row>
    <row r="1230" spans="1:4" ht="19.899999999999999" customHeight="1">
      <c r="A1230" s="11" t="s">
        <v>23</v>
      </c>
      <c r="B1230" s="12" t="s">
        <v>43</v>
      </c>
      <c r="C1230" s="12">
        <v>124.758750915527</v>
      </c>
      <c r="D1230" s="12">
        <v>2003</v>
      </c>
    </row>
    <row r="1231" spans="1:4" ht="19.899999999999999" customHeight="1">
      <c r="A1231" s="11" t="s">
        <v>24</v>
      </c>
      <c r="B1231" s="12" t="s">
        <v>43</v>
      </c>
      <c r="C1231" s="12">
        <v>102.77980804443401</v>
      </c>
      <c r="D1231" s="12">
        <v>2003</v>
      </c>
    </row>
    <row r="1232" spans="1:4" ht="19.899999999999999" customHeight="1">
      <c r="A1232" s="11" t="s">
        <v>25</v>
      </c>
      <c r="B1232" s="12" t="s">
        <v>43</v>
      </c>
      <c r="C1232" s="12">
        <v>99.184890747070298</v>
      </c>
      <c r="D1232" s="12">
        <v>2003</v>
      </c>
    </row>
    <row r="1233" spans="1:4" ht="19.899999999999999" customHeight="1">
      <c r="A1233" s="11" t="s">
        <v>26</v>
      </c>
      <c r="B1233" s="12" t="s">
        <v>43</v>
      </c>
      <c r="C1233" s="12">
        <v>93.746360778808494</v>
      </c>
      <c r="D1233" s="12">
        <v>2003</v>
      </c>
    </row>
    <row r="1234" spans="1:4" ht="19.899999999999999" customHeight="1">
      <c r="A1234" s="11" t="s">
        <v>27</v>
      </c>
      <c r="B1234" s="12" t="s">
        <v>43</v>
      </c>
      <c r="C1234" s="12">
        <v>135.40434265136699</v>
      </c>
      <c r="D1234" s="12">
        <v>2003</v>
      </c>
    </row>
    <row r="1235" spans="1:4" ht="19.899999999999999" customHeight="1">
      <c r="A1235" s="11" t="s">
        <v>28</v>
      </c>
      <c r="B1235" s="12" t="s">
        <v>43</v>
      </c>
      <c r="C1235" s="12"/>
      <c r="D1235" s="12">
        <v>2003</v>
      </c>
    </row>
    <row r="1236" spans="1:4" ht="19.899999999999999" customHeight="1">
      <c r="A1236" s="11" t="s">
        <v>29</v>
      </c>
      <c r="B1236" s="12" t="s">
        <v>43</v>
      </c>
      <c r="C1236" s="12">
        <v>97.8765869140625</v>
      </c>
      <c r="D1236" s="12">
        <v>2003</v>
      </c>
    </row>
    <row r="1237" spans="1:4" ht="19.899999999999999" customHeight="1">
      <c r="A1237" s="11" t="s">
        <v>4</v>
      </c>
      <c r="B1237" s="12" t="s">
        <v>43</v>
      </c>
      <c r="C1237" s="12">
        <v>77.804389953613295</v>
      </c>
      <c r="D1237" s="12">
        <v>2004</v>
      </c>
    </row>
    <row r="1238" spans="1:4" ht="19.899999999999999" customHeight="1">
      <c r="A1238" s="11" t="s">
        <v>5</v>
      </c>
      <c r="B1238" s="12" t="s">
        <v>43</v>
      </c>
      <c r="C1238" s="12">
        <v>107.87132263183599</v>
      </c>
      <c r="D1238" s="12">
        <v>2004</v>
      </c>
    </row>
    <row r="1239" spans="1:4" ht="19.899999999999999" customHeight="1">
      <c r="A1239" s="11" t="s">
        <v>6</v>
      </c>
      <c r="B1239" s="12" t="s">
        <v>43</v>
      </c>
      <c r="C1239" s="12">
        <v>75.240806579589801</v>
      </c>
      <c r="D1239" s="12">
        <v>2004</v>
      </c>
    </row>
    <row r="1240" spans="1:4" ht="19.899999999999999" customHeight="1">
      <c r="A1240" s="11" t="s">
        <v>7</v>
      </c>
      <c r="B1240" s="12" t="s">
        <v>43</v>
      </c>
      <c r="C1240" s="12">
        <v>108.185089111328</v>
      </c>
      <c r="D1240" s="12">
        <v>2004</v>
      </c>
    </row>
    <row r="1241" spans="1:4" ht="19.899999999999999" customHeight="1">
      <c r="A1241" s="11" t="s">
        <v>8</v>
      </c>
      <c r="B1241" s="12" t="s">
        <v>43</v>
      </c>
      <c r="C1241" s="12">
        <v>42.166999816894503</v>
      </c>
      <c r="D1241" s="12">
        <v>2004</v>
      </c>
    </row>
    <row r="1242" spans="1:4" ht="19.899999999999999" customHeight="1">
      <c r="A1242" s="11" t="s">
        <v>1</v>
      </c>
      <c r="B1242" s="12" t="s">
        <v>43</v>
      </c>
      <c r="C1242" s="12">
        <v>67.752471923828097</v>
      </c>
      <c r="D1242" s="12">
        <v>2004</v>
      </c>
    </row>
    <row r="1243" spans="1:4" ht="19.899999999999999" customHeight="1">
      <c r="A1243" s="11" t="s">
        <v>9</v>
      </c>
      <c r="B1243" s="12" t="s">
        <v>43</v>
      </c>
      <c r="C1243" s="12">
        <v>76.574058532714801</v>
      </c>
      <c r="D1243" s="12">
        <v>2004</v>
      </c>
    </row>
    <row r="1244" spans="1:4" ht="19.899999999999999" customHeight="1">
      <c r="A1244" s="11" t="s">
        <v>10</v>
      </c>
      <c r="B1244" s="12" t="s">
        <v>43</v>
      </c>
      <c r="C1244" s="12"/>
      <c r="D1244" s="12">
        <v>2004</v>
      </c>
    </row>
    <row r="1245" spans="1:4" ht="19.899999999999999" customHeight="1">
      <c r="A1245" s="11" t="s">
        <v>11</v>
      </c>
      <c r="B1245" s="12" t="s">
        <v>43</v>
      </c>
      <c r="C1245" s="12">
        <v>102.466903686523</v>
      </c>
      <c r="D1245" s="12">
        <v>2004</v>
      </c>
    </row>
    <row r="1246" spans="1:4" ht="19.899999999999999" customHeight="1">
      <c r="A1246" s="11" t="s">
        <v>38</v>
      </c>
      <c r="B1246" s="12" t="s">
        <v>43</v>
      </c>
      <c r="C1246" s="12"/>
      <c r="D1246" s="12">
        <v>2004</v>
      </c>
    </row>
    <row r="1247" spans="1:4" ht="19.899999999999999" customHeight="1">
      <c r="A1247" s="11" t="s">
        <v>12</v>
      </c>
      <c r="B1247" s="12" t="s">
        <v>43</v>
      </c>
      <c r="C1247" s="12"/>
      <c r="D1247" s="12">
        <v>2004</v>
      </c>
    </row>
    <row r="1248" spans="1:4" ht="19.899999999999999" customHeight="1">
      <c r="A1248" s="11" t="s">
        <v>13</v>
      </c>
      <c r="B1248" s="12" t="s">
        <v>43</v>
      </c>
      <c r="C1248" s="12">
        <v>134.49235534668</v>
      </c>
      <c r="D1248" s="12">
        <v>2004</v>
      </c>
    </row>
    <row r="1249" spans="1:4" ht="19.899999999999999" customHeight="1">
      <c r="A1249" s="11" t="s">
        <v>14</v>
      </c>
      <c r="B1249" s="12" t="s">
        <v>43</v>
      </c>
      <c r="C1249" s="12">
        <v>126.483940124512</v>
      </c>
      <c r="D1249" s="12">
        <v>2004</v>
      </c>
    </row>
    <row r="1250" spans="1:4" ht="19.899999999999999" customHeight="1">
      <c r="A1250" s="11" t="s">
        <v>15</v>
      </c>
      <c r="B1250" s="12" t="s">
        <v>43</v>
      </c>
      <c r="C1250" s="12">
        <v>70.592628479003906</v>
      </c>
      <c r="D1250" s="12">
        <v>2004</v>
      </c>
    </row>
    <row r="1251" spans="1:4" ht="19.899999999999999" customHeight="1">
      <c r="A1251" s="11" t="s">
        <v>16</v>
      </c>
      <c r="B1251" s="12" t="s">
        <v>43</v>
      </c>
      <c r="C1251" s="12">
        <v>99.822853088378906</v>
      </c>
      <c r="D1251" s="12">
        <v>2004</v>
      </c>
    </row>
    <row r="1252" spans="1:4" ht="19.899999999999999" customHeight="1">
      <c r="A1252" s="11" t="s">
        <v>17</v>
      </c>
      <c r="B1252" s="12" t="s">
        <v>43</v>
      </c>
      <c r="C1252" s="12">
        <v>90.935546875</v>
      </c>
      <c r="D1252" s="12">
        <v>2004</v>
      </c>
    </row>
    <row r="1253" spans="1:4" ht="19.899999999999999" customHeight="1">
      <c r="A1253" s="11" t="s">
        <v>18</v>
      </c>
      <c r="B1253" s="12" t="s">
        <v>43</v>
      </c>
      <c r="C1253" s="12">
        <v>101.84845733642599</v>
      </c>
      <c r="D1253" s="12">
        <v>2004</v>
      </c>
    </row>
    <row r="1254" spans="1:4" ht="19.899999999999999" customHeight="1">
      <c r="A1254" s="11" t="s">
        <v>19</v>
      </c>
      <c r="B1254" s="12" t="s">
        <v>43</v>
      </c>
      <c r="C1254" s="12">
        <v>116.68179321289099</v>
      </c>
      <c r="D1254" s="12">
        <v>2004</v>
      </c>
    </row>
    <row r="1255" spans="1:4" ht="19.899999999999999" customHeight="1">
      <c r="A1255" s="11" t="s">
        <v>20</v>
      </c>
      <c r="B1255" s="12" t="s">
        <v>43</v>
      </c>
      <c r="C1255" s="12">
        <v>120.03457641601599</v>
      </c>
      <c r="D1255" s="12">
        <v>2004</v>
      </c>
    </row>
    <row r="1256" spans="1:4" ht="19.899999999999999" customHeight="1">
      <c r="A1256" s="11" t="s">
        <v>21</v>
      </c>
      <c r="B1256" s="12" t="s">
        <v>43</v>
      </c>
      <c r="C1256" s="12">
        <v>46.634910583496101</v>
      </c>
      <c r="D1256" s="12">
        <v>2004</v>
      </c>
    </row>
    <row r="1257" spans="1:4" ht="19.899999999999999" customHeight="1">
      <c r="A1257" s="11" t="s">
        <v>22</v>
      </c>
      <c r="B1257" s="12" t="s">
        <v>43</v>
      </c>
      <c r="C1257" s="12">
        <v>134.87089538574199</v>
      </c>
      <c r="D1257" s="12">
        <v>2004</v>
      </c>
    </row>
    <row r="1258" spans="1:4" ht="19.899999999999999" customHeight="1">
      <c r="A1258" s="11" t="s">
        <v>23</v>
      </c>
      <c r="B1258" s="12" t="s">
        <v>43</v>
      </c>
      <c r="C1258" s="12">
        <v>125.723930358887</v>
      </c>
      <c r="D1258" s="12">
        <v>2004</v>
      </c>
    </row>
    <row r="1259" spans="1:4" ht="19.899999999999999" customHeight="1">
      <c r="A1259" s="11" t="s">
        <v>24</v>
      </c>
      <c r="B1259" s="12" t="s">
        <v>43</v>
      </c>
      <c r="C1259" s="12">
        <v>97.676086425781307</v>
      </c>
      <c r="D1259" s="12">
        <v>2004</v>
      </c>
    </row>
    <row r="1260" spans="1:4" ht="19.899999999999999" customHeight="1">
      <c r="A1260" s="11" t="s">
        <v>25</v>
      </c>
      <c r="B1260" s="12" t="s">
        <v>43</v>
      </c>
      <c r="C1260" s="12">
        <v>98.480987548828097</v>
      </c>
      <c r="D1260" s="12">
        <v>2004</v>
      </c>
    </row>
    <row r="1261" spans="1:4" ht="19.899999999999999" customHeight="1">
      <c r="A1261" s="11" t="s">
        <v>26</v>
      </c>
      <c r="B1261" s="12" t="s">
        <v>43</v>
      </c>
      <c r="C1261" s="12">
        <v>98.608963012695298</v>
      </c>
      <c r="D1261" s="12">
        <v>2004</v>
      </c>
    </row>
    <row r="1262" spans="1:4" ht="19.899999999999999" customHeight="1">
      <c r="A1262" s="11" t="s">
        <v>27</v>
      </c>
      <c r="B1262" s="12" t="s">
        <v>43</v>
      </c>
      <c r="C1262" s="12">
        <v>126.36733245849599</v>
      </c>
      <c r="D1262" s="12">
        <v>2004</v>
      </c>
    </row>
    <row r="1263" spans="1:4" ht="19.899999999999999" customHeight="1">
      <c r="A1263" s="11" t="s">
        <v>28</v>
      </c>
      <c r="B1263" s="12" t="s">
        <v>43</v>
      </c>
      <c r="C1263" s="12">
        <v>99.268241882324205</v>
      </c>
      <c r="D1263" s="12">
        <v>2004</v>
      </c>
    </row>
    <row r="1264" spans="1:4" ht="19.899999999999999" customHeight="1">
      <c r="A1264" s="11" t="s">
        <v>29</v>
      </c>
      <c r="B1264" s="12" t="s">
        <v>43</v>
      </c>
      <c r="C1264" s="12"/>
      <c r="D1264" s="12">
        <v>2004</v>
      </c>
    </row>
    <row r="1265" spans="1:4" ht="19.899999999999999" customHeight="1">
      <c r="A1265" s="11" t="s">
        <v>4</v>
      </c>
      <c r="B1265" s="12" t="s">
        <v>43</v>
      </c>
      <c r="C1265" s="12">
        <v>82.445281982421903</v>
      </c>
      <c r="D1265" s="12">
        <v>2005</v>
      </c>
    </row>
    <row r="1266" spans="1:4" ht="19.899999999999999" customHeight="1">
      <c r="A1266" s="11" t="s">
        <v>5</v>
      </c>
      <c r="B1266" s="12" t="s">
        <v>43</v>
      </c>
      <c r="C1266" s="12">
        <v>105.91732788085901</v>
      </c>
      <c r="D1266" s="12">
        <v>2005</v>
      </c>
    </row>
    <row r="1267" spans="1:4" ht="19.899999999999999" customHeight="1">
      <c r="A1267" s="11" t="s">
        <v>6</v>
      </c>
      <c r="B1267" s="12" t="s">
        <v>43</v>
      </c>
      <c r="C1267" s="12">
        <v>71.793769836425795</v>
      </c>
      <c r="D1267" s="12">
        <v>2005</v>
      </c>
    </row>
    <row r="1268" spans="1:4" ht="19.899999999999999" customHeight="1">
      <c r="A1268" s="11" t="s">
        <v>7</v>
      </c>
      <c r="B1268" s="12" t="s">
        <v>43</v>
      </c>
      <c r="C1268" s="12"/>
      <c r="D1268" s="12">
        <v>2005</v>
      </c>
    </row>
    <row r="1269" spans="1:4" ht="19.899999999999999" customHeight="1">
      <c r="A1269" s="11" t="s">
        <v>8</v>
      </c>
      <c r="B1269" s="12" t="s">
        <v>43</v>
      </c>
      <c r="C1269" s="12">
        <v>43.628551483154197</v>
      </c>
      <c r="D1269" s="12">
        <v>2005</v>
      </c>
    </row>
    <row r="1270" spans="1:4" ht="19.899999999999999" customHeight="1">
      <c r="A1270" s="11" t="s">
        <v>1</v>
      </c>
      <c r="B1270" s="12" t="s">
        <v>43</v>
      </c>
      <c r="C1270" s="12">
        <v>79.013397216796903</v>
      </c>
      <c r="D1270" s="12">
        <v>2005</v>
      </c>
    </row>
    <row r="1271" spans="1:4" ht="19.899999999999999" customHeight="1">
      <c r="A1271" s="11" t="s">
        <v>9</v>
      </c>
      <c r="B1271" s="12" t="s">
        <v>43</v>
      </c>
      <c r="C1271" s="12">
        <v>78.953163146972699</v>
      </c>
      <c r="D1271" s="12">
        <v>2005</v>
      </c>
    </row>
    <row r="1272" spans="1:4" ht="19.899999999999999" customHeight="1">
      <c r="A1272" s="11" t="s">
        <v>10</v>
      </c>
      <c r="B1272" s="12" t="s">
        <v>43</v>
      </c>
      <c r="C1272" s="12"/>
      <c r="D1272" s="12">
        <v>2005</v>
      </c>
    </row>
    <row r="1273" spans="1:4" ht="19.899999999999999" customHeight="1">
      <c r="A1273" s="11" t="s">
        <v>11</v>
      </c>
      <c r="B1273" s="12" t="s">
        <v>43</v>
      </c>
      <c r="C1273" s="12">
        <v>101.448448181152</v>
      </c>
      <c r="D1273" s="12">
        <v>2005</v>
      </c>
    </row>
    <row r="1274" spans="1:4" ht="19.899999999999999" customHeight="1">
      <c r="A1274" s="11" t="s">
        <v>38</v>
      </c>
      <c r="B1274" s="12" t="s">
        <v>43</v>
      </c>
      <c r="C1274" s="12"/>
      <c r="D1274" s="12">
        <v>2005</v>
      </c>
    </row>
    <row r="1275" spans="1:4" ht="19.899999999999999" customHeight="1">
      <c r="A1275" s="11" t="s">
        <v>12</v>
      </c>
      <c r="B1275" s="12" t="s">
        <v>43</v>
      </c>
      <c r="C1275" s="12"/>
      <c r="D1275" s="12">
        <v>2005</v>
      </c>
    </row>
    <row r="1276" spans="1:4" ht="19.899999999999999" customHeight="1">
      <c r="A1276" s="11" t="s">
        <v>13</v>
      </c>
      <c r="B1276" s="12" t="s">
        <v>43</v>
      </c>
      <c r="C1276" s="12">
        <v>138.89947509765599</v>
      </c>
      <c r="D1276" s="12">
        <v>2005</v>
      </c>
    </row>
    <row r="1277" spans="1:4" ht="19.899999999999999" customHeight="1">
      <c r="A1277" s="11" t="s">
        <v>14</v>
      </c>
      <c r="B1277" s="12" t="s">
        <v>43</v>
      </c>
      <c r="C1277" s="12">
        <v>124.28199005127</v>
      </c>
      <c r="D1277" s="12">
        <v>2005</v>
      </c>
    </row>
    <row r="1278" spans="1:4" ht="19.899999999999999" customHeight="1">
      <c r="A1278" s="11" t="s">
        <v>15</v>
      </c>
      <c r="B1278" s="12" t="s">
        <v>43</v>
      </c>
      <c r="C1278" s="12">
        <v>73.772521972656307</v>
      </c>
      <c r="D1278" s="12">
        <v>2005</v>
      </c>
    </row>
    <row r="1279" spans="1:4" ht="19.899999999999999" customHeight="1">
      <c r="A1279" s="11" t="s">
        <v>16</v>
      </c>
      <c r="B1279" s="12" t="s">
        <v>43</v>
      </c>
      <c r="C1279" s="12">
        <v>97.891311645507798</v>
      </c>
      <c r="D1279" s="12">
        <v>2005</v>
      </c>
    </row>
    <row r="1280" spans="1:4" ht="19.899999999999999" customHeight="1">
      <c r="A1280" s="11" t="s">
        <v>17</v>
      </c>
      <c r="B1280" s="12" t="s">
        <v>43</v>
      </c>
      <c r="C1280" s="12">
        <v>97.281959533691406</v>
      </c>
      <c r="D1280" s="12">
        <v>2005</v>
      </c>
    </row>
    <row r="1281" spans="1:4" ht="19.899999999999999" customHeight="1">
      <c r="A1281" s="11" t="s">
        <v>18</v>
      </c>
      <c r="B1281" s="12" t="s">
        <v>43</v>
      </c>
      <c r="C1281" s="12">
        <v>101.09796142578099</v>
      </c>
      <c r="D1281" s="12">
        <v>2005</v>
      </c>
    </row>
    <row r="1282" spans="1:4" ht="19.899999999999999" customHeight="1">
      <c r="A1282" s="11" t="s">
        <v>19</v>
      </c>
      <c r="B1282" s="12" t="s">
        <v>43</v>
      </c>
      <c r="C1282" s="12">
        <v>115.43051147460901</v>
      </c>
      <c r="D1282" s="12">
        <v>2005</v>
      </c>
    </row>
    <row r="1283" spans="1:4" ht="19.899999999999999" customHeight="1">
      <c r="A1283" s="11" t="s">
        <v>20</v>
      </c>
      <c r="B1283" s="12" t="s">
        <v>43</v>
      </c>
      <c r="C1283" s="12">
        <v>121.067008972168</v>
      </c>
      <c r="D1283" s="12">
        <v>2005</v>
      </c>
    </row>
    <row r="1284" spans="1:4" ht="19.899999999999999" customHeight="1">
      <c r="A1284" s="11" t="s">
        <v>21</v>
      </c>
      <c r="B1284" s="12" t="s">
        <v>43</v>
      </c>
      <c r="C1284" s="12">
        <v>48.346599578857401</v>
      </c>
      <c r="D1284" s="12">
        <v>2005</v>
      </c>
    </row>
    <row r="1285" spans="1:4" ht="19.899999999999999" customHeight="1">
      <c r="A1285" s="11" t="s">
        <v>22</v>
      </c>
      <c r="B1285" s="12" t="s">
        <v>43</v>
      </c>
      <c r="C1285" s="12">
        <v>137.65475463867199</v>
      </c>
      <c r="D1285" s="12">
        <v>2005</v>
      </c>
    </row>
    <row r="1286" spans="1:4" ht="19.899999999999999" customHeight="1">
      <c r="A1286" s="11" t="s">
        <v>23</v>
      </c>
      <c r="B1286" s="12" t="s">
        <v>43</v>
      </c>
      <c r="C1286" s="12">
        <v>126.496719360352</v>
      </c>
      <c r="D1286" s="12">
        <v>2005</v>
      </c>
    </row>
    <row r="1287" spans="1:4" ht="19.899999999999999" customHeight="1">
      <c r="A1287" s="11" t="s">
        <v>24</v>
      </c>
      <c r="B1287" s="12" t="s">
        <v>43</v>
      </c>
      <c r="C1287" s="12">
        <v>99.627838134765597</v>
      </c>
      <c r="D1287" s="12">
        <v>2005</v>
      </c>
    </row>
    <row r="1288" spans="1:4" ht="19.899999999999999" customHeight="1">
      <c r="A1288" s="11" t="s">
        <v>25</v>
      </c>
      <c r="B1288" s="12" t="s">
        <v>43</v>
      </c>
      <c r="C1288" s="12">
        <v>98.551467895507798</v>
      </c>
      <c r="D1288" s="12">
        <v>2005</v>
      </c>
    </row>
    <row r="1289" spans="1:4" ht="19.899999999999999" customHeight="1">
      <c r="A1289" s="11" t="s">
        <v>26</v>
      </c>
      <c r="B1289" s="12" t="s">
        <v>43</v>
      </c>
      <c r="C1289" s="12">
        <v>102.26894378662099</v>
      </c>
      <c r="D1289" s="12">
        <v>2005</v>
      </c>
    </row>
    <row r="1290" spans="1:4" ht="19.899999999999999" customHeight="1">
      <c r="A1290" s="11" t="s">
        <v>27</v>
      </c>
      <c r="B1290" s="12" t="s">
        <v>43</v>
      </c>
      <c r="C1290" s="12">
        <v>119.700691223145</v>
      </c>
      <c r="D1290" s="12">
        <v>2005</v>
      </c>
    </row>
    <row r="1291" spans="1:4" ht="19.899999999999999" customHeight="1">
      <c r="A1291" s="11" t="s">
        <v>28</v>
      </c>
      <c r="B1291" s="12" t="s">
        <v>43</v>
      </c>
      <c r="C1291" s="12">
        <v>109.916633605957</v>
      </c>
      <c r="D1291" s="12">
        <v>2005</v>
      </c>
    </row>
    <row r="1292" spans="1:4" ht="19.899999999999999" customHeight="1">
      <c r="A1292" s="11" t="s">
        <v>29</v>
      </c>
      <c r="B1292" s="12" t="s">
        <v>43</v>
      </c>
      <c r="C1292" s="12"/>
      <c r="D1292" s="12">
        <v>2005</v>
      </c>
    </row>
    <row r="1293" spans="1:4" ht="19.899999999999999" customHeight="1">
      <c r="A1293" s="11" t="s">
        <v>4</v>
      </c>
      <c r="B1293" s="12" t="s">
        <v>43</v>
      </c>
      <c r="C1293" s="12">
        <v>104.53530883789099</v>
      </c>
      <c r="D1293" s="12">
        <v>2006</v>
      </c>
    </row>
    <row r="1294" spans="1:4" ht="19.899999999999999" customHeight="1">
      <c r="A1294" s="11" t="s">
        <v>5</v>
      </c>
      <c r="B1294" s="12" t="s">
        <v>43</v>
      </c>
      <c r="C1294" s="12">
        <v>104.81662750244099</v>
      </c>
      <c r="D1294" s="12">
        <v>2006</v>
      </c>
    </row>
    <row r="1295" spans="1:4" ht="19.899999999999999" customHeight="1">
      <c r="A1295" s="11" t="s">
        <v>6</v>
      </c>
      <c r="B1295" s="12" t="s">
        <v>43</v>
      </c>
      <c r="C1295" s="12">
        <v>71.140670776367202</v>
      </c>
      <c r="D1295" s="12">
        <v>2006</v>
      </c>
    </row>
    <row r="1296" spans="1:4" ht="19.899999999999999" customHeight="1">
      <c r="A1296" s="11" t="s">
        <v>7</v>
      </c>
      <c r="B1296" s="12" t="s">
        <v>43</v>
      </c>
      <c r="C1296" s="12"/>
      <c r="D1296" s="12">
        <v>2006</v>
      </c>
    </row>
    <row r="1297" spans="1:4" ht="19.899999999999999" customHeight="1">
      <c r="A1297" s="11" t="s">
        <v>8</v>
      </c>
      <c r="B1297" s="12" t="s">
        <v>43</v>
      </c>
      <c r="C1297" s="12">
        <v>45.975189208984403</v>
      </c>
      <c r="D1297" s="12">
        <v>2006</v>
      </c>
    </row>
    <row r="1298" spans="1:4" ht="19.899999999999999" customHeight="1">
      <c r="A1298" s="11" t="s">
        <v>1</v>
      </c>
      <c r="B1298" s="12" t="s">
        <v>43</v>
      </c>
      <c r="C1298" s="12">
        <v>83.327651977539105</v>
      </c>
      <c r="D1298" s="12">
        <v>2006</v>
      </c>
    </row>
    <row r="1299" spans="1:4" ht="19.899999999999999" customHeight="1">
      <c r="A1299" s="11" t="s">
        <v>9</v>
      </c>
      <c r="B1299" s="12" t="s">
        <v>43</v>
      </c>
      <c r="C1299" s="12">
        <v>80.845321655273395</v>
      </c>
      <c r="D1299" s="12">
        <v>2006</v>
      </c>
    </row>
    <row r="1300" spans="1:4" ht="19.899999999999999" customHeight="1">
      <c r="A1300" s="11" t="s">
        <v>10</v>
      </c>
      <c r="B1300" s="12" t="s">
        <v>43</v>
      </c>
      <c r="C1300" s="12"/>
      <c r="D1300" s="12">
        <v>2006</v>
      </c>
    </row>
    <row r="1301" spans="1:4" ht="19.899999999999999" customHeight="1">
      <c r="A1301" s="11" t="s">
        <v>11</v>
      </c>
      <c r="B1301" s="12" t="s">
        <v>43</v>
      </c>
      <c r="C1301" s="12">
        <v>98.473602294921903</v>
      </c>
      <c r="D1301" s="12">
        <v>2006</v>
      </c>
    </row>
    <row r="1302" spans="1:4" ht="19.899999999999999" customHeight="1">
      <c r="A1302" s="11" t="s">
        <v>38</v>
      </c>
      <c r="B1302" s="12" t="s">
        <v>43</v>
      </c>
      <c r="C1302" s="12"/>
      <c r="D1302" s="12">
        <v>2006</v>
      </c>
    </row>
    <row r="1303" spans="1:4" ht="19.899999999999999" customHeight="1">
      <c r="A1303" s="11" t="s">
        <v>12</v>
      </c>
      <c r="B1303" s="12" t="s">
        <v>43</v>
      </c>
      <c r="C1303" s="12">
        <v>92.767227172851605</v>
      </c>
      <c r="D1303" s="12">
        <v>2006</v>
      </c>
    </row>
    <row r="1304" spans="1:4" ht="19.899999999999999" customHeight="1">
      <c r="A1304" s="11" t="s">
        <v>13</v>
      </c>
      <c r="B1304" s="12" t="s">
        <v>43</v>
      </c>
      <c r="C1304" s="12">
        <v>138.40580749511699</v>
      </c>
      <c r="D1304" s="12">
        <v>2006</v>
      </c>
    </row>
    <row r="1305" spans="1:4" ht="19.899999999999999" customHeight="1">
      <c r="A1305" s="11" t="s">
        <v>14</v>
      </c>
      <c r="B1305" s="12" t="s">
        <v>43</v>
      </c>
      <c r="C1305" s="12">
        <v>123.662841796875</v>
      </c>
      <c r="D1305" s="12">
        <v>2006</v>
      </c>
    </row>
    <row r="1306" spans="1:4" ht="19.899999999999999" customHeight="1">
      <c r="A1306" s="11" t="s">
        <v>15</v>
      </c>
      <c r="B1306" s="12" t="s">
        <v>43</v>
      </c>
      <c r="C1306" s="12">
        <v>76.601982116699205</v>
      </c>
      <c r="D1306" s="12">
        <v>2006</v>
      </c>
    </row>
    <row r="1307" spans="1:4" ht="19.899999999999999" customHeight="1">
      <c r="A1307" s="11" t="s">
        <v>16</v>
      </c>
      <c r="B1307" s="12" t="s">
        <v>43</v>
      </c>
      <c r="C1307" s="12">
        <v>96.652671813964801</v>
      </c>
      <c r="D1307" s="12">
        <v>2006</v>
      </c>
    </row>
    <row r="1308" spans="1:4" ht="19.899999999999999" customHeight="1">
      <c r="A1308" s="11" t="s">
        <v>17</v>
      </c>
      <c r="B1308" s="12" t="s">
        <v>43</v>
      </c>
      <c r="C1308" s="12">
        <v>99.336883544921903</v>
      </c>
      <c r="D1308" s="12">
        <v>2006</v>
      </c>
    </row>
    <row r="1309" spans="1:4" ht="19.899999999999999" customHeight="1">
      <c r="A1309" s="11" t="s">
        <v>18</v>
      </c>
      <c r="B1309" s="12" t="s">
        <v>43</v>
      </c>
      <c r="C1309" s="12">
        <v>100.61353302002</v>
      </c>
      <c r="D1309" s="12">
        <v>2006</v>
      </c>
    </row>
    <row r="1310" spans="1:4" ht="19.899999999999999" customHeight="1">
      <c r="A1310" s="11" t="s">
        <v>19</v>
      </c>
      <c r="B1310" s="12" t="s">
        <v>43</v>
      </c>
      <c r="C1310" s="12">
        <v>128.13064575195301</v>
      </c>
      <c r="D1310" s="12">
        <v>2006</v>
      </c>
    </row>
    <row r="1311" spans="1:4" ht="19.899999999999999" customHeight="1">
      <c r="A1311" s="11" t="s">
        <v>20</v>
      </c>
      <c r="B1311" s="12" t="s">
        <v>43</v>
      </c>
      <c r="C1311" s="12">
        <v>124.766891479492</v>
      </c>
      <c r="D1311" s="12">
        <v>2006</v>
      </c>
    </row>
    <row r="1312" spans="1:4" ht="19.899999999999999" customHeight="1">
      <c r="A1312" s="11" t="s">
        <v>21</v>
      </c>
      <c r="B1312" s="12" t="s">
        <v>43</v>
      </c>
      <c r="C1312" s="12">
        <v>48.969661712646499</v>
      </c>
      <c r="D1312" s="12">
        <v>2006</v>
      </c>
    </row>
    <row r="1313" spans="1:4" ht="19.899999999999999" customHeight="1">
      <c r="A1313" s="11" t="s">
        <v>22</v>
      </c>
      <c r="B1313" s="12" t="s">
        <v>43</v>
      </c>
      <c r="C1313" s="12">
        <v>144.42640686035199</v>
      </c>
      <c r="D1313" s="12">
        <v>2006</v>
      </c>
    </row>
    <row r="1314" spans="1:4" ht="19.899999999999999" customHeight="1">
      <c r="A1314" s="11" t="s">
        <v>23</v>
      </c>
      <c r="B1314" s="12" t="s">
        <v>43</v>
      </c>
      <c r="C1314" s="12"/>
      <c r="D1314" s="12">
        <v>2006</v>
      </c>
    </row>
    <row r="1315" spans="1:4" ht="19.899999999999999" customHeight="1">
      <c r="A1315" s="11" t="s">
        <v>24</v>
      </c>
      <c r="B1315" s="12" t="s">
        <v>43</v>
      </c>
      <c r="C1315" s="12">
        <v>98.978378295898395</v>
      </c>
      <c r="D1315" s="12">
        <v>2006</v>
      </c>
    </row>
    <row r="1316" spans="1:4" ht="19.899999999999999" customHeight="1">
      <c r="A1316" s="11" t="s">
        <v>25</v>
      </c>
      <c r="B1316" s="12" t="s">
        <v>43</v>
      </c>
      <c r="C1316" s="12">
        <v>97.511810302734403</v>
      </c>
      <c r="D1316" s="12">
        <v>2006</v>
      </c>
    </row>
    <row r="1317" spans="1:4" ht="19.899999999999999" customHeight="1">
      <c r="A1317" s="11" t="s">
        <v>26</v>
      </c>
      <c r="B1317" s="12" t="s">
        <v>43</v>
      </c>
      <c r="C1317" s="12">
        <v>105.13916015625</v>
      </c>
      <c r="D1317" s="12">
        <v>2006</v>
      </c>
    </row>
    <row r="1318" spans="1:4" ht="19.899999999999999" customHeight="1">
      <c r="A1318" s="11" t="s">
        <v>27</v>
      </c>
      <c r="B1318" s="12" t="s">
        <v>43</v>
      </c>
      <c r="C1318" s="12">
        <v>118.017143249512</v>
      </c>
      <c r="D1318" s="12">
        <v>2006</v>
      </c>
    </row>
    <row r="1319" spans="1:4" ht="19.899999999999999" customHeight="1">
      <c r="A1319" s="11" t="s">
        <v>28</v>
      </c>
      <c r="B1319" s="12" t="s">
        <v>43</v>
      </c>
      <c r="C1319" s="12">
        <v>110.878799438477</v>
      </c>
      <c r="D1319" s="12">
        <v>2006</v>
      </c>
    </row>
    <row r="1320" spans="1:4" ht="19.899999999999999" customHeight="1">
      <c r="A1320" s="11" t="s">
        <v>29</v>
      </c>
      <c r="B1320" s="12" t="s">
        <v>43</v>
      </c>
      <c r="C1320" s="12"/>
      <c r="D1320" s="12">
        <v>2006</v>
      </c>
    </row>
    <row r="1321" spans="1:4" ht="19.899999999999999" customHeight="1">
      <c r="A1321" s="11" t="s">
        <v>4</v>
      </c>
      <c r="B1321" s="12" t="s">
        <v>43</v>
      </c>
      <c r="C1321" s="12">
        <v>116.600448608398</v>
      </c>
      <c r="D1321" s="12">
        <v>2007</v>
      </c>
    </row>
    <row r="1322" spans="1:4" ht="19.899999999999999" customHeight="1">
      <c r="A1322" s="11" t="s">
        <v>5</v>
      </c>
      <c r="B1322" s="12" t="s">
        <v>43</v>
      </c>
      <c r="C1322" s="12">
        <v>106.826202392578</v>
      </c>
      <c r="D1322" s="12">
        <v>2007</v>
      </c>
    </row>
    <row r="1323" spans="1:4" ht="19.899999999999999" customHeight="1">
      <c r="A1323" s="11" t="s">
        <v>6</v>
      </c>
      <c r="B1323" s="12" t="s">
        <v>43</v>
      </c>
      <c r="C1323" s="12">
        <v>70.027030944824205</v>
      </c>
      <c r="D1323" s="12">
        <v>2007</v>
      </c>
    </row>
    <row r="1324" spans="1:4" ht="19.899999999999999" customHeight="1">
      <c r="A1324" s="11" t="s">
        <v>7</v>
      </c>
      <c r="B1324" s="12" t="s">
        <v>43</v>
      </c>
      <c r="C1324" s="12">
        <v>103.973182678223</v>
      </c>
      <c r="D1324" s="12">
        <v>2007</v>
      </c>
    </row>
    <row r="1325" spans="1:4" ht="19.899999999999999" customHeight="1">
      <c r="A1325" s="11" t="s">
        <v>8</v>
      </c>
      <c r="B1325" s="12" t="s">
        <v>43</v>
      </c>
      <c r="C1325" s="12">
        <v>48.214511871337898</v>
      </c>
      <c r="D1325" s="12">
        <v>2007</v>
      </c>
    </row>
    <row r="1326" spans="1:4" ht="19.899999999999999" customHeight="1">
      <c r="A1326" s="11" t="s">
        <v>1</v>
      </c>
      <c r="B1326" s="12" t="s">
        <v>43</v>
      </c>
      <c r="C1326" s="12">
        <v>89.165466308593807</v>
      </c>
      <c r="D1326" s="12">
        <v>2007</v>
      </c>
    </row>
    <row r="1327" spans="1:4" ht="19.899999999999999" customHeight="1">
      <c r="A1327" s="11" t="s">
        <v>9</v>
      </c>
      <c r="B1327" s="12" t="s">
        <v>43</v>
      </c>
      <c r="C1327" s="12">
        <v>83.056709289550795</v>
      </c>
      <c r="D1327" s="12">
        <v>2007</v>
      </c>
    </row>
    <row r="1328" spans="1:4" ht="19.899999999999999" customHeight="1">
      <c r="A1328" s="11" t="s">
        <v>10</v>
      </c>
      <c r="B1328" s="12" t="s">
        <v>43</v>
      </c>
      <c r="C1328" s="12"/>
      <c r="D1328" s="12">
        <v>2007</v>
      </c>
    </row>
    <row r="1329" spans="1:4" ht="19.899999999999999" customHeight="1">
      <c r="A1329" s="11" t="s">
        <v>11</v>
      </c>
      <c r="B1329" s="12" t="s">
        <v>43</v>
      </c>
      <c r="C1329" s="12">
        <v>104.692489624023</v>
      </c>
      <c r="D1329" s="12">
        <v>2007</v>
      </c>
    </row>
    <row r="1330" spans="1:4" ht="19.899999999999999" customHeight="1">
      <c r="A1330" s="11" t="s">
        <v>38</v>
      </c>
      <c r="B1330" s="12" t="s">
        <v>43</v>
      </c>
      <c r="C1330" s="12"/>
      <c r="D1330" s="12">
        <v>2007</v>
      </c>
    </row>
    <row r="1331" spans="1:4" ht="19.899999999999999" customHeight="1">
      <c r="A1331" s="11" t="s">
        <v>12</v>
      </c>
      <c r="B1331" s="12" t="s">
        <v>43</v>
      </c>
      <c r="C1331" s="12"/>
      <c r="D1331" s="12">
        <v>2007</v>
      </c>
    </row>
    <row r="1332" spans="1:4" ht="19.899999999999999" customHeight="1">
      <c r="A1332" s="11" t="s">
        <v>13</v>
      </c>
      <c r="B1332" s="12" t="s">
        <v>43</v>
      </c>
      <c r="C1332" s="12">
        <v>139.23677062988301</v>
      </c>
      <c r="D1332" s="12">
        <v>2007</v>
      </c>
    </row>
    <row r="1333" spans="1:4" ht="19.899999999999999" customHeight="1">
      <c r="A1333" s="11" t="s">
        <v>14</v>
      </c>
      <c r="B1333" s="12" t="s">
        <v>43</v>
      </c>
      <c r="C1333" s="12">
        <v>120.75685882568401</v>
      </c>
      <c r="D1333" s="12">
        <v>2007</v>
      </c>
    </row>
    <row r="1334" spans="1:4" ht="19.899999999999999" customHeight="1">
      <c r="A1334" s="11" t="s">
        <v>15</v>
      </c>
      <c r="B1334" s="12" t="s">
        <v>43</v>
      </c>
      <c r="C1334" s="12">
        <v>79.137748718261705</v>
      </c>
      <c r="D1334" s="12">
        <v>2007</v>
      </c>
    </row>
    <row r="1335" spans="1:4" ht="19.899999999999999" customHeight="1">
      <c r="A1335" s="11" t="s">
        <v>16</v>
      </c>
      <c r="B1335" s="12" t="s">
        <v>43</v>
      </c>
      <c r="C1335" s="12">
        <v>94.417678833007798</v>
      </c>
      <c r="D1335" s="12">
        <v>2007</v>
      </c>
    </row>
    <row r="1336" spans="1:4" ht="19.899999999999999" customHeight="1">
      <c r="A1336" s="11" t="s">
        <v>17</v>
      </c>
      <c r="B1336" s="12" t="s">
        <v>43</v>
      </c>
      <c r="C1336" s="12">
        <v>105.065872192383</v>
      </c>
      <c r="D1336" s="12">
        <v>2007</v>
      </c>
    </row>
    <row r="1337" spans="1:4" ht="19.899999999999999" customHeight="1">
      <c r="A1337" s="11" t="s">
        <v>18</v>
      </c>
      <c r="B1337" s="12" t="s">
        <v>43</v>
      </c>
      <c r="C1337" s="12">
        <v>100.420463562012</v>
      </c>
      <c r="D1337" s="12">
        <v>2007</v>
      </c>
    </row>
    <row r="1338" spans="1:4" ht="19.899999999999999" customHeight="1">
      <c r="A1338" s="11" t="s">
        <v>19</v>
      </c>
      <c r="B1338" s="12" t="s">
        <v>43</v>
      </c>
      <c r="C1338" s="12">
        <v>128.23341369628901</v>
      </c>
      <c r="D1338" s="12">
        <v>2007</v>
      </c>
    </row>
    <row r="1339" spans="1:4" ht="19.899999999999999" customHeight="1">
      <c r="A1339" s="11" t="s">
        <v>20</v>
      </c>
      <c r="B1339" s="12" t="s">
        <v>43</v>
      </c>
      <c r="C1339" s="12">
        <v>124.08998870849599</v>
      </c>
      <c r="D1339" s="12">
        <v>2007</v>
      </c>
    </row>
    <row r="1340" spans="1:4" ht="19.899999999999999" customHeight="1">
      <c r="A1340" s="11" t="s">
        <v>21</v>
      </c>
      <c r="B1340" s="12" t="s">
        <v>43</v>
      </c>
      <c r="C1340" s="12">
        <v>51.444580078125</v>
      </c>
      <c r="D1340" s="12">
        <v>2007</v>
      </c>
    </row>
    <row r="1341" spans="1:4" ht="19.899999999999999" customHeight="1">
      <c r="A1341" s="11" t="s">
        <v>22</v>
      </c>
      <c r="B1341" s="12" t="s">
        <v>43</v>
      </c>
      <c r="C1341" s="12">
        <v>148.12419128418</v>
      </c>
      <c r="D1341" s="12">
        <v>2007</v>
      </c>
    </row>
    <row r="1342" spans="1:4" ht="19.899999999999999" customHeight="1">
      <c r="A1342" s="11" t="s">
        <v>23</v>
      </c>
      <c r="B1342" s="12" t="s">
        <v>43</v>
      </c>
      <c r="C1342" s="12">
        <v>119.275917053223</v>
      </c>
      <c r="D1342" s="12">
        <v>2007</v>
      </c>
    </row>
    <row r="1343" spans="1:4" ht="19.899999999999999" customHeight="1">
      <c r="A1343" s="11" t="s">
        <v>24</v>
      </c>
      <c r="B1343" s="12" t="s">
        <v>43</v>
      </c>
      <c r="C1343" s="12">
        <v>98.392158508300795</v>
      </c>
      <c r="D1343" s="12">
        <v>2007</v>
      </c>
    </row>
    <row r="1344" spans="1:4" ht="19.899999999999999" customHeight="1">
      <c r="A1344" s="11" t="s">
        <v>25</v>
      </c>
      <c r="B1344" s="12" t="s">
        <v>43</v>
      </c>
      <c r="C1344" s="12">
        <v>96.126312255859403</v>
      </c>
      <c r="D1344" s="12">
        <v>2007</v>
      </c>
    </row>
    <row r="1345" spans="1:4" ht="19.899999999999999" customHeight="1">
      <c r="A1345" s="11" t="s">
        <v>26</v>
      </c>
      <c r="B1345" s="12" t="s">
        <v>43</v>
      </c>
      <c r="C1345" s="12">
        <v>106.64923095703099</v>
      </c>
      <c r="D1345" s="12">
        <v>2007</v>
      </c>
    </row>
    <row r="1346" spans="1:4" ht="19.899999999999999" customHeight="1">
      <c r="A1346" s="11" t="s">
        <v>27</v>
      </c>
      <c r="B1346" s="12" t="s">
        <v>43</v>
      </c>
      <c r="C1346" s="12">
        <v>116.71246337890599</v>
      </c>
      <c r="D1346" s="12">
        <v>2007</v>
      </c>
    </row>
    <row r="1347" spans="1:4" ht="19.899999999999999" customHeight="1">
      <c r="A1347" s="11" t="s">
        <v>28</v>
      </c>
      <c r="B1347" s="12" t="s">
        <v>43</v>
      </c>
      <c r="C1347" s="12">
        <v>111.738250732422</v>
      </c>
      <c r="D1347" s="12">
        <v>2007</v>
      </c>
    </row>
    <row r="1348" spans="1:4" ht="19.899999999999999" customHeight="1">
      <c r="A1348" s="11" t="s">
        <v>29</v>
      </c>
      <c r="B1348" s="12" t="s">
        <v>43</v>
      </c>
      <c r="C1348" s="12"/>
      <c r="D1348" s="12">
        <v>2007</v>
      </c>
    </row>
    <row r="1349" spans="1:4" ht="19.899999999999999" customHeight="1">
      <c r="A1349" s="11" t="s">
        <v>4</v>
      </c>
      <c r="B1349" s="12" t="s">
        <v>43</v>
      </c>
      <c r="C1349" s="12">
        <v>124.14427947998</v>
      </c>
      <c r="D1349" s="12">
        <v>2008</v>
      </c>
    </row>
    <row r="1350" spans="1:4" ht="19.899999999999999" customHeight="1">
      <c r="A1350" s="11" t="s">
        <v>5</v>
      </c>
      <c r="B1350" s="12" t="s">
        <v>43</v>
      </c>
      <c r="C1350" s="12">
        <v>106.96159362793</v>
      </c>
      <c r="D1350" s="12">
        <v>2008</v>
      </c>
    </row>
    <row r="1351" spans="1:4" ht="19.899999999999999" customHeight="1">
      <c r="A1351" s="11" t="s">
        <v>6</v>
      </c>
      <c r="B1351" s="12" t="s">
        <v>43</v>
      </c>
      <c r="C1351" s="12">
        <v>78.040466308593807</v>
      </c>
      <c r="D1351" s="12">
        <v>2008</v>
      </c>
    </row>
    <row r="1352" spans="1:4" ht="19.899999999999999" customHeight="1">
      <c r="A1352" s="11" t="s">
        <v>7</v>
      </c>
      <c r="B1352" s="12" t="s">
        <v>43</v>
      </c>
      <c r="C1352" s="12">
        <v>108.641242980957</v>
      </c>
      <c r="D1352" s="12">
        <v>2008</v>
      </c>
    </row>
    <row r="1353" spans="1:4" ht="19.899999999999999" customHeight="1">
      <c r="A1353" s="11" t="s">
        <v>8</v>
      </c>
      <c r="B1353" s="12" t="s">
        <v>43</v>
      </c>
      <c r="C1353" s="12">
        <v>57.068408966064503</v>
      </c>
      <c r="D1353" s="12">
        <v>2008</v>
      </c>
    </row>
    <row r="1354" spans="1:4" ht="19.899999999999999" customHeight="1">
      <c r="A1354" s="11" t="s">
        <v>1</v>
      </c>
      <c r="B1354" s="12" t="s">
        <v>43</v>
      </c>
      <c r="C1354" s="12">
        <v>94.822853088378906</v>
      </c>
      <c r="D1354" s="12">
        <v>2008</v>
      </c>
    </row>
    <row r="1355" spans="1:4" ht="19.899999999999999" customHeight="1">
      <c r="A1355" s="11" t="s">
        <v>9</v>
      </c>
      <c r="B1355" s="12" t="s">
        <v>43</v>
      </c>
      <c r="C1355" s="12">
        <v>84.2161865234375</v>
      </c>
      <c r="D1355" s="12">
        <v>2008</v>
      </c>
    </row>
    <row r="1356" spans="1:4" ht="19.899999999999999" customHeight="1">
      <c r="A1356" s="11" t="s">
        <v>10</v>
      </c>
      <c r="B1356" s="12" t="s">
        <v>43</v>
      </c>
      <c r="C1356" s="12"/>
      <c r="D1356" s="12">
        <v>2008</v>
      </c>
    </row>
    <row r="1357" spans="1:4" ht="19.899999999999999" customHeight="1">
      <c r="A1357" s="11" t="s">
        <v>11</v>
      </c>
      <c r="B1357" s="12" t="s">
        <v>43</v>
      </c>
      <c r="C1357" s="12">
        <v>104.655082702637</v>
      </c>
      <c r="D1357" s="12">
        <v>2008</v>
      </c>
    </row>
    <row r="1358" spans="1:4" ht="19.899999999999999" customHeight="1">
      <c r="A1358" s="11" t="s">
        <v>38</v>
      </c>
      <c r="B1358" s="12" t="s">
        <v>43</v>
      </c>
      <c r="C1358" s="12"/>
      <c r="D1358" s="12">
        <v>2008</v>
      </c>
    </row>
    <row r="1359" spans="1:4" ht="19.899999999999999" customHeight="1">
      <c r="A1359" s="11" t="s">
        <v>12</v>
      </c>
      <c r="B1359" s="12" t="s">
        <v>43</v>
      </c>
      <c r="C1359" s="12">
        <v>93.500526428222699</v>
      </c>
      <c r="D1359" s="12">
        <v>2008</v>
      </c>
    </row>
    <row r="1360" spans="1:4" ht="19.899999999999999" customHeight="1">
      <c r="A1360" s="11" t="s">
        <v>13</v>
      </c>
      <c r="B1360" s="12" t="s">
        <v>43</v>
      </c>
      <c r="C1360" s="12">
        <v>142.00489807128901</v>
      </c>
      <c r="D1360" s="12">
        <v>2008</v>
      </c>
    </row>
    <row r="1361" spans="1:4" ht="19.899999999999999" customHeight="1">
      <c r="A1361" s="11" t="s">
        <v>14</v>
      </c>
      <c r="B1361" s="12" t="s">
        <v>43</v>
      </c>
      <c r="C1361" s="12">
        <v>127.77651214599599</v>
      </c>
      <c r="D1361" s="12">
        <v>2008</v>
      </c>
    </row>
    <row r="1362" spans="1:4" ht="19.899999999999999" customHeight="1">
      <c r="A1362" s="11" t="s">
        <v>15</v>
      </c>
      <c r="B1362" s="12" t="s">
        <v>43</v>
      </c>
      <c r="C1362" s="12">
        <v>81.132621765136705</v>
      </c>
      <c r="D1362" s="12">
        <v>2008</v>
      </c>
    </row>
    <row r="1363" spans="1:4" ht="19.899999999999999" customHeight="1">
      <c r="A1363" s="11" t="s">
        <v>16</v>
      </c>
      <c r="B1363" s="12" t="s">
        <v>43</v>
      </c>
      <c r="C1363" s="12">
        <v>94.029869079589801</v>
      </c>
      <c r="D1363" s="12">
        <v>2008</v>
      </c>
    </row>
    <row r="1364" spans="1:4" ht="19.899999999999999" customHeight="1">
      <c r="A1364" s="11" t="s">
        <v>17</v>
      </c>
      <c r="B1364" s="12" t="s">
        <v>43</v>
      </c>
      <c r="C1364" s="12">
        <v>109.053901672363</v>
      </c>
      <c r="D1364" s="12">
        <v>2008</v>
      </c>
    </row>
    <row r="1365" spans="1:4" ht="19.899999999999999" customHeight="1">
      <c r="A1365" s="11" t="s">
        <v>18</v>
      </c>
      <c r="B1365" s="12" t="s">
        <v>43</v>
      </c>
      <c r="C1365" s="12">
        <v>101.010871887207</v>
      </c>
      <c r="D1365" s="12">
        <v>2008</v>
      </c>
    </row>
    <row r="1366" spans="1:4" ht="19.899999999999999" customHeight="1">
      <c r="A1366" s="11" t="s">
        <v>19</v>
      </c>
      <c r="B1366" s="12" t="s">
        <v>43</v>
      </c>
      <c r="C1366" s="12">
        <v>125.824020385742</v>
      </c>
      <c r="D1366" s="12">
        <v>2008</v>
      </c>
    </row>
    <row r="1367" spans="1:4" ht="19.899999999999999" customHeight="1">
      <c r="A1367" s="11" t="s">
        <v>20</v>
      </c>
      <c r="B1367" s="12" t="s">
        <v>43</v>
      </c>
      <c r="C1367" s="12">
        <v>124.01634216308599</v>
      </c>
      <c r="D1367" s="12">
        <v>2008</v>
      </c>
    </row>
    <row r="1368" spans="1:4" ht="19.899999999999999" customHeight="1">
      <c r="A1368" s="11" t="s">
        <v>21</v>
      </c>
      <c r="B1368" s="12" t="s">
        <v>43</v>
      </c>
      <c r="C1368" s="12">
        <v>55.274631500244098</v>
      </c>
      <c r="D1368" s="12">
        <v>2008</v>
      </c>
    </row>
    <row r="1369" spans="1:4" ht="19.899999999999999" customHeight="1">
      <c r="A1369" s="11" t="s">
        <v>22</v>
      </c>
      <c r="B1369" s="12" t="s">
        <v>43</v>
      </c>
      <c r="C1369" s="12">
        <v>145.931716918945</v>
      </c>
      <c r="D1369" s="12">
        <v>2008</v>
      </c>
    </row>
    <row r="1370" spans="1:4" ht="19.899999999999999" customHeight="1">
      <c r="A1370" s="11" t="s">
        <v>23</v>
      </c>
      <c r="B1370" s="12" t="s">
        <v>43</v>
      </c>
      <c r="C1370" s="12">
        <v>120.01473236084</v>
      </c>
      <c r="D1370" s="12">
        <v>2008</v>
      </c>
    </row>
    <row r="1371" spans="1:4" ht="19.899999999999999" customHeight="1">
      <c r="A1371" s="11" t="s">
        <v>24</v>
      </c>
      <c r="B1371" s="12" t="s">
        <v>43</v>
      </c>
      <c r="C1371" s="12">
        <v>97.420326232910199</v>
      </c>
      <c r="D1371" s="12">
        <v>2008</v>
      </c>
    </row>
    <row r="1372" spans="1:4" ht="19.899999999999999" customHeight="1">
      <c r="A1372" s="11" t="s">
        <v>25</v>
      </c>
      <c r="B1372" s="12" t="s">
        <v>43</v>
      </c>
      <c r="C1372" s="12">
        <v>98.091857910156307</v>
      </c>
      <c r="D1372" s="12">
        <v>2008</v>
      </c>
    </row>
    <row r="1373" spans="1:4" ht="19.899999999999999" customHeight="1">
      <c r="A1373" s="11" t="s">
        <v>26</v>
      </c>
      <c r="B1373" s="12" t="s">
        <v>43</v>
      </c>
      <c r="C1373" s="12">
        <v>107.05413055419901</v>
      </c>
      <c r="D1373" s="12">
        <v>2008</v>
      </c>
    </row>
    <row r="1374" spans="1:4" ht="19.899999999999999" customHeight="1">
      <c r="A1374" s="11" t="s">
        <v>27</v>
      </c>
      <c r="B1374" s="12" t="s">
        <v>43</v>
      </c>
      <c r="C1374" s="12">
        <v>119.03562927246099</v>
      </c>
      <c r="D1374" s="12">
        <v>2008</v>
      </c>
    </row>
    <row r="1375" spans="1:4" ht="19.899999999999999" customHeight="1">
      <c r="A1375" s="11" t="s">
        <v>28</v>
      </c>
      <c r="B1375" s="12" t="s">
        <v>43</v>
      </c>
      <c r="C1375" s="12">
        <v>112.65753173828099</v>
      </c>
      <c r="D1375" s="12">
        <v>2008</v>
      </c>
    </row>
    <row r="1376" spans="1:4" ht="19.899999999999999" customHeight="1">
      <c r="A1376" s="11" t="s">
        <v>29</v>
      </c>
      <c r="B1376" s="12" t="s">
        <v>43</v>
      </c>
      <c r="C1376" s="12"/>
      <c r="D1376" s="12">
        <v>2008</v>
      </c>
    </row>
    <row r="1377" spans="1:4" ht="19.899999999999999" customHeight="1">
      <c r="A1377" s="11" t="s">
        <v>4</v>
      </c>
      <c r="B1377" s="12" t="s">
        <v>43</v>
      </c>
      <c r="C1377" s="12">
        <v>133.04539489746099</v>
      </c>
      <c r="D1377" s="12">
        <v>2009</v>
      </c>
    </row>
    <row r="1378" spans="1:4" ht="19.899999999999999" customHeight="1">
      <c r="A1378" s="11" t="s">
        <v>5</v>
      </c>
      <c r="B1378" s="12" t="s">
        <v>43</v>
      </c>
      <c r="C1378" s="12">
        <v>108.961387634277</v>
      </c>
      <c r="D1378" s="12">
        <v>2009</v>
      </c>
    </row>
    <row r="1379" spans="1:4" ht="19.899999999999999" customHeight="1">
      <c r="A1379" s="11" t="s">
        <v>6</v>
      </c>
      <c r="B1379" s="12" t="s">
        <v>43</v>
      </c>
      <c r="C1379" s="12">
        <v>82.384216308593807</v>
      </c>
      <c r="D1379" s="12">
        <v>2009</v>
      </c>
    </row>
    <row r="1380" spans="1:4" ht="19.899999999999999" customHeight="1">
      <c r="A1380" s="11" t="s">
        <v>7</v>
      </c>
      <c r="B1380" s="12" t="s">
        <v>43</v>
      </c>
      <c r="C1380" s="12"/>
      <c r="D1380" s="12">
        <v>2009</v>
      </c>
    </row>
    <row r="1381" spans="1:4" ht="19.899999999999999" customHeight="1">
      <c r="A1381" s="11" t="s">
        <v>8</v>
      </c>
      <c r="B1381" s="12" t="s">
        <v>43</v>
      </c>
      <c r="C1381" s="12">
        <v>55.997341156005902</v>
      </c>
      <c r="D1381" s="12">
        <v>2009</v>
      </c>
    </row>
    <row r="1382" spans="1:4" ht="19.899999999999999" customHeight="1">
      <c r="A1382" s="11" t="s">
        <v>1</v>
      </c>
      <c r="B1382" s="12" t="s">
        <v>43</v>
      </c>
      <c r="C1382" s="12">
        <v>93.502357482910199</v>
      </c>
      <c r="D1382" s="12">
        <v>2009</v>
      </c>
    </row>
    <row r="1383" spans="1:4" ht="19.899999999999999" customHeight="1">
      <c r="A1383" s="11" t="s">
        <v>9</v>
      </c>
      <c r="B1383" s="12" t="s">
        <v>43</v>
      </c>
      <c r="C1383" s="12">
        <v>83.9251708984375</v>
      </c>
      <c r="D1383" s="12">
        <v>2009</v>
      </c>
    </row>
    <row r="1384" spans="1:4" ht="19.899999999999999" customHeight="1">
      <c r="A1384" s="11" t="s">
        <v>10</v>
      </c>
      <c r="B1384" s="12" t="s">
        <v>43</v>
      </c>
      <c r="C1384" s="12"/>
      <c r="D1384" s="12">
        <v>2009</v>
      </c>
    </row>
    <row r="1385" spans="1:4" ht="19.899999999999999" customHeight="1">
      <c r="A1385" s="11" t="s">
        <v>11</v>
      </c>
      <c r="B1385" s="12" t="s">
        <v>43</v>
      </c>
      <c r="C1385" s="12">
        <v>106.344650268555</v>
      </c>
      <c r="D1385" s="12">
        <v>2009</v>
      </c>
    </row>
    <row r="1386" spans="1:4" ht="19.899999999999999" customHeight="1">
      <c r="A1386" s="11" t="s">
        <v>38</v>
      </c>
      <c r="B1386" s="12" t="s">
        <v>43</v>
      </c>
      <c r="C1386" s="12"/>
      <c r="D1386" s="12">
        <v>2009</v>
      </c>
    </row>
    <row r="1387" spans="1:4" ht="19.899999999999999" customHeight="1">
      <c r="A1387" s="11" t="s">
        <v>12</v>
      </c>
      <c r="B1387" s="12" t="s">
        <v>43</v>
      </c>
      <c r="C1387" s="12">
        <v>99.895851135253906</v>
      </c>
      <c r="D1387" s="12">
        <v>2009</v>
      </c>
    </row>
    <row r="1388" spans="1:4" ht="19.899999999999999" customHeight="1">
      <c r="A1388" s="11" t="s">
        <v>13</v>
      </c>
      <c r="B1388" s="12" t="s">
        <v>43</v>
      </c>
      <c r="C1388" s="12">
        <v>149.30729675293</v>
      </c>
      <c r="D1388" s="12">
        <v>2009</v>
      </c>
    </row>
    <row r="1389" spans="1:4" ht="19.899999999999999" customHeight="1">
      <c r="A1389" s="11" t="s">
        <v>14</v>
      </c>
      <c r="B1389" s="12" t="s">
        <v>43</v>
      </c>
      <c r="C1389" s="12">
        <v>126.50933837890599</v>
      </c>
      <c r="D1389" s="12">
        <v>2009</v>
      </c>
    </row>
    <row r="1390" spans="1:4" ht="19.899999999999999" customHeight="1">
      <c r="A1390" s="11" t="s">
        <v>15</v>
      </c>
      <c r="B1390" s="12" t="s">
        <v>43</v>
      </c>
      <c r="C1390" s="12">
        <v>82.5794677734375</v>
      </c>
      <c r="D1390" s="12">
        <v>2009</v>
      </c>
    </row>
    <row r="1391" spans="1:4" ht="19.899999999999999" customHeight="1">
      <c r="A1391" s="11" t="s">
        <v>16</v>
      </c>
      <c r="B1391" s="12" t="s">
        <v>43</v>
      </c>
      <c r="C1391" s="12">
        <v>93.577560424804702</v>
      </c>
      <c r="D1391" s="12">
        <v>2009</v>
      </c>
    </row>
    <row r="1392" spans="1:4" ht="19.899999999999999" customHeight="1">
      <c r="A1392" s="11" t="s">
        <v>17</v>
      </c>
      <c r="B1392" s="12" t="s">
        <v>43</v>
      </c>
      <c r="C1392" s="12">
        <v>109.191841125488</v>
      </c>
      <c r="D1392" s="12">
        <v>2009</v>
      </c>
    </row>
    <row r="1393" spans="1:4" ht="19.899999999999999" customHeight="1">
      <c r="A1393" s="11" t="s">
        <v>18</v>
      </c>
      <c r="B1393" s="12" t="s">
        <v>43</v>
      </c>
      <c r="C1393" s="12">
        <v>99.316703796386705</v>
      </c>
      <c r="D1393" s="12">
        <v>2009</v>
      </c>
    </row>
    <row r="1394" spans="1:4" ht="19.899999999999999" customHeight="1">
      <c r="A1394" s="11" t="s">
        <v>19</v>
      </c>
      <c r="B1394" s="12" t="s">
        <v>43</v>
      </c>
      <c r="C1394" s="12">
        <v>137.218017578125</v>
      </c>
      <c r="D1394" s="12">
        <v>2009</v>
      </c>
    </row>
    <row r="1395" spans="1:4" ht="19.899999999999999" customHeight="1">
      <c r="A1395" s="11" t="s">
        <v>20</v>
      </c>
      <c r="B1395" s="12" t="s">
        <v>43</v>
      </c>
      <c r="C1395" s="12"/>
      <c r="D1395" s="12">
        <v>2009</v>
      </c>
    </row>
    <row r="1396" spans="1:4" ht="19.899999999999999" customHeight="1">
      <c r="A1396" s="11" t="s">
        <v>21</v>
      </c>
      <c r="B1396" s="12" t="s">
        <v>43</v>
      </c>
      <c r="C1396" s="12">
        <v>59.026599884033203</v>
      </c>
      <c r="D1396" s="12">
        <v>2009</v>
      </c>
    </row>
    <row r="1397" spans="1:4" ht="19.899999999999999" customHeight="1">
      <c r="A1397" s="11" t="s">
        <v>22</v>
      </c>
      <c r="B1397" s="12" t="s">
        <v>43</v>
      </c>
      <c r="C1397" s="12">
        <v>146.524002075195</v>
      </c>
      <c r="D1397" s="12">
        <v>2009</v>
      </c>
    </row>
    <row r="1398" spans="1:4" ht="19.899999999999999" customHeight="1">
      <c r="A1398" s="11" t="s">
        <v>23</v>
      </c>
      <c r="B1398" s="12" t="s">
        <v>43</v>
      </c>
      <c r="C1398" s="12">
        <v>120.481369018555</v>
      </c>
      <c r="D1398" s="12">
        <v>2009</v>
      </c>
    </row>
    <row r="1399" spans="1:4" ht="19.899999999999999" customHeight="1">
      <c r="A1399" s="11" t="s">
        <v>24</v>
      </c>
      <c r="B1399" s="12" t="s">
        <v>43</v>
      </c>
      <c r="C1399" s="12">
        <v>95.0826416015625</v>
      </c>
      <c r="D1399" s="12">
        <v>2009</v>
      </c>
    </row>
    <row r="1400" spans="1:4" ht="19.899999999999999" customHeight="1">
      <c r="A1400" s="11" t="s">
        <v>25</v>
      </c>
      <c r="B1400" s="12" t="s">
        <v>43</v>
      </c>
      <c r="C1400" s="12">
        <v>98.257881164550795</v>
      </c>
      <c r="D1400" s="12">
        <v>2009</v>
      </c>
    </row>
    <row r="1401" spans="1:4" ht="19.899999999999999" customHeight="1">
      <c r="A1401" s="11" t="s">
        <v>26</v>
      </c>
      <c r="B1401" s="12" t="s">
        <v>43</v>
      </c>
      <c r="C1401" s="12">
        <v>101.170852661133</v>
      </c>
      <c r="D1401" s="12">
        <v>2009</v>
      </c>
    </row>
    <row r="1402" spans="1:4" ht="19.899999999999999" customHeight="1">
      <c r="A1402" s="11" t="s">
        <v>27</v>
      </c>
      <c r="B1402" s="12" t="s">
        <v>43</v>
      </c>
      <c r="C1402" s="12">
        <v>119.74260711669901</v>
      </c>
      <c r="D1402" s="12">
        <v>2009</v>
      </c>
    </row>
    <row r="1403" spans="1:4" ht="19.899999999999999" customHeight="1">
      <c r="A1403" s="11" t="s">
        <v>28</v>
      </c>
      <c r="B1403" s="12" t="s">
        <v>43</v>
      </c>
      <c r="C1403" s="12">
        <v>106.407913208008</v>
      </c>
      <c r="D1403" s="12">
        <v>2009</v>
      </c>
    </row>
    <row r="1404" spans="1:4" ht="19.899999999999999" customHeight="1">
      <c r="A1404" s="11" t="s">
        <v>29</v>
      </c>
      <c r="B1404" s="12" t="s">
        <v>43</v>
      </c>
      <c r="C1404" s="12"/>
      <c r="D1404" s="12">
        <v>2009</v>
      </c>
    </row>
    <row r="1405" spans="1:4" ht="19.899999999999999" customHeight="1">
      <c r="A1405" s="11" t="s">
        <v>4</v>
      </c>
      <c r="B1405" s="12" t="s">
        <v>43</v>
      </c>
      <c r="C1405" s="12">
        <v>139.34765625</v>
      </c>
      <c r="D1405" s="12">
        <v>2010</v>
      </c>
    </row>
    <row r="1406" spans="1:4" ht="19.899999999999999" customHeight="1">
      <c r="A1406" s="11" t="s">
        <v>5</v>
      </c>
      <c r="B1406" s="12" t="s">
        <v>43</v>
      </c>
      <c r="C1406" s="12">
        <v>110.93279266357401</v>
      </c>
      <c r="D1406" s="12">
        <v>2010</v>
      </c>
    </row>
    <row r="1407" spans="1:4" ht="19.899999999999999" customHeight="1">
      <c r="A1407" s="11" t="s">
        <v>6</v>
      </c>
      <c r="B1407" s="12" t="s">
        <v>43</v>
      </c>
      <c r="C1407" s="12">
        <v>82.422821044921903</v>
      </c>
      <c r="D1407" s="12">
        <v>2010</v>
      </c>
    </row>
    <row r="1408" spans="1:4" ht="19.899999999999999" customHeight="1">
      <c r="A1408" s="11" t="s">
        <v>7</v>
      </c>
      <c r="B1408" s="12" t="s">
        <v>43</v>
      </c>
      <c r="C1408" s="12"/>
      <c r="D1408" s="12">
        <v>2010</v>
      </c>
    </row>
    <row r="1409" spans="1:4" ht="19.899999999999999" customHeight="1">
      <c r="A1409" s="11" t="s">
        <v>8</v>
      </c>
      <c r="B1409" s="12" t="s">
        <v>43</v>
      </c>
      <c r="C1409" s="12"/>
      <c r="D1409" s="12">
        <v>2010</v>
      </c>
    </row>
    <row r="1410" spans="1:4" ht="19.899999999999999" customHeight="1">
      <c r="A1410" s="11" t="s">
        <v>1</v>
      </c>
      <c r="B1410" s="12" t="s">
        <v>43</v>
      </c>
      <c r="C1410" s="12">
        <v>91.775962829589801</v>
      </c>
      <c r="D1410" s="12">
        <v>2010</v>
      </c>
    </row>
    <row r="1411" spans="1:4" ht="19.899999999999999" customHeight="1">
      <c r="A1411" s="11" t="s">
        <v>9</v>
      </c>
      <c r="B1411" s="12" t="s">
        <v>43</v>
      </c>
      <c r="C1411" s="12">
        <v>85.903762817382798</v>
      </c>
      <c r="D1411" s="12">
        <v>2010</v>
      </c>
    </row>
    <row r="1412" spans="1:4" ht="19.899999999999999" customHeight="1">
      <c r="A1412" s="11" t="s">
        <v>10</v>
      </c>
      <c r="B1412" s="12" t="s">
        <v>43</v>
      </c>
      <c r="C1412" s="12"/>
      <c r="D1412" s="12">
        <v>2010</v>
      </c>
    </row>
    <row r="1413" spans="1:4" ht="19.899999999999999" customHeight="1">
      <c r="A1413" s="11" t="s">
        <v>11</v>
      </c>
      <c r="B1413" s="12" t="s">
        <v>43</v>
      </c>
      <c r="C1413" s="12"/>
      <c r="D1413" s="12">
        <v>2010</v>
      </c>
    </row>
    <row r="1414" spans="1:4" ht="19.899999999999999" customHeight="1">
      <c r="A1414" s="11" t="s">
        <v>38</v>
      </c>
      <c r="B1414" s="12" t="s">
        <v>43</v>
      </c>
      <c r="C1414" s="12"/>
      <c r="D1414" s="12">
        <v>2010</v>
      </c>
    </row>
    <row r="1415" spans="1:4" ht="19.899999999999999" customHeight="1">
      <c r="A1415" s="11" t="s">
        <v>12</v>
      </c>
      <c r="B1415" s="12" t="s">
        <v>43</v>
      </c>
      <c r="C1415" s="12"/>
      <c r="D1415" s="12">
        <v>2010</v>
      </c>
    </row>
    <row r="1416" spans="1:4" ht="19.899999999999999" customHeight="1">
      <c r="A1416" s="11" t="s">
        <v>13</v>
      </c>
      <c r="B1416" s="12" t="s">
        <v>43</v>
      </c>
      <c r="C1416" s="12">
        <v>143.71780395507801</v>
      </c>
      <c r="D1416" s="12">
        <v>2010</v>
      </c>
    </row>
    <row r="1417" spans="1:4" ht="19.899999999999999" customHeight="1">
      <c r="A1417" s="11" t="s">
        <v>14</v>
      </c>
      <c r="B1417" s="12" t="s">
        <v>43</v>
      </c>
      <c r="C1417" s="12">
        <v>133.02116394043</v>
      </c>
      <c r="D1417" s="12">
        <v>2010</v>
      </c>
    </row>
    <row r="1418" spans="1:4" ht="19.899999999999999" customHeight="1">
      <c r="A1418" s="11" t="s">
        <v>15</v>
      </c>
      <c r="B1418" s="12" t="s">
        <v>43</v>
      </c>
      <c r="C1418" s="12">
        <v>83.304862976074205</v>
      </c>
      <c r="D1418" s="12">
        <v>2010</v>
      </c>
    </row>
    <row r="1419" spans="1:4" ht="19.899999999999999" customHeight="1">
      <c r="A1419" s="11" t="s">
        <v>16</v>
      </c>
      <c r="B1419" s="12" t="s">
        <v>43</v>
      </c>
      <c r="C1419" s="12">
        <v>93.540779113769503</v>
      </c>
      <c r="D1419" s="12">
        <v>2010</v>
      </c>
    </row>
    <row r="1420" spans="1:4" ht="19.899999999999999" customHeight="1">
      <c r="A1420" s="11" t="s">
        <v>17</v>
      </c>
      <c r="B1420" s="12" t="s">
        <v>43</v>
      </c>
      <c r="C1420" s="12">
        <v>110.11872100830099</v>
      </c>
      <c r="D1420" s="12">
        <v>2010</v>
      </c>
    </row>
    <row r="1421" spans="1:4" ht="19.899999999999999" customHeight="1">
      <c r="A1421" s="11" t="s">
        <v>18</v>
      </c>
      <c r="B1421" s="12" t="s">
        <v>43</v>
      </c>
      <c r="C1421" s="12">
        <v>98.738609313964801</v>
      </c>
      <c r="D1421" s="12">
        <v>2010</v>
      </c>
    </row>
    <row r="1422" spans="1:4" ht="19.899999999999999" customHeight="1">
      <c r="A1422" s="11" t="s">
        <v>19</v>
      </c>
      <c r="B1422" s="12" t="s">
        <v>43</v>
      </c>
      <c r="C1422" s="12">
        <v>142.11561584472699</v>
      </c>
      <c r="D1422" s="12">
        <v>2010</v>
      </c>
    </row>
    <row r="1423" spans="1:4" ht="19.899999999999999" customHeight="1">
      <c r="A1423" s="11" t="s">
        <v>20</v>
      </c>
      <c r="B1423" s="12" t="s">
        <v>43</v>
      </c>
      <c r="C1423" s="12">
        <v>123.25885772705099</v>
      </c>
      <c r="D1423" s="12">
        <v>2010</v>
      </c>
    </row>
    <row r="1424" spans="1:4" ht="19.899999999999999" customHeight="1">
      <c r="A1424" s="11" t="s">
        <v>21</v>
      </c>
      <c r="B1424" s="12" t="s">
        <v>43</v>
      </c>
      <c r="C1424" s="12">
        <v>62.673660278320298</v>
      </c>
      <c r="D1424" s="12">
        <v>2010</v>
      </c>
    </row>
    <row r="1425" spans="1:4" ht="19.899999999999999" customHeight="1">
      <c r="A1425" s="11" t="s">
        <v>22</v>
      </c>
      <c r="B1425" s="12" t="s">
        <v>43</v>
      </c>
      <c r="C1425" s="12">
        <v>145.11064147949199</v>
      </c>
      <c r="D1425" s="12">
        <v>2010</v>
      </c>
    </row>
    <row r="1426" spans="1:4" ht="19.899999999999999" customHeight="1">
      <c r="A1426" s="11" t="s">
        <v>23</v>
      </c>
      <c r="B1426" s="12" t="s">
        <v>43</v>
      </c>
      <c r="C1426" s="12">
        <v>117.694137573242</v>
      </c>
      <c r="D1426" s="12">
        <v>2010</v>
      </c>
    </row>
    <row r="1427" spans="1:4" ht="19.899999999999999" customHeight="1">
      <c r="A1427" s="11" t="s">
        <v>24</v>
      </c>
      <c r="B1427" s="12" t="s">
        <v>43</v>
      </c>
      <c r="C1427" s="12">
        <v>99.706413269042997</v>
      </c>
      <c r="D1427" s="12">
        <v>2010</v>
      </c>
    </row>
    <row r="1428" spans="1:4" ht="19.899999999999999" customHeight="1">
      <c r="A1428" s="11" t="s">
        <v>25</v>
      </c>
      <c r="B1428" s="12" t="s">
        <v>43</v>
      </c>
      <c r="C1428" s="12">
        <v>99.224777221679702</v>
      </c>
      <c r="D1428" s="12">
        <v>2010</v>
      </c>
    </row>
    <row r="1429" spans="1:4" ht="19.899999999999999" customHeight="1">
      <c r="A1429" s="11" t="s">
        <v>26</v>
      </c>
      <c r="B1429" s="12" t="s">
        <v>43</v>
      </c>
      <c r="C1429" s="12">
        <v>97.398490905761705</v>
      </c>
      <c r="D1429" s="12">
        <v>2010</v>
      </c>
    </row>
    <row r="1430" spans="1:4" ht="19.899999999999999" customHeight="1">
      <c r="A1430" s="11" t="s">
        <v>27</v>
      </c>
      <c r="B1430" s="12" t="s">
        <v>43</v>
      </c>
      <c r="C1430" s="12">
        <v>116.78662109375</v>
      </c>
      <c r="D1430" s="12">
        <v>2010</v>
      </c>
    </row>
    <row r="1431" spans="1:4" ht="19.899999999999999" customHeight="1">
      <c r="A1431" s="11" t="s">
        <v>28</v>
      </c>
      <c r="B1431" s="12" t="s">
        <v>43</v>
      </c>
      <c r="C1431" s="12">
        <v>105.18801116943401</v>
      </c>
      <c r="D1431" s="12">
        <v>2010</v>
      </c>
    </row>
    <row r="1432" spans="1:4" ht="19.899999999999999" customHeight="1">
      <c r="A1432" s="11" t="s">
        <v>29</v>
      </c>
      <c r="B1432" s="12" t="s">
        <v>43</v>
      </c>
      <c r="C1432" s="12"/>
      <c r="D1432" s="12">
        <v>2010</v>
      </c>
    </row>
    <row r="1433" spans="1:4" ht="19.899999999999999" customHeight="1">
      <c r="A1433" s="11" t="s">
        <v>4</v>
      </c>
      <c r="B1433" s="12" t="s">
        <v>43</v>
      </c>
      <c r="C1433" s="12">
        <v>143.91371154785199</v>
      </c>
      <c r="D1433" s="12">
        <v>2011</v>
      </c>
    </row>
    <row r="1434" spans="1:4" ht="19.899999999999999" customHeight="1">
      <c r="A1434" s="11" t="s">
        <v>5</v>
      </c>
      <c r="B1434" s="12" t="s">
        <v>43</v>
      </c>
      <c r="C1434" s="12">
        <v>110.088912963867</v>
      </c>
      <c r="D1434" s="12">
        <v>2011</v>
      </c>
    </row>
    <row r="1435" spans="1:4" ht="19.899999999999999" customHeight="1">
      <c r="A1435" s="11" t="s">
        <v>6</v>
      </c>
      <c r="B1435" s="12" t="s">
        <v>43</v>
      </c>
      <c r="C1435" s="12">
        <v>89.319717407226605</v>
      </c>
      <c r="D1435" s="12">
        <v>2011</v>
      </c>
    </row>
    <row r="1436" spans="1:4" ht="19.899999999999999" customHeight="1">
      <c r="A1436" s="11" t="s">
        <v>7</v>
      </c>
      <c r="B1436" s="12" t="s">
        <v>43</v>
      </c>
      <c r="C1436" s="12">
        <v>108.02465057373</v>
      </c>
      <c r="D1436" s="12">
        <v>2011</v>
      </c>
    </row>
    <row r="1437" spans="1:4" ht="19.899999999999999" customHeight="1">
      <c r="A1437" s="11" t="s">
        <v>8</v>
      </c>
      <c r="B1437" s="12" t="s">
        <v>43</v>
      </c>
      <c r="C1437" s="12">
        <v>61.342880249023402</v>
      </c>
      <c r="D1437" s="12">
        <v>2011</v>
      </c>
    </row>
    <row r="1438" spans="1:4" ht="19.899999999999999" customHeight="1">
      <c r="A1438" s="11" t="s">
        <v>1</v>
      </c>
      <c r="B1438" s="12" t="s">
        <v>43</v>
      </c>
      <c r="C1438" s="12">
        <v>94.500572204589801</v>
      </c>
      <c r="D1438" s="12">
        <v>2011</v>
      </c>
    </row>
    <row r="1439" spans="1:4" ht="19.899999999999999" customHeight="1">
      <c r="A1439" s="11" t="s">
        <v>9</v>
      </c>
      <c r="B1439" s="12" t="s">
        <v>43</v>
      </c>
      <c r="C1439" s="12">
        <v>88.998863220214801</v>
      </c>
      <c r="D1439" s="12">
        <v>2011</v>
      </c>
    </row>
    <row r="1440" spans="1:4" ht="19.899999999999999" customHeight="1">
      <c r="A1440" s="11" t="s">
        <v>10</v>
      </c>
      <c r="B1440" s="12" t="s">
        <v>43</v>
      </c>
      <c r="C1440" s="12"/>
      <c r="D1440" s="12">
        <v>2011</v>
      </c>
    </row>
    <row r="1441" spans="1:4" ht="19.899999999999999" customHeight="1">
      <c r="A1441" s="11" t="s">
        <v>11</v>
      </c>
      <c r="B1441" s="12" t="s">
        <v>43</v>
      </c>
      <c r="C1441" s="12"/>
      <c r="D1441" s="12">
        <v>2011</v>
      </c>
    </row>
    <row r="1442" spans="1:4" ht="19.899999999999999" customHeight="1">
      <c r="A1442" s="11" t="s">
        <v>38</v>
      </c>
      <c r="B1442" s="12" t="s">
        <v>43</v>
      </c>
      <c r="C1442" s="12"/>
      <c r="D1442" s="12">
        <v>2011</v>
      </c>
    </row>
    <row r="1443" spans="1:4" ht="19.899999999999999" customHeight="1">
      <c r="A1443" s="11" t="s">
        <v>12</v>
      </c>
      <c r="B1443" s="12" t="s">
        <v>43</v>
      </c>
      <c r="C1443" s="12">
        <v>102.641151428223</v>
      </c>
      <c r="D1443" s="12">
        <v>2011</v>
      </c>
    </row>
    <row r="1444" spans="1:4" ht="19.899999999999999" customHeight="1">
      <c r="A1444" s="11" t="s">
        <v>13</v>
      </c>
      <c r="B1444" s="12" t="s">
        <v>43</v>
      </c>
      <c r="C1444" s="12">
        <v>143.41189575195301</v>
      </c>
      <c r="D1444" s="12">
        <v>2011</v>
      </c>
    </row>
    <row r="1445" spans="1:4" ht="19.899999999999999" customHeight="1">
      <c r="A1445" s="11" t="s">
        <v>14</v>
      </c>
      <c r="B1445" s="12" t="s">
        <v>43</v>
      </c>
      <c r="C1445" s="12">
        <v>135.15811157226599</v>
      </c>
      <c r="D1445" s="12">
        <v>2011</v>
      </c>
    </row>
    <row r="1446" spans="1:4" ht="19.899999999999999" customHeight="1">
      <c r="A1446" s="11" t="s">
        <v>15</v>
      </c>
      <c r="B1446" s="12" t="s">
        <v>43</v>
      </c>
      <c r="C1446" s="12">
        <v>84.079528808593807</v>
      </c>
      <c r="D1446" s="12">
        <v>2011</v>
      </c>
    </row>
    <row r="1447" spans="1:4" ht="19.899999999999999" customHeight="1">
      <c r="A1447" s="11" t="s">
        <v>16</v>
      </c>
      <c r="B1447" s="12" t="s">
        <v>43</v>
      </c>
      <c r="C1447" s="12">
        <v>93.602981567382798</v>
      </c>
      <c r="D1447" s="12">
        <v>2011</v>
      </c>
    </row>
    <row r="1448" spans="1:4" ht="19.899999999999999" customHeight="1">
      <c r="A1448" s="11" t="s">
        <v>17</v>
      </c>
      <c r="B1448" s="12" t="s">
        <v>43</v>
      </c>
      <c r="C1448" s="12">
        <v>106.148429870605</v>
      </c>
      <c r="D1448" s="12">
        <v>2011</v>
      </c>
    </row>
    <row r="1449" spans="1:4" ht="19.899999999999999" customHeight="1">
      <c r="A1449" s="11" t="s">
        <v>18</v>
      </c>
      <c r="B1449" s="12" t="s">
        <v>43</v>
      </c>
      <c r="C1449" s="12"/>
      <c r="D1449" s="12">
        <v>2011</v>
      </c>
    </row>
    <row r="1450" spans="1:4" ht="19.899999999999999" customHeight="1">
      <c r="A1450" s="11" t="s">
        <v>19</v>
      </c>
      <c r="B1450" s="12" t="s">
        <v>43</v>
      </c>
      <c r="C1450" s="12">
        <v>145.12808227539099</v>
      </c>
      <c r="D1450" s="12">
        <v>2011</v>
      </c>
    </row>
    <row r="1451" spans="1:4" ht="19.899999999999999" customHeight="1">
      <c r="A1451" s="11" t="s">
        <v>20</v>
      </c>
      <c r="B1451" s="12" t="s">
        <v>43</v>
      </c>
      <c r="C1451" s="12"/>
      <c r="D1451" s="12">
        <v>2011</v>
      </c>
    </row>
    <row r="1452" spans="1:4" ht="19.899999999999999" customHeight="1">
      <c r="A1452" s="11" t="s">
        <v>21</v>
      </c>
      <c r="B1452" s="12" t="s">
        <v>43</v>
      </c>
      <c r="C1452" s="12">
        <v>66.491989135742202</v>
      </c>
      <c r="D1452" s="12">
        <v>2011</v>
      </c>
    </row>
    <row r="1453" spans="1:4" ht="19.899999999999999" customHeight="1">
      <c r="A1453" s="11" t="s">
        <v>22</v>
      </c>
      <c r="B1453" s="12" t="s">
        <v>43</v>
      </c>
      <c r="C1453" s="12">
        <v>144.36448669433599</v>
      </c>
      <c r="D1453" s="12">
        <v>2011</v>
      </c>
    </row>
    <row r="1454" spans="1:4" ht="19.899999999999999" customHeight="1">
      <c r="A1454" s="11" t="s">
        <v>23</v>
      </c>
      <c r="B1454" s="12" t="s">
        <v>43</v>
      </c>
      <c r="C1454" s="12">
        <v>117.770866394043</v>
      </c>
      <c r="D1454" s="12">
        <v>2011</v>
      </c>
    </row>
    <row r="1455" spans="1:4" ht="19.899999999999999" customHeight="1">
      <c r="A1455" s="11" t="s">
        <v>24</v>
      </c>
      <c r="B1455" s="12" t="s">
        <v>43</v>
      </c>
      <c r="C1455" s="12">
        <v>99.733062744140597</v>
      </c>
      <c r="D1455" s="12">
        <v>2011</v>
      </c>
    </row>
    <row r="1456" spans="1:4" ht="19.899999999999999" customHeight="1">
      <c r="A1456" s="11" t="s">
        <v>25</v>
      </c>
      <c r="B1456" s="12" t="s">
        <v>43</v>
      </c>
      <c r="C1456" s="12">
        <v>98.852081298828097</v>
      </c>
      <c r="D1456" s="12">
        <v>2011</v>
      </c>
    </row>
    <row r="1457" spans="1:4" ht="19.899999999999999" customHeight="1">
      <c r="A1457" s="11" t="s">
        <v>26</v>
      </c>
      <c r="B1457" s="12" t="s">
        <v>43</v>
      </c>
      <c r="C1457" s="12">
        <v>92.019668579101605</v>
      </c>
      <c r="D1457" s="12">
        <v>2011</v>
      </c>
    </row>
    <row r="1458" spans="1:4" ht="19.899999999999999" customHeight="1">
      <c r="A1458" s="11" t="s">
        <v>27</v>
      </c>
      <c r="B1458" s="12" t="s">
        <v>43</v>
      </c>
      <c r="C1458" s="12">
        <v>109.088729858398</v>
      </c>
      <c r="D1458" s="12">
        <v>2011</v>
      </c>
    </row>
    <row r="1459" spans="1:4" ht="19.899999999999999" customHeight="1">
      <c r="A1459" s="11" t="s">
        <v>28</v>
      </c>
      <c r="B1459" s="12" t="s">
        <v>43</v>
      </c>
      <c r="C1459" s="12">
        <v>106.679229736328</v>
      </c>
      <c r="D1459" s="12">
        <v>2011</v>
      </c>
    </row>
    <row r="1460" spans="1:4" ht="19.899999999999999" customHeight="1">
      <c r="A1460" s="11" t="s">
        <v>29</v>
      </c>
      <c r="B1460" s="12" t="s">
        <v>43</v>
      </c>
      <c r="C1460" s="12"/>
      <c r="D1460" s="12">
        <v>2011</v>
      </c>
    </row>
    <row r="1461" spans="1:4" ht="19.899999999999999" customHeight="1">
      <c r="A1461" s="11" t="s">
        <v>4</v>
      </c>
      <c r="B1461" s="12" t="s">
        <v>43</v>
      </c>
      <c r="C1461" s="12">
        <v>142.70370483398401</v>
      </c>
      <c r="D1461" s="12">
        <v>2012</v>
      </c>
    </row>
    <row r="1462" spans="1:4" ht="19.899999999999999" customHeight="1">
      <c r="A1462" s="11" t="s">
        <v>5</v>
      </c>
      <c r="B1462" s="12" t="s">
        <v>43</v>
      </c>
      <c r="C1462" s="12">
        <v>114.635818481445</v>
      </c>
      <c r="D1462" s="12">
        <v>2012</v>
      </c>
    </row>
    <row r="1463" spans="1:4" ht="19.899999999999999" customHeight="1">
      <c r="A1463" s="11" t="s">
        <v>6</v>
      </c>
      <c r="B1463" s="12" t="s">
        <v>43</v>
      </c>
      <c r="C1463" s="12">
        <v>93.711669921875</v>
      </c>
      <c r="D1463" s="12">
        <v>2012</v>
      </c>
    </row>
    <row r="1464" spans="1:4" ht="19.899999999999999" customHeight="1">
      <c r="A1464" s="11" t="s">
        <v>7</v>
      </c>
      <c r="B1464" s="12" t="s">
        <v>43</v>
      </c>
      <c r="C1464" s="12"/>
      <c r="D1464" s="12">
        <v>2012</v>
      </c>
    </row>
    <row r="1465" spans="1:4" ht="19.899999999999999" customHeight="1">
      <c r="A1465" s="11" t="s">
        <v>8</v>
      </c>
      <c r="B1465" s="12" t="s">
        <v>43</v>
      </c>
      <c r="C1465" s="12">
        <v>63.940650939941399</v>
      </c>
      <c r="D1465" s="12">
        <v>2012</v>
      </c>
    </row>
    <row r="1466" spans="1:4" ht="19.899999999999999" customHeight="1">
      <c r="A1466" s="11" t="s">
        <v>1</v>
      </c>
      <c r="B1466" s="12" t="s">
        <v>43</v>
      </c>
      <c r="C1466" s="12">
        <v>94.550750732421903</v>
      </c>
      <c r="D1466" s="12">
        <v>2012</v>
      </c>
    </row>
    <row r="1467" spans="1:4" ht="19.899999999999999" customHeight="1">
      <c r="A1467" s="11" t="s">
        <v>9</v>
      </c>
      <c r="B1467" s="12" t="s">
        <v>43</v>
      </c>
      <c r="C1467" s="12">
        <v>90.722976684570298</v>
      </c>
      <c r="D1467" s="12">
        <v>2012</v>
      </c>
    </row>
    <row r="1468" spans="1:4" ht="19.899999999999999" customHeight="1">
      <c r="A1468" s="11" t="s">
        <v>10</v>
      </c>
      <c r="B1468" s="12" t="s">
        <v>43</v>
      </c>
      <c r="C1468" s="12"/>
      <c r="D1468" s="12">
        <v>2012</v>
      </c>
    </row>
    <row r="1469" spans="1:4" ht="19.899999999999999" customHeight="1">
      <c r="A1469" s="11" t="s">
        <v>11</v>
      </c>
      <c r="B1469" s="12" t="s">
        <v>43</v>
      </c>
      <c r="C1469" s="12">
        <v>111.962211608887</v>
      </c>
      <c r="D1469" s="12">
        <v>2012</v>
      </c>
    </row>
    <row r="1470" spans="1:4" ht="19.899999999999999" customHeight="1">
      <c r="A1470" s="11" t="s">
        <v>38</v>
      </c>
      <c r="B1470" s="12" t="s">
        <v>43</v>
      </c>
      <c r="C1470" s="12"/>
      <c r="D1470" s="12">
        <v>2012</v>
      </c>
    </row>
    <row r="1471" spans="1:4" ht="19.899999999999999" customHeight="1">
      <c r="A1471" s="11" t="s">
        <v>12</v>
      </c>
      <c r="B1471" s="12" t="s">
        <v>43</v>
      </c>
      <c r="C1471" s="12"/>
      <c r="D1471" s="12">
        <v>2012</v>
      </c>
    </row>
    <row r="1472" spans="1:4" ht="19.899999999999999" customHeight="1">
      <c r="A1472" s="11" t="s">
        <v>13</v>
      </c>
      <c r="B1472" s="12" t="s">
        <v>43</v>
      </c>
      <c r="C1472" s="12">
        <v>143.97837829589801</v>
      </c>
      <c r="D1472" s="12">
        <v>2012</v>
      </c>
    </row>
    <row r="1473" spans="1:4" ht="19.899999999999999" customHeight="1">
      <c r="A1473" s="11" t="s">
        <v>14</v>
      </c>
      <c r="B1473" s="12" t="s">
        <v>43</v>
      </c>
      <c r="C1473" s="12">
        <v>136.28593444824199</v>
      </c>
      <c r="D1473" s="12">
        <v>2012</v>
      </c>
    </row>
    <row r="1474" spans="1:4" ht="19.899999999999999" customHeight="1">
      <c r="A1474" s="11" t="s">
        <v>15</v>
      </c>
      <c r="B1474" s="12" t="s">
        <v>43</v>
      </c>
      <c r="C1474" s="12">
        <v>80.802307128906307</v>
      </c>
      <c r="D1474" s="12">
        <v>2012</v>
      </c>
    </row>
    <row r="1475" spans="1:4" ht="19.899999999999999" customHeight="1">
      <c r="A1475" s="11" t="s">
        <v>16</v>
      </c>
      <c r="B1475" s="12" t="s">
        <v>43</v>
      </c>
      <c r="C1475" s="12">
        <v>93.7979736328125</v>
      </c>
      <c r="D1475" s="12">
        <v>2012</v>
      </c>
    </row>
    <row r="1476" spans="1:4" ht="19.899999999999999" customHeight="1">
      <c r="A1476" s="11" t="s">
        <v>17</v>
      </c>
      <c r="B1476" s="12" t="s">
        <v>43</v>
      </c>
      <c r="C1476" s="12">
        <v>104.95319366455099</v>
      </c>
      <c r="D1476" s="12">
        <v>2012</v>
      </c>
    </row>
    <row r="1477" spans="1:4" ht="19.899999999999999" customHeight="1">
      <c r="A1477" s="11" t="s">
        <v>18</v>
      </c>
      <c r="B1477" s="12" t="s">
        <v>43</v>
      </c>
      <c r="C1477" s="12"/>
      <c r="D1477" s="12">
        <v>2012</v>
      </c>
    </row>
    <row r="1478" spans="1:4" ht="19.899999999999999" customHeight="1">
      <c r="A1478" s="11" t="s">
        <v>19</v>
      </c>
      <c r="B1478" s="12" t="s">
        <v>43</v>
      </c>
      <c r="C1478" s="12">
        <v>142.26579284668</v>
      </c>
      <c r="D1478" s="12">
        <v>2012</v>
      </c>
    </row>
    <row r="1479" spans="1:4" ht="19.899999999999999" customHeight="1">
      <c r="A1479" s="11" t="s">
        <v>20</v>
      </c>
      <c r="B1479" s="12" t="s">
        <v>43</v>
      </c>
      <c r="C1479" s="12"/>
      <c r="D1479" s="12">
        <v>2012</v>
      </c>
    </row>
    <row r="1480" spans="1:4" ht="19.899999999999999" customHeight="1">
      <c r="A1480" s="11" t="s">
        <v>21</v>
      </c>
      <c r="B1480" s="12" t="s">
        <v>43</v>
      </c>
      <c r="C1480" s="12">
        <v>68.523590087890597</v>
      </c>
      <c r="D1480" s="12">
        <v>2012</v>
      </c>
    </row>
    <row r="1481" spans="1:4" ht="19.899999999999999" customHeight="1">
      <c r="A1481" s="11" t="s">
        <v>22</v>
      </c>
      <c r="B1481" s="12" t="s">
        <v>43</v>
      </c>
      <c r="C1481" s="12">
        <v>144.00294494628901</v>
      </c>
      <c r="D1481" s="12">
        <v>2012</v>
      </c>
    </row>
    <row r="1482" spans="1:4" ht="19.899999999999999" customHeight="1">
      <c r="A1482" s="11" t="s">
        <v>23</v>
      </c>
      <c r="B1482" s="12" t="s">
        <v>43</v>
      </c>
      <c r="C1482" s="12">
        <v>109.95652770996099</v>
      </c>
      <c r="D1482" s="12">
        <v>2012</v>
      </c>
    </row>
    <row r="1483" spans="1:4" ht="19.899999999999999" customHeight="1">
      <c r="A1483" s="11" t="s">
        <v>24</v>
      </c>
      <c r="B1483" s="12" t="s">
        <v>43</v>
      </c>
      <c r="C1483" s="12">
        <v>100.07356262207</v>
      </c>
      <c r="D1483" s="12">
        <v>2012</v>
      </c>
    </row>
    <row r="1484" spans="1:4" ht="19.899999999999999" customHeight="1">
      <c r="A1484" s="11" t="s">
        <v>25</v>
      </c>
      <c r="B1484" s="12" t="s">
        <v>43</v>
      </c>
      <c r="C1484" s="12">
        <v>98.744590759277301</v>
      </c>
      <c r="D1484" s="12">
        <v>2012</v>
      </c>
    </row>
    <row r="1485" spans="1:4" ht="19.899999999999999" customHeight="1">
      <c r="A1485" s="11" t="s">
        <v>26</v>
      </c>
      <c r="B1485" s="12" t="s">
        <v>43</v>
      </c>
      <c r="C1485" s="12">
        <v>88.756660461425795</v>
      </c>
      <c r="D1485" s="12">
        <v>2012</v>
      </c>
    </row>
    <row r="1486" spans="1:4" ht="19.899999999999999" customHeight="1">
      <c r="A1486" s="11" t="s">
        <v>27</v>
      </c>
      <c r="B1486" s="12" t="s">
        <v>43</v>
      </c>
      <c r="C1486" s="12">
        <v>108.44606781005901</v>
      </c>
      <c r="D1486" s="12">
        <v>2012</v>
      </c>
    </row>
    <row r="1487" spans="1:4" ht="19.899999999999999" customHeight="1">
      <c r="A1487" s="11" t="s">
        <v>28</v>
      </c>
      <c r="B1487" s="12" t="s">
        <v>43</v>
      </c>
      <c r="C1487" s="12">
        <v>107.228652954102</v>
      </c>
      <c r="D1487" s="12">
        <v>2012</v>
      </c>
    </row>
    <row r="1488" spans="1:4" ht="19.899999999999999" customHeight="1">
      <c r="A1488" s="11" t="s">
        <v>29</v>
      </c>
      <c r="B1488" s="12" t="s">
        <v>43</v>
      </c>
      <c r="C1488" s="12">
        <v>101.243461608887</v>
      </c>
      <c r="D1488" s="12">
        <v>2012</v>
      </c>
    </row>
    <row r="1489" spans="1:4" ht="19.899999999999999" customHeight="1">
      <c r="A1489" s="11" t="s">
        <v>4</v>
      </c>
      <c r="B1489" s="12" t="s">
        <v>43</v>
      </c>
      <c r="C1489" s="12">
        <v>140.344650268555</v>
      </c>
      <c r="D1489" s="12">
        <v>2013</v>
      </c>
    </row>
    <row r="1490" spans="1:4" ht="19.899999999999999" customHeight="1">
      <c r="A1490" s="11" t="s">
        <v>5</v>
      </c>
      <c r="B1490" s="12" t="s">
        <v>43</v>
      </c>
      <c r="C1490" s="12"/>
      <c r="D1490" s="12">
        <v>2013</v>
      </c>
    </row>
    <row r="1491" spans="1:4" ht="19.899999999999999" customHeight="1">
      <c r="A1491" s="11" t="s">
        <v>6</v>
      </c>
      <c r="B1491" s="12" t="s">
        <v>43</v>
      </c>
      <c r="C1491" s="12">
        <v>101.13996887207</v>
      </c>
      <c r="D1491" s="12">
        <v>2013</v>
      </c>
    </row>
    <row r="1492" spans="1:4" ht="19.899999999999999" customHeight="1">
      <c r="A1492" s="11" t="s">
        <v>7</v>
      </c>
      <c r="B1492" s="12" t="s">
        <v>43</v>
      </c>
      <c r="C1492" s="12">
        <v>107.031791687012</v>
      </c>
      <c r="D1492" s="12">
        <v>2013</v>
      </c>
    </row>
    <row r="1493" spans="1:4" ht="19.899999999999999" customHeight="1">
      <c r="A1493" s="11" t="s">
        <v>8</v>
      </c>
      <c r="B1493" s="12" t="s">
        <v>43</v>
      </c>
      <c r="C1493" s="12">
        <v>63.824989318847699</v>
      </c>
      <c r="D1493" s="12">
        <v>2013</v>
      </c>
    </row>
    <row r="1494" spans="1:4" ht="19.899999999999999" customHeight="1">
      <c r="A1494" s="11" t="s">
        <v>1</v>
      </c>
      <c r="B1494" s="12" t="s">
        <v>43</v>
      </c>
      <c r="C1494" s="12"/>
      <c r="D1494" s="12">
        <v>2013</v>
      </c>
    </row>
    <row r="1495" spans="1:4" ht="19.899999999999999" customHeight="1">
      <c r="A1495" s="11" t="s">
        <v>9</v>
      </c>
      <c r="B1495" s="12" t="s">
        <v>43</v>
      </c>
      <c r="C1495" s="12">
        <v>92.470573425292997</v>
      </c>
      <c r="D1495" s="12">
        <v>2013</v>
      </c>
    </row>
    <row r="1496" spans="1:4" ht="19.899999999999999" customHeight="1">
      <c r="A1496" s="11" t="s">
        <v>10</v>
      </c>
      <c r="B1496" s="12" t="s">
        <v>43</v>
      </c>
      <c r="C1496" s="12"/>
      <c r="D1496" s="12">
        <v>2013</v>
      </c>
    </row>
    <row r="1497" spans="1:4" ht="19.899999999999999" customHeight="1">
      <c r="A1497" s="11" t="s">
        <v>11</v>
      </c>
      <c r="B1497" s="12" t="s">
        <v>43</v>
      </c>
      <c r="C1497" s="12"/>
      <c r="D1497" s="12">
        <v>2013</v>
      </c>
    </row>
    <row r="1498" spans="1:4" ht="19.899999999999999" customHeight="1">
      <c r="A1498" s="11" t="s">
        <v>38</v>
      </c>
      <c r="B1498" s="12" t="s">
        <v>43</v>
      </c>
      <c r="C1498" s="12"/>
      <c r="D1498" s="12">
        <v>2013</v>
      </c>
    </row>
    <row r="1499" spans="1:4" ht="19.899999999999999" customHeight="1">
      <c r="A1499" s="11" t="s">
        <v>12</v>
      </c>
      <c r="B1499" s="12" t="s">
        <v>43</v>
      </c>
      <c r="C1499" s="12"/>
      <c r="D1499" s="12">
        <v>2013</v>
      </c>
    </row>
    <row r="1500" spans="1:4" ht="19.899999999999999" customHeight="1">
      <c r="A1500" s="11" t="s">
        <v>13</v>
      </c>
      <c r="B1500" s="12" t="s">
        <v>43</v>
      </c>
      <c r="C1500" s="12">
        <v>143.89527893066401</v>
      </c>
      <c r="D1500" s="12">
        <v>2013</v>
      </c>
    </row>
    <row r="1501" spans="1:4" ht="19.899999999999999" customHeight="1">
      <c r="A1501" s="11" t="s">
        <v>14</v>
      </c>
      <c r="B1501" s="12" t="s">
        <v>43</v>
      </c>
      <c r="C1501" s="12">
        <v>141.74713134765599</v>
      </c>
      <c r="D1501" s="12">
        <v>2013</v>
      </c>
    </row>
    <row r="1502" spans="1:4" ht="19.899999999999999" customHeight="1">
      <c r="A1502" s="11" t="s">
        <v>15</v>
      </c>
      <c r="B1502" s="12" t="s">
        <v>43</v>
      </c>
      <c r="C1502" s="12">
        <v>75.967460632324205</v>
      </c>
      <c r="D1502" s="12">
        <v>2013</v>
      </c>
    </row>
    <row r="1503" spans="1:4" ht="19.899999999999999" customHeight="1">
      <c r="A1503" s="11" t="s">
        <v>16</v>
      </c>
      <c r="B1503" s="12" t="s">
        <v>43</v>
      </c>
      <c r="C1503" s="12">
        <v>93.768310546875</v>
      </c>
      <c r="D1503" s="12">
        <v>2013</v>
      </c>
    </row>
    <row r="1504" spans="1:4" ht="19.899999999999999" customHeight="1">
      <c r="A1504" s="11" t="s">
        <v>17</v>
      </c>
      <c r="B1504" s="12" t="s">
        <v>43</v>
      </c>
      <c r="C1504" s="12">
        <v>105.84597015380901</v>
      </c>
      <c r="D1504" s="12">
        <v>2013</v>
      </c>
    </row>
    <row r="1505" spans="1:4" ht="19.899999999999999" customHeight="1">
      <c r="A1505" s="11" t="s">
        <v>18</v>
      </c>
      <c r="B1505" s="12" t="s">
        <v>43</v>
      </c>
      <c r="C1505" s="12"/>
      <c r="D1505" s="12">
        <v>2013</v>
      </c>
    </row>
    <row r="1506" spans="1:4" ht="19.899999999999999" customHeight="1">
      <c r="A1506" s="11" t="s">
        <v>19</v>
      </c>
      <c r="B1506" s="12" t="s">
        <v>43</v>
      </c>
      <c r="C1506" s="12">
        <v>138.07278442382801</v>
      </c>
      <c r="D1506" s="12">
        <v>2013</v>
      </c>
    </row>
    <row r="1507" spans="1:4" ht="19.899999999999999" customHeight="1">
      <c r="A1507" s="11" t="s">
        <v>20</v>
      </c>
      <c r="B1507" s="12" t="s">
        <v>43</v>
      </c>
      <c r="C1507" s="12"/>
      <c r="D1507" s="12">
        <v>2013</v>
      </c>
    </row>
    <row r="1508" spans="1:4" ht="19.899999999999999" customHeight="1">
      <c r="A1508" s="11" t="s">
        <v>21</v>
      </c>
      <c r="B1508" s="12" t="s">
        <v>43</v>
      </c>
      <c r="C1508" s="12">
        <v>69.352508544921903</v>
      </c>
      <c r="D1508" s="12">
        <v>2013</v>
      </c>
    </row>
    <row r="1509" spans="1:4" ht="19.899999999999999" customHeight="1">
      <c r="A1509" s="11" t="s">
        <v>22</v>
      </c>
      <c r="B1509" s="12" t="s">
        <v>43</v>
      </c>
      <c r="C1509" s="12">
        <v>140.52755737304699</v>
      </c>
      <c r="D1509" s="12">
        <v>2013</v>
      </c>
    </row>
    <row r="1510" spans="1:4" ht="19.899999999999999" customHeight="1">
      <c r="A1510" s="11" t="s">
        <v>23</v>
      </c>
      <c r="B1510" s="12" t="s">
        <v>43</v>
      </c>
      <c r="C1510" s="12">
        <v>109.90065002441401</v>
      </c>
      <c r="D1510" s="12">
        <v>2013</v>
      </c>
    </row>
    <row r="1511" spans="1:4" ht="19.899999999999999" customHeight="1">
      <c r="A1511" s="11" t="s">
        <v>24</v>
      </c>
      <c r="B1511" s="12" t="s">
        <v>43</v>
      </c>
      <c r="C1511" s="12">
        <v>100.616340637207</v>
      </c>
      <c r="D1511" s="12">
        <v>2013</v>
      </c>
    </row>
    <row r="1512" spans="1:4" ht="19.899999999999999" customHeight="1">
      <c r="A1512" s="11" t="s">
        <v>25</v>
      </c>
      <c r="B1512" s="12" t="s">
        <v>43</v>
      </c>
      <c r="C1512" s="12">
        <v>98.519973754882798</v>
      </c>
      <c r="D1512" s="12">
        <v>2013</v>
      </c>
    </row>
    <row r="1513" spans="1:4" ht="19.899999999999999" customHeight="1">
      <c r="A1513" s="11" t="s">
        <v>26</v>
      </c>
      <c r="B1513" s="12" t="s">
        <v>43</v>
      </c>
      <c r="C1513" s="12">
        <v>85.543251037597699</v>
      </c>
      <c r="D1513" s="12">
        <v>2013</v>
      </c>
    </row>
    <row r="1514" spans="1:4" ht="19.899999999999999" customHeight="1">
      <c r="A1514" s="11" t="s">
        <v>27</v>
      </c>
      <c r="B1514" s="12" t="s">
        <v>43</v>
      </c>
      <c r="C1514" s="12">
        <v>106.606521606445</v>
      </c>
      <c r="D1514" s="12">
        <v>2013</v>
      </c>
    </row>
    <row r="1515" spans="1:4" ht="19.899999999999999" customHeight="1">
      <c r="A1515" s="11" t="s">
        <v>28</v>
      </c>
      <c r="B1515" s="12" t="s">
        <v>43</v>
      </c>
      <c r="C1515" s="12">
        <v>102.334091186523</v>
      </c>
      <c r="D1515" s="12">
        <v>2013</v>
      </c>
    </row>
    <row r="1516" spans="1:4" ht="19.899999999999999" customHeight="1">
      <c r="A1516" s="11" t="s">
        <v>29</v>
      </c>
      <c r="B1516" s="12" t="s">
        <v>43</v>
      </c>
      <c r="C1516" s="12">
        <v>98.694198608398395</v>
      </c>
      <c r="D1516" s="12">
        <v>2013</v>
      </c>
    </row>
    <row r="1517" spans="1:4" ht="19.899999999999999" customHeight="1">
      <c r="A1517" s="11" t="s">
        <v>4</v>
      </c>
      <c r="B1517" s="12" t="s">
        <v>43</v>
      </c>
      <c r="C1517" s="12">
        <v>137.898849487305</v>
      </c>
      <c r="D1517" s="12">
        <v>2014</v>
      </c>
    </row>
    <row r="1518" spans="1:4" ht="19.899999999999999" customHeight="1">
      <c r="A1518" s="11" t="s">
        <v>5</v>
      </c>
      <c r="B1518" s="12" t="s">
        <v>43</v>
      </c>
      <c r="C1518" s="12">
        <v>116.243202209473</v>
      </c>
      <c r="D1518" s="12">
        <v>2014</v>
      </c>
    </row>
    <row r="1519" spans="1:4" ht="19.899999999999999" customHeight="1">
      <c r="A1519" s="11" t="s">
        <v>6</v>
      </c>
      <c r="B1519" s="12" t="s">
        <v>43</v>
      </c>
      <c r="C1519" s="12">
        <v>102.74683380127</v>
      </c>
      <c r="D1519" s="12">
        <v>2014</v>
      </c>
    </row>
    <row r="1520" spans="1:4" ht="19.899999999999999" customHeight="1">
      <c r="A1520" s="11" t="s">
        <v>7</v>
      </c>
      <c r="B1520" s="12" t="s">
        <v>43</v>
      </c>
      <c r="C1520" s="12">
        <v>104.974891662598</v>
      </c>
      <c r="D1520" s="12">
        <v>2014</v>
      </c>
    </row>
    <row r="1521" spans="1:4" ht="19.899999999999999" customHeight="1">
      <c r="A1521" s="11" t="s">
        <v>8</v>
      </c>
      <c r="B1521" s="12" t="s">
        <v>43</v>
      </c>
      <c r="C1521" s="12">
        <v>65.1153564453125</v>
      </c>
      <c r="D1521" s="12">
        <v>2014</v>
      </c>
    </row>
    <row r="1522" spans="1:4" ht="19.899999999999999" customHeight="1">
      <c r="A1522" s="11" t="s">
        <v>1</v>
      </c>
      <c r="B1522" s="12" t="s">
        <v>43</v>
      </c>
      <c r="C1522" s="12">
        <v>99.923202514648395</v>
      </c>
      <c r="D1522" s="12">
        <v>2014</v>
      </c>
    </row>
    <row r="1523" spans="1:4" ht="19.899999999999999" customHeight="1">
      <c r="A1523" s="11" t="s">
        <v>9</v>
      </c>
      <c r="B1523" s="12" t="s">
        <v>43</v>
      </c>
      <c r="C1523" s="12">
        <v>93.927101135253906</v>
      </c>
      <c r="D1523" s="12">
        <v>2014</v>
      </c>
    </row>
    <row r="1524" spans="1:4" ht="19.899999999999999" customHeight="1">
      <c r="A1524" s="11" t="s">
        <v>10</v>
      </c>
      <c r="B1524" s="12" t="s">
        <v>43</v>
      </c>
      <c r="C1524" s="12"/>
      <c r="D1524" s="12">
        <v>2014</v>
      </c>
    </row>
    <row r="1525" spans="1:4" ht="19.899999999999999" customHeight="1">
      <c r="A1525" s="11" t="s">
        <v>11</v>
      </c>
      <c r="B1525" s="12" t="s">
        <v>43</v>
      </c>
      <c r="C1525" s="12">
        <v>108.107093811035</v>
      </c>
      <c r="D1525" s="12">
        <v>2014</v>
      </c>
    </row>
    <row r="1526" spans="1:4" ht="19.899999999999999" customHeight="1">
      <c r="A1526" s="11" t="s">
        <v>38</v>
      </c>
      <c r="B1526" s="12" t="s">
        <v>43</v>
      </c>
      <c r="C1526" s="12"/>
      <c r="D1526" s="12">
        <v>2014</v>
      </c>
    </row>
    <row r="1527" spans="1:4" ht="19.899999999999999" customHeight="1">
      <c r="A1527" s="11" t="s">
        <v>12</v>
      </c>
      <c r="B1527" s="12" t="s">
        <v>43</v>
      </c>
      <c r="C1527" s="12">
        <v>95.8603515625</v>
      </c>
      <c r="D1527" s="12">
        <v>2014</v>
      </c>
    </row>
    <row r="1528" spans="1:4" ht="19.899999999999999" customHeight="1">
      <c r="A1528" s="11" t="s">
        <v>13</v>
      </c>
      <c r="B1528" s="12" t="s">
        <v>43</v>
      </c>
      <c r="C1528" s="12">
        <v>145.24914550781301</v>
      </c>
      <c r="D1528" s="12">
        <v>2014</v>
      </c>
    </row>
    <row r="1529" spans="1:4" ht="19.899999999999999" customHeight="1">
      <c r="A1529" s="11" t="s">
        <v>14</v>
      </c>
      <c r="B1529" s="12" t="s">
        <v>43</v>
      </c>
      <c r="C1529" s="12">
        <v>142.23352050781301</v>
      </c>
      <c r="D1529" s="12">
        <v>2014</v>
      </c>
    </row>
    <row r="1530" spans="1:4" ht="19.899999999999999" customHeight="1">
      <c r="A1530" s="11" t="s">
        <v>15</v>
      </c>
      <c r="B1530" s="12" t="s">
        <v>43</v>
      </c>
      <c r="C1530" s="12">
        <v>76.982360839843807</v>
      </c>
      <c r="D1530" s="12">
        <v>2014</v>
      </c>
    </row>
    <row r="1531" spans="1:4" ht="19.899999999999999" customHeight="1">
      <c r="A1531" s="11" t="s">
        <v>16</v>
      </c>
      <c r="B1531" s="12" t="s">
        <v>43</v>
      </c>
      <c r="C1531" s="12">
        <v>93.064216613769503</v>
      </c>
      <c r="D1531" s="12">
        <v>2014</v>
      </c>
    </row>
    <row r="1532" spans="1:4" ht="19.899999999999999" customHeight="1">
      <c r="A1532" s="11" t="s">
        <v>17</v>
      </c>
      <c r="B1532" s="12" t="s">
        <v>43</v>
      </c>
      <c r="C1532" s="12">
        <v>105.46779632568401</v>
      </c>
      <c r="D1532" s="12">
        <v>2014</v>
      </c>
    </row>
    <row r="1533" spans="1:4" ht="19.899999999999999" customHeight="1">
      <c r="A1533" s="11" t="s">
        <v>18</v>
      </c>
      <c r="B1533" s="12" t="s">
        <v>43</v>
      </c>
      <c r="C1533" s="12">
        <v>101.872611999512</v>
      </c>
      <c r="D1533" s="12">
        <v>2014</v>
      </c>
    </row>
    <row r="1534" spans="1:4" ht="19.899999999999999" customHeight="1">
      <c r="A1534" s="11" t="s">
        <v>19</v>
      </c>
      <c r="B1534" s="12" t="s">
        <v>43</v>
      </c>
      <c r="C1534" s="12">
        <v>134.75445556640599</v>
      </c>
      <c r="D1534" s="12">
        <v>2014</v>
      </c>
    </row>
    <row r="1535" spans="1:4" ht="19.899999999999999" customHeight="1">
      <c r="A1535" s="11" t="s">
        <v>20</v>
      </c>
      <c r="B1535" s="12" t="s">
        <v>43</v>
      </c>
      <c r="C1535" s="12"/>
      <c r="D1535" s="12">
        <v>2014</v>
      </c>
    </row>
    <row r="1536" spans="1:4" ht="19.899999999999999" customHeight="1">
      <c r="A1536" s="11" t="s">
        <v>21</v>
      </c>
      <c r="B1536" s="12" t="s">
        <v>43</v>
      </c>
      <c r="C1536" s="12">
        <v>69.791442871093807</v>
      </c>
      <c r="D1536" s="12">
        <v>2014</v>
      </c>
    </row>
    <row r="1537" spans="1:4" ht="19.899999999999999" customHeight="1">
      <c r="A1537" s="11" t="s">
        <v>22</v>
      </c>
      <c r="B1537" s="12" t="s">
        <v>43</v>
      </c>
      <c r="C1537" s="12">
        <v>136.44293212890599</v>
      </c>
      <c r="D1537" s="12">
        <v>2014</v>
      </c>
    </row>
    <row r="1538" spans="1:4" ht="19.899999999999999" customHeight="1">
      <c r="A1538" s="11" t="s">
        <v>23</v>
      </c>
      <c r="B1538" s="12" t="s">
        <v>43</v>
      </c>
      <c r="C1538" s="12">
        <v>106.928512573242</v>
      </c>
      <c r="D1538" s="12">
        <v>2014</v>
      </c>
    </row>
    <row r="1539" spans="1:4" ht="19.899999999999999" customHeight="1">
      <c r="A1539" s="11" t="s">
        <v>24</v>
      </c>
      <c r="B1539" s="12" t="s">
        <v>43</v>
      </c>
      <c r="C1539" s="12">
        <v>101.24333953857401</v>
      </c>
      <c r="D1539" s="12">
        <v>2014</v>
      </c>
    </row>
    <row r="1540" spans="1:4" ht="19.899999999999999" customHeight="1">
      <c r="A1540" s="11" t="s">
        <v>25</v>
      </c>
      <c r="B1540" s="12" t="s">
        <v>43</v>
      </c>
      <c r="C1540" s="12">
        <v>95.894538879394503</v>
      </c>
      <c r="D1540" s="12">
        <v>2014</v>
      </c>
    </row>
    <row r="1541" spans="1:4" ht="19.899999999999999" customHeight="1">
      <c r="A1541" s="11" t="s">
        <v>26</v>
      </c>
      <c r="B1541" s="12" t="s">
        <v>43</v>
      </c>
      <c r="C1541" s="12">
        <v>82.624557495117202</v>
      </c>
      <c r="D1541" s="12">
        <v>2014</v>
      </c>
    </row>
    <row r="1542" spans="1:4" ht="19.899999999999999" customHeight="1">
      <c r="A1542" s="11" t="s">
        <v>27</v>
      </c>
      <c r="B1542" s="12" t="s">
        <v>43</v>
      </c>
      <c r="C1542" s="12"/>
      <c r="D1542" s="12">
        <v>2014</v>
      </c>
    </row>
    <row r="1543" spans="1:4" ht="19.899999999999999" customHeight="1">
      <c r="A1543" s="11" t="s">
        <v>28</v>
      </c>
      <c r="B1543" s="12" t="s">
        <v>43</v>
      </c>
      <c r="C1543" s="12"/>
      <c r="D1543" s="12">
        <v>2014</v>
      </c>
    </row>
    <row r="1544" spans="1:4" ht="19.899999999999999" customHeight="1">
      <c r="A1544" s="11" t="s">
        <v>29</v>
      </c>
      <c r="B1544" s="12" t="s">
        <v>43</v>
      </c>
      <c r="C1544" s="12"/>
      <c r="D1544" s="12">
        <v>2014</v>
      </c>
    </row>
    <row r="1545" spans="1:4" ht="19.899999999999999" customHeight="1">
      <c r="A1545" s="11" t="s">
        <v>4</v>
      </c>
      <c r="B1545" s="12" t="s">
        <v>43</v>
      </c>
      <c r="C1545" s="12">
        <v>134.17803955078099</v>
      </c>
      <c r="D1545" s="12">
        <v>2015</v>
      </c>
    </row>
    <row r="1546" spans="1:4" ht="19.899999999999999" customHeight="1">
      <c r="A1546" s="11" t="s">
        <v>5</v>
      </c>
      <c r="B1546" s="12" t="s">
        <v>43</v>
      </c>
      <c r="C1546" s="12">
        <v>119.238357543945</v>
      </c>
      <c r="D1546" s="12">
        <v>2015</v>
      </c>
    </row>
    <row r="1547" spans="1:4" ht="19.899999999999999" customHeight="1">
      <c r="A1547" s="11" t="s">
        <v>6</v>
      </c>
      <c r="B1547" s="12" t="s">
        <v>43</v>
      </c>
      <c r="C1547" s="12">
        <v>92.765327453613295</v>
      </c>
      <c r="D1547" s="12">
        <v>2015</v>
      </c>
    </row>
    <row r="1548" spans="1:4" ht="19.899999999999999" customHeight="1">
      <c r="A1548" s="11" t="s">
        <v>7</v>
      </c>
      <c r="B1548" s="12" t="s">
        <v>43</v>
      </c>
      <c r="C1548" s="12"/>
      <c r="D1548" s="12">
        <v>2015</v>
      </c>
    </row>
    <row r="1549" spans="1:4" ht="19.899999999999999" customHeight="1">
      <c r="A1549" s="11" t="s">
        <v>8</v>
      </c>
      <c r="B1549" s="12" t="s">
        <v>43</v>
      </c>
      <c r="C1549" s="12">
        <v>64.211387634277301</v>
      </c>
      <c r="D1549" s="12">
        <v>2015</v>
      </c>
    </row>
    <row r="1550" spans="1:4" ht="19.899999999999999" customHeight="1">
      <c r="A1550" s="11" t="s">
        <v>1</v>
      </c>
      <c r="B1550" s="12" t="s">
        <v>43</v>
      </c>
      <c r="C1550" s="12">
        <v>101.944229125977</v>
      </c>
      <c r="D1550" s="12">
        <v>2015</v>
      </c>
    </row>
    <row r="1551" spans="1:4" ht="19.899999999999999" customHeight="1">
      <c r="A1551" s="11" t="s">
        <v>9</v>
      </c>
      <c r="B1551" s="12" t="s">
        <v>43</v>
      </c>
      <c r="C1551" s="12"/>
      <c r="D1551" s="12">
        <v>2015</v>
      </c>
    </row>
    <row r="1552" spans="1:4" ht="19.899999999999999" customHeight="1">
      <c r="A1552" s="11" t="s">
        <v>10</v>
      </c>
      <c r="B1552" s="12" t="s">
        <v>43</v>
      </c>
      <c r="C1552" s="12"/>
      <c r="D1552" s="12">
        <v>2015</v>
      </c>
    </row>
    <row r="1553" spans="1:4" ht="19.899999999999999" customHeight="1">
      <c r="A1553" s="11" t="s">
        <v>11</v>
      </c>
      <c r="B1553" s="12" t="s">
        <v>43</v>
      </c>
      <c r="C1553" s="12">
        <v>105.92038726806599</v>
      </c>
      <c r="D1553" s="12">
        <v>2015</v>
      </c>
    </row>
    <row r="1554" spans="1:4" ht="19.899999999999999" customHeight="1">
      <c r="A1554" s="11" t="s">
        <v>38</v>
      </c>
      <c r="B1554" s="12" t="s">
        <v>43</v>
      </c>
      <c r="C1554" s="12"/>
      <c r="D1554" s="12">
        <v>2015</v>
      </c>
    </row>
    <row r="1555" spans="1:4" ht="19.899999999999999" customHeight="1">
      <c r="A1555" s="11" t="s">
        <v>12</v>
      </c>
      <c r="B1555" s="12" t="s">
        <v>43</v>
      </c>
      <c r="C1555" s="12">
        <v>94.089469909667997</v>
      </c>
      <c r="D1555" s="12">
        <v>2015</v>
      </c>
    </row>
    <row r="1556" spans="1:4" ht="19.899999999999999" customHeight="1">
      <c r="A1556" s="11" t="s">
        <v>13</v>
      </c>
      <c r="B1556" s="12" t="s">
        <v>43</v>
      </c>
      <c r="C1556" s="12">
        <v>147.3154296875</v>
      </c>
      <c r="D1556" s="12">
        <v>2015</v>
      </c>
    </row>
    <row r="1557" spans="1:4" ht="19.899999999999999" customHeight="1">
      <c r="A1557" s="11" t="s">
        <v>14</v>
      </c>
      <c r="B1557" s="12" t="s">
        <v>43</v>
      </c>
      <c r="C1557" s="12">
        <v>141.184814453125</v>
      </c>
      <c r="D1557" s="12">
        <v>2015</v>
      </c>
    </row>
    <row r="1558" spans="1:4" ht="19.899999999999999" customHeight="1">
      <c r="A1558" s="11" t="s">
        <v>15</v>
      </c>
      <c r="B1558" s="12" t="s">
        <v>43</v>
      </c>
      <c r="C1558" s="12">
        <v>75.593269348144503</v>
      </c>
      <c r="D1558" s="12">
        <v>2015</v>
      </c>
    </row>
    <row r="1559" spans="1:4" ht="19.899999999999999" customHeight="1">
      <c r="A1559" s="11" t="s">
        <v>16</v>
      </c>
      <c r="B1559" s="12" t="s">
        <v>43</v>
      </c>
      <c r="C1559" s="12">
        <v>92.412780761718807</v>
      </c>
      <c r="D1559" s="12">
        <v>2015</v>
      </c>
    </row>
    <row r="1560" spans="1:4" ht="19.899999999999999" customHeight="1">
      <c r="A1560" s="11" t="s">
        <v>17</v>
      </c>
      <c r="B1560" s="12" t="s">
        <v>43</v>
      </c>
      <c r="C1560" s="12">
        <v>106.31649017334</v>
      </c>
      <c r="D1560" s="12">
        <v>2015</v>
      </c>
    </row>
    <row r="1561" spans="1:4" ht="19.899999999999999" customHeight="1">
      <c r="A1561" s="11" t="s">
        <v>18</v>
      </c>
      <c r="B1561" s="12" t="s">
        <v>43</v>
      </c>
      <c r="C1561" s="12"/>
      <c r="D1561" s="12">
        <v>2015</v>
      </c>
    </row>
    <row r="1562" spans="1:4" ht="19.899999999999999" customHeight="1">
      <c r="A1562" s="11" t="s">
        <v>19</v>
      </c>
      <c r="B1562" s="12" t="s">
        <v>43</v>
      </c>
      <c r="C1562" s="12">
        <v>134.94105529785199</v>
      </c>
      <c r="D1562" s="12">
        <v>2015</v>
      </c>
    </row>
    <row r="1563" spans="1:4" ht="19.899999999999999" customHeight="1">
      <c r="A1563" s="11" t="s">
        <v>20</v>
      </c>
      <c r="B1563" s="12" t="s">
        <v>43</v>
      </c>
      <c r="C1563" s="12"/>
      <c r="D1563" s="12">
        <v>2015</v>
      </c>
    </row>
    <row r="1564" spans="1:4" ht="19.899999999999999" customHeight="1">
      <c r="A1564" s="11" t="s">
        <v>21</v>
      </c>
      <c r="B1564" s="12" t="s">
        <v>43</v>
      </c>
      <c r="C1564" s="12">
        <v>71.816291809082003</v>
      </c>
      <c r="D1564" s="12">
        <v>2015</v>
      </c>
    </row>
    <row r="1565" spans="1:4" ht="19.899999999999999" customHeight="1">
      <c r="A1565" s="11" t="s">
        <v>22</v>
      </c>
      <c r="B1565" s="12" t="s">
        <v>43</v>
      </c>
      <c r="C1565" s="12">
        <v>135.50137329101599</v>
      </c>
      <c r="D1565" s="12">
        <v>2015</v>
      </c>
    </row>
    <row r="1566" spans="1:4" ht="19.899999999999999" customHeight="1">
      <c r="A1566" s="11" t="s">
        <v>23</v>
      </c>
      <c r="B1566" s="12" t="s">
        <v>43</v>
      </c>
      <c r="C1566" s="12">
        <v>108.44490814209</v>
      </c>
      <c r="D1566" s="12">
        <v>2015</v>
      </c>
    </row>
    <row r="1567" spans="1:4" ht="19.899999999999999" customHeight="1">
      <c r="A1567" s="11" t="s">
        <v>24</v>
      </c>
      <c r="B1567" s="12" t="s">
        <v>43</v>
      </c>
      <c r="C1567" s="12">
        <v>101.67652130127</v>
      </c>
      <c r="D1567" s="12">
        <v>2015</v>
      </c>
    </row>
    <row r="1568" spans="1:4" ht="19.899999999999999" customHeight="1">
      <c r="A1568" s="11" t="s">
        <v>25</v>
      </c>
      <c r="B1568" s="12" t="s">
        <v>43</v>
      </c>
      <c r="C1568" s="12">
        <v>95.180923461914105</v>
      </c>
      <c r="D1568" s="12">
        <v>2015</v>
      </c>
    </row>
    <row r="1569" spans="1:4" ht="19.899999999999999" customHeight="1">
      <c r="A1569" s="11" t="s">
        <v>26</v>
      </c>
      <c r="B1569" s="12" t="s">
        <v>43</v>
      </c>
      <c r="C1569" s="12">
        <v>80.743133544921903</v>
      </c>
      <c r="D1569" s="12">
        <v>2015</v>
      </c>
    </row>
    <row r="1570" spans="1:4" ht="19.899999999999999" customHeight="1">
      <c r="A1570" s="11" t="s">
        <v>27</v>
      </c>
      <c r="B1570" s="12" t="s">
        <v>43</v>
      </c>
      <c r="C1570" s="12">
        <v>98.079063415527301</v>
      </c>
      <c r="D1570" s="12">
        <v>2015</v>
      </c>
    </row>
    <row r="1571" spans="1:4" ht="19.899999999999999" customHeight="1">
      <c r="A1571" s="11" t="s">
        <v>28</v>
      </c>
      <c r="B1571" s="12" t="s">
        <v>43</v>
      </c>
      <c r="C1571" s="12"/>
      <c r="D1571" s="12">
        <v>2015</v>
      </c>
    </row>
    <row r="1572" spans="1:4" ht="19.899999999999999" customHeight="1">
      <c r="A1572" s="11" t="s">
        <v>29</v>
      </c>
      <c r="B1572" s="12" t="s">
        <v>43</v>
      </c>
      <c r="C1572" s="12"/>
      <c r="D1572" s="12">
        <v>2015</v>
      </c>
    </row>
    <row r="1573" spans="1:4" ht="19.899999999999999" customHeight="1">
      <c r="A1573" s="11" t="s">
        <v>4</v>
      </c>
      <c r="B1573" s="12" t="s">
        <v>43</v>
      </c>
      <c r="C1573" s="12">
        <v>130.915283203125</v>
      </c>
      <c r="D1573" s="12">
        <v>2016</v>
      </c>
    </row>
    <row r="1574" spans="1:4" ht="19.899999999999999" customHeight="1">
      <c r="A1574" s="11" t="s">
        <v>5</v>
      </c>
      <c r="B1574" s="12" t="s">
        <v>43</v>
      </c>
      <c r="C1574" s="12">
        <v>119.155067443848</v>
      </c>
      <c r="D1574" s="12">
        <v>2016</v>
      </c>
    </row>
    <row r="1575" spans="1:4" ht="19.899999999999999" customHeight="1">
      <c r="A1575" s="11" t="s">
        <v>6</v>
      </c>
      <c r="B1575" s="12" t="s">
        <v>43</v>
      </c>
      <c r="C1575" s="12">
        <v>88.096817016601605</v>
      </c>
      <c r="D1575" s="12">
        <v>2016</v>
      </c>
    </row>
    <row r="1576" spans="1:4" ht="19.899999999999999" customHeight="1">
      <c r="A1576" s="11" t="s">
        <v>7</v>
      </c>
      <c r="B1576" s="12" t="s">
        <v>43</v>
      </c>
      <c r="C1576" s="12"/>
      <c r="D1576" s="12">
        <v>2016</v>
      </c>
    </row>
    <row r="1577" spans="1:4" ht="19.899999999999999" customHeight="1">
      <c r="A1577" s="11" t="s">
        <v>8</v>
      </c>
      <c r="B1577" s="12" t="s">
        <v>43</v>
      </c>
      <c r="C1577" s="12">
        <v>63.536571502685497</v>
      </c>
      <c r="D1577" s="12">
        <v>2016</v>
      </c>
    </row>
    <row r="1578" spans="1:4" ht="19.899999999999999" customHeight="1">
      <c r="A1578" s="11" t="s">
        <v>1</v>
      </c>
      <c r="B1578" s="12" t="s">
        <v>43</v>
      </c>
      <c r="C1578" s="12"/>
      <c r="D1578" s="12">
        <v>2016</v>
      </c>
    </row>
    <row r="1579" spans="1:4" ht="19.899999999999999" customHeight="1">
      <c r="A1579" s="11" t="s">
        <v>9</v>
      </c>
      <c r="B1579" s="12" t="s">
        <v>43</v>
      </c>
      <c r="C1579" s="12"/>
      <c r="D1579" s="12">
        <v>2016</v>
      </c>
    </row>
    <row r="1580" spans="1:4" ht="19.899999999999999" customHeight="1">
      <c r="A1580" s="11" t="s">
        <v>10</v>
      </c>
      <c r="B1580" s="12" t="s">
        <v>43</v>
      </c>
      <c r="C1580" s="12"/>
      <c r="D1580" s="12">
        <v>2016</v>
      </c>
    </row>
    <row r="1581" spans="1:4" ht="19.899999999999999" customHeight="1">
      <c r="A1581" s="11" t="s">
        <v>11</v>
      </c>
      <c r="B1581" s="12" t="s">
        <v>43</v>
      </c>
      <c r="C1581" s="12">
        <v>105.306991577148</v>
      </c>
      <c r="D1581" s="12">
        <v>2016</v>
      </c>
    </row>
    <row r="1582" spans="1:4" ht="19.899999999999999" customHeight="1">
      <c r="A1582" s="11" t="s">
        <v>38</v>
      </c>
      <c r="B1582" s="12" t="s">
        <v>43</v>
      </c>
      <c r="C1582" s="12"/>
      <c r="D1582" s="12">
        <v>2016</v>
      </c>
    </row>
    <row r="1583" spans="1:4" ht="19.899999999999999" customHeight="1">
      <c r="A1583" s="11" t="s">
        <v>12</v>
      </c>
      <c r="B1583" s="12" t="s">
        <v>43</v>
      </c>
      <c r="C1583" s="12"/>
      <c r="D1583" s="12">
        <v>2016</v>
      </c>
    </row>
    <row r="1584" spans="1:4" ht="19.899999999999999" customHeight="1">
      <c r="A1584" s="11" t="s">
        <v>13</v>
      </c>
      <c r="B1584" s="12" t="s">
        <v>43</v>
      </c>
      <c r="C1584" s="12">
        <v>143.82418823242199</v>
      </c>
      <c r="D1584" s="12">
        <v>2016</v>
      </c>
    </row>
    <row r="1585" spans="1:4" ht="19.899999999999999" customHeight="1">
      <c r="A1585" s="11" t="s">
        <v>14</v>
      </c>
      <c r="B1585" s="12" t="s">
        <v>43</v>
      </c>
      <c r="C1585" s="12">
        <v>139.26449584960901</v>
      </c>
      <c r="D1585" s="12">
        <v>2016</v>
      </c>
    </row>
    <row r="1586" spans="1:4" ht="19.899999999999999" customHeight="1">
      <c r="A1586" s="11" t="s">
        <v>15</v>
      </c>
      <c r="B1586" s="12" t="s">
        <v>43</v>
      </c>
      <c r="C1586" s="12">
        <v>77.079887390136705</v>
      </c>
      <c r="D1586" s="12">
        <v>2016</v>
      </c>
    </row>
    <row r="1587" spans="1:4" ht="19.899999999999999" customHeight="1">
      <c r="A1587" s="11" t="s">
        <v>16</v>
      </c>
      <c r="B1587" s="12" t="s">
        <v>43</v>
      </c>
      <c r="C1587" s="12"/>
      <c r="D1587" s="12">
        <v>2016</v>
      </c>
    </row>
    <row r="1588" spans="1:4" ht="19.899999999999999" customHeight="1">
      <c r="A1588" s="11" t="s">
        <v>17</v>
      </c>
      <c r="B1588" s="12" t="s">
        <v>43</v>
      </c>
      <c r="C1588" s="12"/>
      <c r="D1588" s="12">
        <v>2016</v>
      </c>
    </row>
    <row r="1589" spans="1:4" ht="19.899999999999999" customHeight="1">
      <c r="A1589" s="11" t="s">
        <v>18</v>
      </c>
      <c r="B1589" s="12" t="s">
        <v>43</v>
      </c>
      <c r="C1589" s="12"/>
      <c r="D1589" s="12">
        <v>2016</v>
      </c>
    </row>
    <row r="1590" spans="1:4" ht="19.899999999999999" customHeight="1">
      <c r="A1590" s="11" t="s">
        <v>19</v>
      </c>
      <c r="B1590" s="12" t="s">
        <v>43</v>
      </c>
      <c r="C1590" s="12">
        <v>135.38479614257801</v>
      </c>
      <c r="D1590" s="12">
        <v>2016</v>
      </c>
    </row>
    <row r="1591" spans="1:4" ht="19.899999999999999" customHeight="1">
      <c r="A1591" s="11" t="s">
        <v>20</v>
      </c>
      <c r="B1591" s="12" t="s">
        <v>43</v>
      </c>
      <c r="C1591" s="12"/>
      <c r="D1591" s="12">
        <v>2016</v>
      </c>
    </row>
    <row r="1592" spans="1:4" ht="19.899999999999999" customHeight="1">
      <c r="A1592" s="11" t="s">
        <v>21</v>
      </c>
      <c r="B1592" s="12" t="s">
        <v>43</v>
      </c>
      <c r="C1592" s="12">
        <v>73.691421508789105</v>
      </c>
      <c r="D1592" s="12">
        <v>2016</v>
      </c>
    </row>
    <row r="1593" spans="1:4" ht="19.899999999999999" customHeight="1">
      <c r="A1593" s="11" t="s">
        <v>22</v>
      </c>
      <c r="B1593" s="12" t="s">
        <v>43</v>
      </c>
      <c r="C1593" s="12">
        <v>137.02116394043</v>
      </c>
      <c r="D1593" s="12">
        <v>2016</v>
      </c>
    </row>
    <row r="1594" spans="1:4" ht="19.899999999999999" customHeight="1">
      <c r="A1594" s="11" t="s">
        <v>23</v>
      </c>
      <c r="B1594" s="12" t="s">
        <v>43</v>
      </c>
      <c r="C1594" s="12">
        <v>109.508331298828</v>
      </c>
      <c r="D1594" s="12">
        <v>2016</v>
      </c>
    </row>
    <row r="1595" spans="1:4" ht="19.899999999999999" customHeight="1">
      <c r="A1595" s="11" t="s">
        <v>24</v>
      </c>
      <c r="B1595" s="12" t="s">
        <v>43</v>
      </c>
      <c r="C1595" s="12">
        <v>101.897270202637</v>
      </c>
      <c r="D1595" s="12">
        <v>2016</v>
      </c>
    </row>
    <row r="1596" spans="1:4" ht="19.899999999999999" customHeight="1">
      <c r="A1596" s="11" t="s">
        <v>25</v>
      </c>
      <c r="B1596" s="12" t="s">
        <v>43</v>
      </c>
      <c r="C1596" s="12">
        <v>95.709510803222699</v>
      </c>
      <c r="D1596" s="12">
        <v>2016</v>
      </c>
    </row>
    <row r="1597" spans="1:4" ht="19.899999999999999" customHeight="1">
      <c r="A1597" s="11" t="s">
        <v>26</v>
      </c>
      <c r="B1597" s="12" t="s">
        <v>43</v>
      </c>
      <c r="C1597" s="12"/>
      <c r="D1597" s="12">
        <v>2016</v>
      </c>
    </row>
    <row r="1598" spans="1:4" ht="19.899999999999999" customHeight="1">
      <c r="A1598" s="11" t="s">
        <v>27</v>
      </c>
      <c r="B1598" s="12" t="s">
        <v>43</v>
      </c>
      <c r="C1598" s="12">
        <v>99.7509765625</v>
      </c>
      <c r="D1598" s="12">
        <v>2016</v>
      </c>
    </row>
    <row r="1599" spans="1:4" ht="19.899999999999999" customHeight="1">
      <c r="A1599" s="11" t="s">
        <v>28</v>
      </c>
      <c r="B1599" s="12" t="s">
        <v>43</v>
      </c>
      <c r="C1599" s="12"/>
      <c r="D1599" s="12">
        <v>2016</v>
      </c>
    </row>
    <row r="1600" spans="1:4" ht="19.899999999999999" customHeight="1">
      <c r="A1600" s="11" t="s">
        <v>29</v>
      </c>
      <c r="B1600" s="12" t="s">
        <v>43</v>
      </c>
      <c r="C1600" s="12"/>
      <c r="D1600" s="12">
        <v>2016</v>
      </c>
    </row>
    <row r="1601" spans="1:4" ht="19.899999999999999" customHeight="1">
      <c r="A1601" s="11" t="s">
        <v>4</v>
      </c>
      <c r="B1601" s="12" t="s">
        <v>43</v>
      </c>
      <c r="C1601" s="12"/>
      <c r="D1601" s="12">
        <v>2017</v>
      </c>
    </row>
    <row r="1602" spans="1:4" ht="19.899999999999999" customHeight="1">
      <c r="A1602" s="11" t="s">
        <v>5</v>
      </c>
      <c r="B1602" s="12" t="s">
        <v>43</v>
      </c>
      <c r="C1602" s="12"/>
      <c r="D1602" s="12">
        <v>2017</v>
      </c>
    </row>
    <row r="1603" spans="1:4" ht="19.899999999999999" customHeight="1">
      <c r="A1603" s="11" t="s">
        <v>6</v>
      </c>
      <c r="B1603" s="12" t="s">
        <v>43</v>
      </c>
      <c r="C1603" s="12"/>
      <c r="D1603" s="12">
        <v>2017</v>
      </c>
    </row>
    <row r="1604" spans="1:4" ht="19.899999999999999" customHeight="1">
      <c r="A1604" s="11" t="s">
        <v>7</v>
      </c>
      <c r="B1604" s="12" t="s">
        <v>43</v>
      </c>
      <c r="C1604" s="12"/>
      <c r="D1604" s="12">
        <v>2017</v>
      </c>
    </row>
    <row r="1605" spans="1:4" ht="19.899999999999999" customHeight="1">
      <c r="A1605" s="11" t="s">
        <v>8</v>
      </c>
      <c r="B1605" s="12" t="s">
        <v>43</v>
      </c>
      <c r="C1605" s="12">
        <v>63.901058197021499</v>
      </c>
      <c r="D1605" s="12">
        <v>2017</v>
      </c>
    </row>
    <row r="1606" spans="1:4" ht="19.899999999999999" customHeight="1">
      <c r="A1606" s="11" t="s">
        <v>1</v>
      </c>
      <c r="B1606" s="12" t="s">
        <v>43</v>
      </c>
      <c r="C1606" s="12"/>
      <c r="D1606" s="12">
        <v>2017</v>
      </c>
    </row>
    <row r="1607" spans="1:4" ht="19.899999999999999" customHeight="1">
      <c r="A1607" s="11" t="s">
        <v>9</v>
      </c>
      <c r="B1607" s="12" t="s">
        <v>43</v>
      </c>
      <c r="C1607" s="12"/>
      <c r="D1607" s="12">
        <v>2017</v>
      </c>
    </row>
    <row r="1608" spans="1:4" ht="19.899999999999999" customHeight="1">
      <c r="A1608" s="11" t="s">
        <v>10</v>
      </c>
      <c r="B1608" s="12" t="s">
        <v>43</v>
      </c>
      <c r="C1608" s="12"/>
      <c r="D1608" s="12">
        <v>2017</v>
      </c>
    </row>
    <row r="1609" spans="1:4" ht="19.899999999999999" customHeight="1">
      <c r="A1609" s="11" t="s">
        <v>11</v>
      </c>
      <c r="B1609" s="12" t="s">
        <v>43</v>
      </c>
      <c r="C1609" s="12"/>
      <c r="D1609" s="12">
        <v>2017</v>
      </c>
    </row>
    <row r="1610" spans="1:4" ht="19.899999999999999" customHeight="1">
      <c r="A1610" s="11" t="s">
        <v>38</v>
      </c>
      <c r="B1610" s="12" t="s">
        <v>43</v>
      </c>
      <c r="C1610" s="12"/>
      <c r="D1610" s="12">
        <v>2017</v>
      </c>
    </row>
    <row r="1611" spans="1:4" ht="19.899999999999999" customHeight="1">
      <c r="A1611" s="11" t="s">
        <v>12</v>
      </c>
      <c r="B1611" s="12" t="s">
        <v>43</v>
      </c>
      <c r="C1611" s="12"/>
      <c r="D1611" s="12">
        <v>2017</v>
      </c>
    </row>
    <row r="1612" spans="1:4" ht="19.899999999999999" customHeight="1">
      <c r="A1612" s="11" t="s">
        <v>13</v>
      </c>
      <c r="B1612" s="12" t="s">
        <v>43</v>
      </c>
      <c r="C1612" s="12"/>
      <c r="D1612" s="12">
        <v>2017</v>
      </c>
    </row>
    <row r="1613" spans="1:4" ht="19.899999999999999" customHeight="1">
      <c r="A1613" s="11" t="s">
        <v>14</v>
      </c>
      <c r="B1613" s="12" t="s">
        <v>43</v>
      </c>
      <c r="C1613" s="12"/>
      <c r="D1613" s="12">
        <v>2017</v>
      </c>
    </row>
    <row r="1614" spans="1:4" ht="19.899999999999999" customHeight="1">
      <c r="A1614" s="11" t="s">
        <v>15</v>
      </c>
      <c r="B1614" s="12" t="s">
        <v>43</v>
      </c>
      <c r="C1614" s="12"/>
      <c r="D1614" s="12">
        <v>2017</v>
      </c>
    </row>
    <row r="1615" spans="1:4" ht="19.899999999999999" customHeight="1">
      <c r="A1615" s="11" t="s">
        <v>16</v>
      </c>
      <c r="B1615" s="12" t="s">
        <v>43</v>
      </c>
      <c r="C1615" s="12"/>
      <c r="D1615" s="12">
        <v>2017</v>
      </c>
    </row>
    <row r="1616" spans="1:4" ht="19.899999999999999" customHeight="1">
      <c r="A1616" s="11" t="s">
        <v>17</v>
      </c>
      <c r="B1616" s="12" t="s">
        <v>43</v>
      </c>
      <c r="C1616" s="12"/>
      <c r="D1616" s="12">
        <v>2017</v>
      </c>
    </row>
    <row r="1617" spans="1:4" ht="19.899999999999999" customHeight="1">
      <c r="A1617" s="11" t="s">
        <v>18</v>
      </c>
      <c r="B1617" s="12" t="s">
        <v>43</v>
      </c>
      <c r="C1617" s="12">
        <v>111.637100219727</v>
      </c>
      <c r="D1617" s="12">
        <v>2017</v>
      </c>
    </row>
    <row r="1618" spans="1:4" ht="19.899999999999999" customHeight="1">
      <c r="A1618" s="11" t="s">
        <v>19</v>
      </c>
      <c r="B1618" s="12" t="s">
        <v>43</v>
      </c>
      <c r="C1618" s="12">
        <v>134.12059020996099</v>
      </c>
      <c r="D1618" s="12">
        <v>2017</v>
      </c>
    </row>
    <row r="1619" spans="1:4" ht="19.899999999999999" customHeight="1">
      <c r="A1619" s="11" t="s">
        <v>20</v>
      </c>
      <c r="B1619" s="12" t="s">
        <v>43</v>
      </c>
      <c r="C1619" s="12"/>
      <c r="D1619" s="12">
        <v>2017</v>
      </c>
    </row>
    <row r="1620" spans="1:4" ht="19.899999999999999" customHeight="1">
      <c r="A1620" s="11" t="s">
        <v>21</v>
      </c>
      <c r="B1620" s="12" t="s">
        <v>43</v>
      </c>
      <c r="C1620" s="12"/>
      <c r="D1620" s="12">
        <v>2017</v>
      </c>
    </row>
    <row r="1621" spans="1:4" ht="19.899999999999999" customHeight="1">
      <c r="A1621" s="11" t="s">
        <v>22</v>
      </c>
      <c r="B1621" s="12" t="s">
        <v>43</v>
      </c>
      <c r="C1621" s="12"/>
      <c r="D1621" s="12">
        <v>2017</v>
      </c>
    </row>
    <row r="1622" spans="1:4" ht="19.899999999999999" customHeight="1">
      <c r="A1622" s="11" t="s">
        <v>23</v>
      </c>
      <c r="B1622" s="12" t="s">
        <v>43</v>
      </c>
      <c r="C1622" s="12">
        <v>110.23397827148401</v>
      </c>
      <c r="D1622" s="12">
        <v>2017</v>
      </c>
    </row>
    <row r="1623" spans="1:4" ht="19.899999999999999" customHeight="1">
      <c r="A1623" s="11" t="s">
        <v>24</v>
      </c>
      <c r="B1623" s="12" t="s">
        <v>43</v>
      </c>
      <c r="C1623" s="12"/>
      <c r="D1623" s="12">
        <v>2017</v>
      </c>
    </row>
    <row r="1624" spans="1:4" ht="19.899999999999999" customHeight="1">
      <c r="A1624" s="11" t="s">
        <v>25</v>
      </c>
      <c r="B1624" s="12" t="s">
        <v>43</v>
      </c>
      <c r="C1624" s="12">
        <v>98.808341979980497</v>
      </c>
      <c r="D1624" s="12">
        <v>2017</v>
      </c>
    </row>
    <row r="1625" spans="1:4" ht="19.899999999999999" customHeight="1">
      <c r="A1625" s="11" t="s">
        <v>26</v>
      </c>
      <c r="B1625" s="12" t="s">
        <v>43</v>
      </c>
      <c r="C1625" s="12"/>
      <c r="D1625" s="12">
        <v>2017</v>
      </c>
    </row>
    <row r="1626" spans="1:4" ht="19.899999999999999" customHeight="1">
      <c r="A1626" s="11" t="s">
        <v>27</v>
      </c>
      <c r="B1626" s="12" t="s">
        <v>43</v>
      </c>
      <c r="C1626" s="12"/>
      <c r="D1626" s="12">
        <v>2017</v>
      </c>
    </row>
    <row r="1627" spans="1:4" ht="19.899999999999999" customHeight="1">
      <c r="A1627" s="11" t="s">
        <v>28</v>
      </c>
      <c r="B1627" s="12" t="s">
        <v>43</v>
      </c>
      <c r="C1627" s="12"/>
      <c r="D1627" s="12">
        <v>2017</v>
      </c>
    </row>
    <row r="1628" spans="1:4" ht="19.899999999999999" customHeight="1">
      <c r="A1628" s="11" t="s">
        <v>29</v>
      </c>
      <c r="B1628" s="12" t="s">
        <v>43</v>
      </c>
      <c r="C1628" s="12"/>
      <c r="D1628" s="12">
        <v>2017</v>
      </c>
    </row>
  </sheetData>
  <mergeCells count="2">
    <mergeCell ref="G2:K2"/>
    <mergeCell ref="J4:K4"/>
  </mergeCells>
  <phoneticPr fontId="11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nlever">
                <anchor moveWithCells="1" siz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1009650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fficher">
                <anchor moveWithCells="1" sizeWithCells="1">
                  <from>
                    <xdr:col>4</xdr:col>
                    <xdr:colOff>819150</xdr:colOff>
                    <xdr:row>4</xdr:row>
                    <xdr:rowOff>0</xdr:rowOff>
                  </from>
                  <to>
                    <xdr:col>5</xdr:col>
                    <xdr:colOff>1009650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omite 5">
              <controlPr defaultSize="0" print="0" autoFill="0" autoPict="0" macro="[0]!SelectSheet">
                <anchor moveWithCells="1" sizeWithCells="1">
                  <from>
                    <xdr:col>5</xdr:col>
                    <xdr:colOff>9525</xdr:colOff>
                    <xdr:row>8</xdr:row>
                    <xdr:rowOff>47625</xdr:rowOff>
                  </from>
                  <to>
                    <xdr:col>5</xdr:col>
                    <xdr:colOff>1009650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W86"/>
  <sheetViews>
    <sheetView topLeftCell="A50" workbookViewId="0">
      <selection activeCell="C26" sqref="C26:C73"/>
    </sheetView>
  </sheetViews>
  <sheetFormatPr baseColWidth="10" defaultColWidth="8" defaultRowHeight="15"/>
  <cols>
    <col min="1" max="16384" width="8" style="1"/>
  </cols>
  <sheetData>
    <row r="1" spans="1:49">
      <c r="A1" s="5" t="s">
        <v>3</v>
      </c>
      <c r="B1" s="6">
        <v>1970</v>
      </c>
      <c r="C1" s="6">
        <v>1971</v>
      </c>
      <c r="D1" s="6">
        <v>1972</v>
      </c>
      <c r="E1" s="6">
        <v>1973</v>
      </c>
      <c r="F1" s="6">
        <v>1974</v>
      </c>
      <c r="G1" s="6">
        <v>1975</v>
      </c>
      <c r="H1" s="6">
        <v>1976</v>
      </c>
      <c r="I1" s="6">
        <v>1977</v>
      </c>
      <c r="J1" s="6">
        <v>1978</v>
      </c>
      <c r="K1" s="6">
        <v>1979</v>
      </c>
      <c r="L1" s="6">
        <v>1980</v>
      </c>
      <c r="M1" s="6">
        <v>1981</v>
      </c>
      <c r="N1" s="6">
        <v>1982</v>
      </c>
      <c r="O1" s="6">
        <v>1983</v>
      </c>
      <c r="P1" s="6">
        <v>1984</v>
      </c>
      <c r="Q1" s="6">
        <v>1985</v>
      </c>
      <c r="R1" s="6">
        <v>1986</v>
      </c>
      <c r="S1" s="6">
        <v>1987</v>
      </c>
      <c r="T1" s="6">
        <v>1988</v>
      </c>
      <c r="U1" s="6">
        <v>1989</v>
      </c>
      <c r="V1" s="6">
        <v>1990</v>
      </c>
      <c r="W1" s="6">
        <v>1991</v>
      </c>
      <c r="X1" s="6">
        <v>1992</v>
      </c>
      <c r="Y1" s="6">
        <v>1993</v>
      </c>
      <c r="Z1" s="6">
        <v>1994</v>
      </c>
      <c r="AA1" s="6">
        <v>1995</v>
      </c>
      <c r="AB1" s="6">
        <v>1996</v>
      </c>
      <c r="AC1" s="6">
        <v>1997</v>
      </c>
      <c r="AD1" s="6">
        <v>1998</v>
      </c>
      <c r="AE1" s="6">
        <v>1999</v>
      </c>
      <c r="AF1" s="6">
        <v>2000</v>
      </c>
      <c r="AG1" s="6">
        <v>2001</v>
      </c>
      <c r="AH1" s="6">
        <v>2002</v>
      </c>
      <c r="AI1" s="6">
        <v>2003</v>
      </c>
      <c r="AJ1" s="6">
        <v>2004</v>
      </c>
      <c r="AK1" s="6">
        <v>2005</v>
      </c>
      <c r="AL1" s="6">
        <v>2006</v>
      </c>
      <c r="AM1" s="6">
        <v>2007</v>
      </c>
      <c r="AN1" s="6">
        <v>2008</v>
      </c>
      <c r="AO1" s="6">
        <v>2009</v>
      </c>
      <c r="AP1" s="6">
        <v>2010</v>
      </c>
      <c r="AQ1" s="6">
        <v>2011</v>
      </c>
      <c r="AR1" s="6">
        <v>2012</v>
      </c>
      <c r="AS1" s="6">
        <v>2013</v>
      </c>
      <c r="AT1" s="6">
        <v>2014</v>
      </c>
      <c r="AU1" s="6">
        <v>2015</v>
      </c>
      <c r="AV1" s="6">
        <v>2016</v>
      </c>
      <c r="AW1" s="6">
        <v>2017</v>
      </c>
    </row>
    <row r="2" spans="1:49">
      <c r="A2" s="5" t="s">
        <v>4</v>
      </c>
      <c r="E2" s="1">
        <v>81.225128173828097</v>
      </c>
      <c r="J2" s="1">
        <v>82.583038330078097</v>
      </c>
      <c r="L2" s="1">
        <v>80.837600708007798</v>
      </c>
      <c r="M2" s="1">
        <v>78.840316772460895</v>
      </c>
      <c r="N2" s="1">
        <v>75.389266967773395</v>
      </c>
      <c r="O2" s="1">
        <v>69.008720397949205</v>
      </c>
      <c r="P2" s="1">
        <v>64.124259948730497</v>
      </c>
      <c r="Q2" s="1">
        <v>59.773941040039098</v>
      </c>
      <c r="R2" s="1">
        <v>57.314220428466697</v>
      </c>
      <c r="S2" s="1">
        <v>52.312461853027301</v>
      </c>
      <c r="T2" s="1">
        <v>49.840511322021499</v>
      </c>
      <c r="Y2" s="1">
        <v>49.805229187011697</v>
      </c>
      <c r="AF2" s="1">
        <v>57.698318481445298</v>
      </c>
      <c r="AG2" s="1">
        <v>48.765731811523402</v>
      </c>
      <c r="AH2" s="1">
        <v>49.418758392333999</v>
      </c>
      <c r="AI2" s="1">
        <v>45.889209747314503</v>
      </c>
      <c r="AJ2" s="1">
        <v>44.272411346435497</v>
      </c>
      <c r="AK2" s="1">
        <v>41.088539123535199</v>
      </c>
      <c r="AL2" s="1">
        <v>24.300609588623001</v>
      </c>
      <c r="AM2" s="1">
        <v>17.243190765380898</v>
      </c>
      <c r="AN2" s="1">
        <v>6.6481699943542498</v>
      </c>
      <c r="AO2" s="1">
        <v>8.3535299301147496</v>
      </c>
      <c r="AP2" s="1">
        <v>2.9864799976348899</v>
      </c>
    </row>
    <row r="3" spans="1:49">
      <c r="A3" s="5" t="s">
        <v>5</v>
      </c>
      <c r="C3" s="1">
        <v>35.5182914733887</v>
      </c>
      <c r="D3" s="1">
        <v>36.585720062255902</v>
      </c>
      <c r="E3" s="1">
        <v>38.345569610595703</v>
      </c>
      <c r="F3" s="1">
        <v>40.461521148681598</v>
      </c>
      <c r="G3" s="1">
        <v>33.838111877441399</v>
      </c>
      <c r="H3" s="1">
        <v>32.3071899414063</v>
      </c>
      <c r="I3" s="1">
        <v>33.590518951416001</v>
      </c>
      <c r="J3" s="1">
        <v>32.2340698242188</v>
      </c>
      <c r="K3" s="1">
        <v>31.284490585327099</v>
      </c>
      <c r="L3" s="1">
        <v>31.043220520019499</v>
      </c>
      <c r="T3" s="1">
        <v>25.159620285034201</v>
      </c>
      <c r="V3" s="1">
        <v>26.0283603668213</v>
      </c>
      <c r="W3" s="1">
        <v>27.931259155273398</v>
      </c>
      <c r="AN3" s="1">
        <v>13.4756498336791</v>
      </c>
      <c r="AO3" s="1">
        <v>10.778710365295399</v>
      </c>
      <c r="AQ3" s="1">
        <v>8.9086999893188494</v>
      </c>
      <c r="AR3" s="1">
        <v>5.8653697967529199</v>
      </c>
      <c r="AT3" s="1">
        <v>5.20281982421875</v>
      </c>
      <c r="AV3" s="1">
        <v>4.7259798049926802</v>
      </c>
    </row>
    <row r="4" spans="1:49">
      <c r="A4" s="5" t="s">
        <v>6</v>
      </c>
      <c r="G4" s="1">
        <v>75.819480895995994</v>
      </c>
      <c r="I4" s="1">
        <v>75.2796630859375</v>
      </c>
      <c r="T4" s="1">
        <v>66.616020202636705</v>
      </c>
      <c r="AB4" s="1">
        <v>62.633609771728501</v>
      </c>
      <c r="AC4" s="1">
        <v>57.276290893554702</v>
      </c>
      <c r="AD4" s="1">
        <v>52.109439849853501</v>
      </c>
      <c r="AE4" s="1">
        <v>50.200038909912102</v>
      </c>
      <c r="AF4" s="1">
        <v>48.530559539794901</v>
      </c>
      <c r="AG4" s="1">
        <v>47.320880889892599</v>
      </c>
      <c r="AH4" s="1">
        <v>43.823219299316399</v>
      </c>
      <c r="AI4" s="1">
        <v>42.282550811767599</v>
      </c>
      <c r="AQ4" s="1">
        <v>37.141361236572301</v>
      </c>
      <c r="AS4" s="1">
        <v>21.0815105438232</v>
      </c>
    </row>
    <row r="5" spans="1:49">
      <c r="A5" s="5" t="s">
        <v>7</v>
      </c>
      <c r="O5" s="1">
        <v>12.6695098876953</v>
      </c>
      <c r="R5" s="1">
        <v>16.5177192687988</v>
      </c>
      <c r="S5" s="1">
        <v>24.3714809417725</v>
      </c>
      <c r="Z5" s="1">
        <v>30.777809143066399</v>
      </c>
      <c r="AE5" s="1">
        <v>39.206039428710902</v>
      </c>
      <c r="AF5" s="1">
        <v>32.5052680969238</v>
      </c>
      <c r="AM5" s="1">
        <v>20.825870513916001</v>
      </c>
      <c r="AS5" s="1">
        <v>13.285240173339799</v>
      </c>
      <c r="AT5" s="1">
        <v>17.282600402831999</v>
      </c>
    </row>
    <row r="6" spans="1:49">
      <c r="A6" s="5" t="s">
        <v>8</v>
      </c>
      <c r="Q6" s="1">
        <v>74.861091613769503</v>
      </c>
      <c r="R6" s="1">
        <v>73.289642333984403</v>
      </c>
      <c r="S6" s="1">
        <v>73.106208801269503</v>
      </c>
      <c r="T6" s="1">
        <v>73.229537963867202</v>
      </c>
      <c r="U6" s="1">
        <v>73.266143798828097</v>
      </c>
      <c r="V6" s="1">
        <v>72.802810668945298</v>
      </c>
      <c r="W6" s="1">
        <v>72.738098144531307</v>
      </c>
      <c r="X6" s="1">
        <v>71.538856506347699</v>
      </c>
      <c r="Y6" s="1">
        <v>73.789291381835895</v>
      </c>
      <c r="Z6" s="1">
        <v>72.914169311523395</v>
      </c>
      <c r="AA6" s="1">
        <v>71.857337951660199</v>
      </c>
      <c r="AB6" s="1">
        <v>71.887290954589801</v>
      </c>
      <c r="AC6" s="1">
        <v>72.962631225585895</v>
      </c>
      <c r="AE6" s="1">
        <v>73.140609741210895</v>
      </c>
      <c r="AF6" s="1">
        <v>72.966667175292997</v>
      </c>
      <c r="AG6" s="1">
        <v>70.286453247070298</v>
      </c>
      <c r="AH6" s="1">
        <v>68.647277832031307</v>
      </c>
      <c r="AJ6" s="1">
        <v>64.669677734375</v>
      </c>
      <c r="AK6" s="1">
        <v>63.121898651122997</v>
      </c>
      <c r="AL6" s="1">
        <v>60.1103515625</v>
      </c>
      <c r="AM6" s="1">
        <v>56.7195014953613</v>
      </c>
      <c r="AN6" s="1">
        <v>53.440601348877003</v>
      </c>
      <c r="AO6" s="1">
        <v>54.2069091796875</v>
      </c>
      <c r="AQ6" s="1">
        <v>45.988048553466697</v>
      </c>
      <c r="AS6" s="1">
        <v>45.868419647216697</v>
      </c>
      <c r="AT6" s="1">
        <v>38.056430816650398</v>
      </c>
      <c r="AU6" s="1">
        <v>44.407260894775398</v>
      </c>
      <c r="AV6" s="1">
        <v>47.578090667724602</v>
      </c>
      <c r="AW6" s="1">
        <v>40.927219390869098</v>
      </c>
    </row>
    <row r="7" spans="1:49">
      <c r="A7" s="5" t="s">
        <v>1</v>
      </c>
      <c r="S7" s="1">
        <v>70.650466918945298</v>
      </c>
      <c r="T7" s="1">
        <v>70.094741821289105</v>
      </c>
      <c r="U7" s="1">
        <v>71.365493774414105</v>
      </c>
      <c r="Z7" s="1">
        <v>80.894607543945298</v>
      </c>
      <c r="AA7" s="1">
        <v>78.1546630859375</v>
      </c>
      <c r="AB7" s="1">
        <v>73.933761596679702</v>
      </c>
      <c r="AD7" s="1">
        <v>66.499549865722699</v>
      </c>
      <c r="AE7" s="1">
        <v>64.007720947265597</v>
      </c>
      <c r="AF7" s="1">
        <v>59.9315795898438</v>
      </c>
      <c r="AG7" s="1">
        <v>55.669109344482401</v>
      </c>
      <c r="AH7" s="1">
        <v>53.435169219970703</v>
      </c>
      <c r="AI7" s="1">
        <v>52.647491455078097</v>
      </c>
      <c r="AJ7" s="1">
        <v>49.771209716796903</v>
      </c>
      <c r="AK7" s="1">
        <v>38.842800140380902</v>
      </c>
      <c r="AL7" s="1">
        <v>34.163490295410199</v>
      </c>
      <c r="AM7" s="1">
        <v>28.994960784912099</v>
      </c>
      <c r="AN7" s="1">
        <v>23.365360260009801</v>
      </c>
      <c r="AO7" s="1">
        <v>23.799770355224599</v>
      </c>
      <c r="AP7" s="1">
        <v>25.711769104003899</v>
      </c>
      <c r="AQ7" s="1">
        <v>21.749940872192401</v>
      </c>
      <c r="AR7" s="1">
        <v>20.509889602661101</v>
      </c>
      <c r="AT7" s="1">
        <v>13.6830501556396</v>
      </c>
      <c r="AU7" s="1">
        <v>13.980970382690399</v>
      </c>
    </row>
    <row r="8" spans="1:49">
      <c r="A8" s="5" t="s">
        <v>9</v>
      </c>
      <c r="P8" s="1">
        <v>72.063758850097699</v>
      </c>
      <c r="Q8" s="1">
        <v>69.0511474609375</v>
      </c>
      <c r="R8" s="1">
        <v>71.427261352539105</v>
      </c>
      <c r="S8" s="1">
        <v>73.640213012695298</v>
      </c>
      <c r="T8" s="1">
        <v>72.715408325195298</v>
      </c>
      <c r="U8" s="1">
        <v>72.972717285156307</v>
      </c>
      <c r="V8" s="1">
        <v>73.973457336425795</v>
      </c>
      <c r="W8" s="1">
        <v>72.208793640136705</v>
      </c>
      <c r="AD8" s="1">
        <v>60.631038665771499</v>
      </c>
      <c r="AE8" s="1">
        <v>58.165779113769503</v>
      </c>
      <c r="AF8" s="1">
        <v>55.057781219482401</v>
      </c>
      <c r="AG8" s="1">
        <v>51.607719421386697</v>
      </c>
      <c r="AH8" s="1">
        <v>44.285671234130902</v>
      </c>
      <c r="AI8" s="1">
        <v>40.805339813232401</v>
      </c>
      <c r="AJ8" s="1">
        <v>37.753261566162102</v>
      </c>
      <c r="AK8" s="1">
        <v>35.709609985351598</v>
      </c>
      <c r="AL8" s="1">
        <v>33.434120178222699</v>
      </c>
      <c r="AM8" s="1">
        <v>31.366130828857401</v>
      </c>
      <c r="AN8" s="1">
        <v>32.245361328125</v>
      </c>
      <c r="AO8" s="1">
        <v>30.773939132690401</v>
      </c>
      <c r="AP8" s="1">
        <v>28.332450866699201</v>
      </c>
      <c r="AQ8" s="1">
        <v>24.164869308471701</v>
      </c>
      <c r="AR8" s="1">
        <v>24.564069747924801</v>
      </c>
      <c r="AS8" s="1">
        <v>23.430049896240199</v>
      </c>
      <c r="AT8" s="1">
        <v>19.7005100250244</v>
      </c>
    </row>
    <row r="9" spans="1:49">
      <c r="A9" s="5" t="s">
        <v>11</v>
      </c>
      <c r="AE9" s="1">
        <v>37.345001220703097</v>
      </c>
      <c r="AF9" s="1">
        <v>34.523269653320298</v>
      </c>
      <c r="AG9" s="1">
        <v>33.348579406738303</v>
      </c>
      <c r="AH9" s="1">
        <v>38.686729431152301</v>
      </c>
      <c r="AI9" s="1">
        <v>27.344160079956101</v>
      </c>
      <c r="AJ9" s="1">
        <v>29.110919952392599</v>
      </c>
      <c r="AK9" s="1">
        <v>28.304969787597699</v>
      </c>
      <c r="AL9" s="1">
        <v>29.1061496734619</v>
      </c>
      <c r="AM9" s="1">
        <v>18.991039276123001</v>
      </c>
      <c r="AN9" s="1">
        <v>22.746309280395501</v>
      </c>
      <c r="AO9" s="1">
        <v>21.1285591125488</v>
      </c>
      <c r="AR9" s="1">
        <v>16.8809509277344</v>
      </c>
    </row>
    <row r="10" spans="1:49">
      <c r="A10" s="5" t="s">
        <v>13</v>
      </c>
      <c r="D10" s="1">
        <v>32.875728607177699</v>
      </c>
      <c r="U10" s="1">
        <v>34.293659210205099</v>
      </c>
      <c r="V10" s="1">
        <v>35.745109558105497</v>
      </c>
      <c r="AA10" s="1">
        <v>45.289051055908203</v>
      </c>
      <c r="AB10" s="1">
        <v>43.080238342285199</v>
      </c>
      <c r="AE10" s="1">
        <v>35.077560424804702</v>
      </c>
      <c r="AF10" s="1">
        <v>33.608871459960902</v>
      </c>
      <c r="AG10" s="1">
        <v>32.344928741455099</v>
      </c>
      <c r="AH10" s="1">
        <v>31.582109451293899</v>
      </c>
      <c r="AI10" s="1">
        <v>21.911869049072301</v>
      </c>
    </row>
    <row r="11" spans="1:49">
      <c r="A11" s="5" t="s">
        <v>14</v>
      </c>
      <c r="AE11" s="1">
        <v>4.5210299491882298</v>
      </c>
      <c r="AH11" s="1">
        <v>1.4927999973297099</v>
      </c>
      <c r="AJ11" s="1">
        <v>2.7415599822997998</v>
      </c>
      <c r="AK11" s="1">
        <v>3.28424000740051</v>
      </c>
      <c r="AL11" s="1">
        <v>4.77695989608765</v>
      </c>
      <c r="AM11" s="1">
        <v>9.2419795989990199</v>
      </c>
      <c r="AN11" s="1">
        <v>3.03306007385254</v>
      </c>
      <c r="AO11" s="1">
        <v>3.1748099327087398</v>
      </c>
    </row>
    <row r="12" spans="1:49">
      <c r="A12" s="5" t="s">
        <v>15</v>
      </c>
      <c r="C12" s="1">
        <v>82.985198974609403</v>
      </c>
      <c r="D12" s="1">
        <v>82.302169799804702</v>
      </c>
      <c r="E12" s="1">
        <v>81.931060791015597</v>
      </c>
      <c r="F12" s="1">
        <v>79.457588195800795</v>
      </c>
      <c r="I12" s="1">
        <v>79.328147888183494</v>
      </c>
      <c r="AE12" s="1">
        <v>56.035129547119098</v>
      </c>
      <c r="AH12" s="1">
        <v>48.495311737060497</v>
      </c>
      <c r="AI12" s="1">
        <v>48.521919250488303</v>
      </c>
      <c r="AJ12" s="1">
        <v>48.512989044189503</v>
      </c>
      <c r="AK12" s="1">
        <v>43.473918914794901</v>
      </c>
      <c r="AL12" s="1">
        <v>42.152050018310497</v>
      </c>
      <c r="AM12" s="1">
        <v>40.001541137695298</v>
      </c>
      <c r="AO12" s="1">
        <v>32.890579223632798</v>
      </c>
      <c r="AP12" s="1">
        <v>31.8207893371582</v>
      </c>
      <c r="AQ12" s="1">
        <v>30.825790405273398</v>
      </c>
      <c r="AR12" s="1">
        <v>33.035469055175803</v>
      </c>
      <c r="AS12" s="1">
        <v>37.4722290039063</v>
      </c>
      <c r="AT12" s="1">
        <v>36.606460571289098</v>
      </c>
      <c r="AU12" s="1">
        <v>39.432060241699197</v>
      </c>
      <c r="AV12" s="1">
        <v>37.934040069580099</v>
      </c>
    </row>
    <row r="13" spans="1:49">
      <c r="A13" s="5" t="s">
        <v>16</v>
      </c>
      <c r="AF13" s="1">
        <v>7.4392600059509304</v>
      </c>
      <c r="AG13" s="1">
        <v>4.4134497642517099</v>
      </c>
      <c r="AH13" s="1">
        <v>4.0360698699951199</v>
      </c>
      <c r="AI13" s="1">
        <v>3.3611199855804399</v>
      </c>
      <c r="AJ13" s="1">
        <v>3.37089991569519</v>
      </c>
      <c r="AK13" s="1">
        <v>6.6279997825622603</v>
      </c>
      <c r="AL13" s="1">
        <v>9.3655195236206108</v>
      </c>
      <c r="AM13" s="1">
        <v>9.9883003234863299</v>
      </c>
      <c r="AN13" s="1">
        <v>9.5364704132080096</v>
      </c>
      <c r="AO13" s="1">
        <v>9.9661397933959996</v>
      </c>
      <c r="AP13" s="1">
        <v>9.8948602676391602</v>
      </c>
      <c r="AQ13" s="1">
        <v>9.4221000671386701</v>
      </c>
      <c r="AR13" s="1">
        <v>9.4718303680419904</v>
      </c>
      <c r="AS13" s="1">
        <v>9.4200897216796893</v>
      </c>
      <c r="AT13" s="1">
        <v>9.9982500076293892</v>
      </c>
      <c r="AU13" s="1">
        <v>10.0500297546387</v>
      </c>
    </row>
    <row r="14" spans="1:49">
      <c r="A14" s="5" t="s">
        <v>17</v>
      </c>
      <c r="E14" s="1">
        <v>66.359481811523395</v>
      </c>
      <c r="K14" s="1">
        <v>62.916191101074197</v>
      </c>
      <c r="M14" s="1">
        <v>65.215606689453097</v>
      </c>
      <c r="N14" s="1">
        <v>65.536087036132798</v>
      </c>
      <c r="O14" s="1">
        <v>52.081871032714801</v>
      </c>
      <c r="Q14" s="1">
        <v>49.310539245605497</v>
      </c>
      <c r="R14" s="1">
        <v>50.107311248779197</v>
      </c>
      <c r="S14" s="1">
        <v>53.472179412841697</v>
      </c>
      <c r="T14" s="1">
        <v>57.178581237792997</v>
      </c>
      <c r="U14" s="1">
        <v>56.6938285827637</v>
      </c>
      <c r="V14" s="1">
        <v>54.905448913574197</v>
      </c>
      <c r="W14" s="1">
        <v>56.557201385497997</v>
      </c>
      <c r="X14" s="1">
        <v>58.254520416259801</v>
      </c>
      <c r="Y14" s="1">
        <v>59.304420471191399</v>
      </c>
      <c r="Z14" s="1">
        <v>58.193599700927699</v>
      </c>
      <c r="AA14" s="1">
        <v>55.930450439453097</v>
      </c>
      <c r="AD14" s="1">
        <v>51.415740966796903</v>
      </c>
      <c r="AE14" s="1">
        <v>47.957569122314503</v>
      </c>
      <c r="AF14" s="1">
        <v>44.403099060058601</v>
      </c>
      <c r="AG14" s="1">
        <v>40.165569305419901</v>
      </c>
      <c r="AH14" s="1">
        <v>44.5908393859863</v>
      </c>
      <c r="AJ14" s="1">
        <v>31.928390502929702</v>
      </c>
      <c r="AK14" s="1">
        <v>26.9279899597168</v>
      </c>
      <c r="AL14" s="1">
        <v>23.123500823974599</v>
      </c>
      <c r="AM14" s="1">
        <v>18.029689788818398</v>
      </c>
      <c r="AN14" s="1">
        <v>14.666210174560501</v>
      </c>
      <c r="AO14" s="1">
        <v>13.4407796859741</v>
      </c>
      <c r="AP14" s="1">
        <v>11.9551696777344</v>
      </c>
      <c r="AQ14" s="1">
        <v>13.989560127258301</v>
      </c>
      <c r="AR14" s="1">
        <v>13.666449546814</v>
      </c>
      <c r="AS14" s="1">
        <v>12.5357303619385</v>
      </c>
      <c r="AT14" s="1">
        <v>11.868029594421399</v>
      </c>
      <c r="AU14" s="1">
        <v>10.4336996078491</v>
      </c>
    </row>
    <row r="15" spans="1:49">
      <c r="A15" s="5" t="s">
        <v>18</v>
      </c>
      <c r="C15" s="1">
        <v>36.297798156738303</v>
      </c>
      <c r="E15" s="1">
        <v>28.597900390625</v>
      </c>
      <c r="F15" s="1">
        <v>38.294231414794901</v>
      </c>
      <c r="J15" s="1">
        <v>32.810710906982401</v>
      </c>
      <c r="AF15" s="1">
        <v>7.80748987197875</v>
      </c>
      <c r="AG15" s="1">
        <v>6.5382199287414604</v>
      </c>
      <c r="AH15" s="1">
        <v>8.6542301177978498</v>
      </c>
      <c r="AI15" s="1">
        <v>6.7411298751831099</v>
      </c>
      <c r="AJ15" s="1">
        <v>8.2099704742431605</v>
      </c>
      <c r="AK15" s="1">
        <v>8.4961595535278303</v>
      </c>
      <c r="AL15" s="1">
        <v>8.8251600265502894</v>
      </c>
      <c r="AM15" s="1">
        <v>8.7265901565551793</v>
      </c>
      <c r="AN15" s="1">
        <v>8.3024101257324201</v>
      </c>
      <c r="AO15" s="1">
        <v>9.8562803268432599</v>
      </c>
      <c r="AP15" s="1">
        <v>10.424400329589799</v>
      </c>
      <c r="AT15" s="1">
        <v>3.7886099815368701</v>
      </c>
      <c r="AW15" s="1">
        <v>0.45471000671386702</v>
      </c>
    </row>
    <row r="16" spans="1:49">
      <c r="A16" s="5" t="s">
        <v>19</v>
      </c>
      <c r="O16" s="1">
        <v>40.593311309814503</v>
      </c>
      <c r="P16" s="1">
        <v>39.385410308837898</v>
      </c>
      <c r="T16" s="1">
        <v>33.372161865234403</v>
      </c>
      <c r="AE16" s="1">
        <v>33.607231140136697</v>
      </c>
      <c r="AF16" s="1">
        <v>27.319429397583001</v>
      </c>
      <c r="AI16" s="1">
        <v>19.5440998077393</v>
      </c>
      <c r="AJ16" s="1">
        <v>18.853000640869102</v>
      </c>
      <c r="AQ16" s="1">
        <v>1.55472004413605</v>
      </c>
      <c r="AR16" s="1">
        <v>0.41460999846458402</v>
      </c>
      <c r="AT16" s="1">
        <v>5.6740198135376003</v>
      </c>
      <c r="AU16" s="1">
        <v>3.2266199588775599</v>
      </c>
      <c r="AV16" s="1">
        <v>3.2333800792694101</v>
      </c>
      <c r="AW16" s="1">
        <v>5.1637601852417001</v>
      </c>
    </row>
    <row r="17" spans="1:49">
      <c r="A17" s="5" t="s">
        <v>20</v>
      </c>
      <c r="B17" s="1">
        <v>47.5801811218262</v>
      </c>
      <c r="C17" s="1">
        <v>44.766059875488303</v>
      </c>
      <c r="D17" s="1">
        <v>44.979679107666001</v>
      </c>
      <c r="E17" s="1">
        <v>44.282749176025398</v>
      </c>
      <c r="F17" s="1">
        <v>44.381221771240199</v>
      </c>
      <c r="G17" s="1">
        <v>42.480300903320298</v>
      </c>
      <c r="H17" s="1">
        <v>41.252529144287102</v>
      </c>
      <c r="I17" s="1">
        <v>42.178638458252003</v>
      </c>
      <c r="J17" s="1">
        <v>44.210109710693402</v>
      </c>
      <c r="L17" s="1">
        <v>35.602939605712898</v>
      </c>
      <c r="N17" s="1">
        <v>37.004581451416001</v>
      </c>
      <c r="O17" s="1">
        <v>36.545539855957003</v>
      </c>
      <c r="P17" s="1">
        <v>38.048618316650398</v>
      </c>
      <c r="Q17" s="1">
        <v>33.930568695068402</v>
      </c>
      <c r="R17" s="1">
        <v>35.0548095703125</v>
      </c>
      <c r="S17" s="1">
        <v>33.445320129394503</v>
      </c>
      <c r="T17" s="1">
        <v>33.228271484375</v>
      </c>
      <c r="U17" s="1">
        <v>34.956161499023402</v>
      </c>
      <c r="V17" s="1">
        <v>32.483100891113303</v>
      </c>
      <c r="W17" s="1">
        <v>29.837619781494102</v>
      </c>
      <c r="X17" s="1">
        <v>26.4221096038818</v>
      </c>
      <c r="Y17" s="1">
        <v>25.676509857177699</v>
      </c>
      <c r="Z17" s="1">
        <v>24.776649475097699</v>
      </c>
      <c r="AA17" s="1">
        <v>26.565580368041999</v>
      </c>
      <c r="AB17" s="1">
        <v>27.286939620971701</v>
      </c>
      <c r="AE17" s="1">
        <v>17.341089248657202</v>
      </c>
      <c r="AF17" s="1">
        <v>14.0674600601196</v>
      </c>
      <c r="AG17" s="1">
        <v>9.8171796798706108</v>
      </c>
      <c r="AH17" s="1">
        <v>2.5727300643920801</v>
      </c>
      <c r="AJ17" s="1">
        <v>0.82656002044677701</v>
      </c>
      <c r="AK17" s="1">
        <v>0.63739997148513805</v>
      </c>
      <c r="AL17" s="1">
        <v>1.6350500583648699</v>
      </c>
      <c r="AM17" s="1">
        <v>1.8926700353622401</v>
      </c>
      <c r="AN17" s="1">
        <v>1.02866995334625</v>
      </c>
      <c r="AP17" s="1">
        <v>1.5897300243377701</v>
      </c>
    </row>
    <row r="18" spans="1:49">
      <c r="A18" s="5" t="s">
        <v>21</v>
      </c>
      <c r="E18" s="1">
        <v>89.391456604003906</v>
      </c>
      <c r="F18" s="1">
        <v>88.864418029785199</v>
      </c>
      <c r="I18" s="1">
        <v>84.874923706054702</v>
      </c>
      <c r="J18" s="1">
        <v>83.855781555175795</v>
      </c>
      <c r="M18" s="1">
        <v>80.795867919921903</v>
      </c>
      <c r="R18" s="1">
        <v>76.660079956054702</v>
      </c>
      <c r="U18" s="1">
        <v>77.431503295898395</v>
      </c>
      <c r="V18" s="1">
        <v>77.114929199218807</v>
      </c>
      <c r="W18" s="1">
        <v>76.530891418457003</v>
      </c>
      <c r="X18" s="1">
        <v>78.590217590332003</v>
      </c>
      <c r="AC18" s="1">
        <v>75.948181152343807</v>
      </c>
      <c r="AD18" s="1">
        <v>75.609619140625</v>
      </c>
      <c r="AE18" s="1">
        <v>73.876441955566406</v>
      </c>
      <c r="AF18" s="1">
        <v>73.133239746093807</v>
      </c>
      <c r="AG18" s="1">
        <v>69.509712219238295</v>
      </c>
      <c r="AH18" s="1">
        <v>65.904190063476605</v>
      </c>
      <c r="AI18" s="1">
        <v>62.183609008789098</v>
      </c>
      <c r="AJ18" s="1">
        <v>58.685768127441399</v>
      </c>
      <c r="AK18" s="1">
        <v>58.688549041747997</v>
      </c>
      <c r="AL18" s="1">
        <v>57.372848510742202</v>
      </c>
      <c r="AM18" s="1">
        <v>56.132408142089801</v>
      </c>
      <c r="AN18" s="1">
        <v>52.713249206542997</v>
      </c>
      <c r="AO18" s="1">
        <v>48.938838958740199</v>
      </c>
      <c r="AP18" s="1">
        <v>44.883289337158203</v>
      </c>
      <c r="AQ18" s="1">
        <v>40.140998840332003</v>
      </c>
      <c r="AR18" s="1">
        <v>38.712329864502003</v>
      </c>
      <c r="AS18" s="1">
        <v>38.989540100097699</v>
      </c>
      <c r="AT18" s="1">
        <v>38.947891235351598</v>
      </c>
      <c r="AU18" s="1">
        <v>37.314300537109403</v>
      </c>
      <c r="AV18" s="1">
        <v>36.205238342285199</v>
      </c>
    </row>
    <row r="19" spans="1:49">
      <c r="A19" s="5" t="s">
        <v>23</v>
      </c>
      <c r="O19" s="1">
        <v>3.86089992523193</v>
      </c>
      <c r="P19" s="1">
        <v>3.8819100856781001</v>
      </c>
      <c r="S19" s="1">
        <v>10.1930704116821</v>
      </c>
      <c r="T19" s="1">
        <v>7.95626020431519</v>
      </c>
      <c r="V19" s="1">
        <v>3.31122994422913</v>
      </c>
      <c r="AE19" s="1">
        <v>18.595270156860401</v>
      </c>
      <c r="AH19" s="1">
        <v>3.5364899635314901</v>
      </c>
      <c r="AI19" s="1">
        <v>2.2063500881195099</v>
      </c>
      <c r="AJ19" s="1">
        <v>1.0130900144577</v>
      </c>
      <c r="AK19" s="1">
        <v>1.2040200233459499</v>
      </c>
      <c r="AM19" s="1">
        <v>10.4357404708862</v>
      </c>
      <c r="AN19" s="1">
        <v>9.5101299285888707</v>
      </c>
      <c r="AO19" s="1">
        <v>8.4685297012329102</v>
      </c>
      <c r="AP19" s="1">
        <v>8.4313697814941406</v>
      </c>
      <c r="AS19" s="1">
        <v>9.1570701599121005</v>
      </c>
      <c r="AT19" s="1">
        <v>8.5932197570800799</v>
      </c>
      <c r="AU19" s="1">
        <v>8.6431398391723597</v>
      </c>
      <c r="AW19" s="1">
        <v>3.0040600299835201</v>
      </c>
    </row>
    <row r="20" spans="1:49">
      <c r="A20" s="5" t="s">
        <v>24</v>
      </c>
      <c r="I20" s="1">
        <v>21.5188999176025</v>
      </c>
      <c r="R20" s="1">
        <v>1.6838899850845299</v>
      </c>
      <c r="AG20" s="1">
        <v>0.118830002844334</v>
      </c>
      <c r="AH20" s="1">
        <v>7.5290001928806305E-2</v>
      </c>
      <c r="AI20" s="1">
        <v>0.38258999586105302</v>
      </c>
      <c r="AJ20" s="1">
        <v>3.1516599655151398</v>
      </c>
      <c r="AK20" s="1">
        <v>2.7466700077056898</v>
      </c>
      <c r="AL20" s="1">
        <v>3.26867008209229</v>
      </c>
      <c r="AM20" s="1">
        <v>3.6277799606323198</v>
      </c>
      <c r="AN20" s="1">
        <v>4.45060014724731</v>
      </c>
      <c r="AO20" s="1">
        <v>6.6213698387145898</v>
      </c>
      <c r="AP20" s="1">
        <v>4.9565601348876998</v>
      </c>
      <c r="AQ20" s="1">
        <v>4.8200697898864702</v>
      </c>
      <c r="AR20" s="1">
        <v>4.64991998672485</v>
      </c>
      <c r="AS20" s="1">
        <v>3.5185999870300302</v>
      </c>
      <c r="AT20" s="1">
        <v>2.6922700405120898</v>
      </c>
      <c r="AU20" s="1">
        <v>0.918789982795715</v>
      </c>
      <c r="AV20" s="1">
        <v>0.91990000009536699</v>
      </c>
    </row>
    <row r="21" spans="1:49">
      <c r="A21" s="5" t="s">
        <v>25</v>
      </c>
      <c r="AF21" s="1">
        <v>4.3193202018737802</v>
      </c>
      <c r="AG21" s="1">
        <v>4.8157401084899902</v>
      </c>
      <c r="AH21" s="1">
        <v>3.14098000526428</v>
      </c>
      <c r="AI21" s="1">
        <v>3.0766301155090301</v>
      </c>
      <c r="AJ21" s="1">
        <v>2.6197800636291499</v>
      </c>
      <c r="AK21" s="1">
        <v>2.9452600479125999</v>
      </c>
      <c r="AL21" s="1">
        <v>3.3806600570678702</v>
      </c>
      <c r="AM21" s="1">
        <v>4.4862198829650897</v>
      </c>
      <c r="AN21" s="1">
        <v>2.2767000198364298</v>
      </c>
      <c r="AO21" s="1">
        <v>1.83575999736786</v>
      </c>
      <c r="AP21" s="1">
        <v>1.62732005119324</v>
      </c>
      <c r="AQ21" s="1">
        <v>1.82402002811432</v>
      </c>
      <c r="AR21" s="1">
        <v>1.87170994281769</v>
      </c>
      <c r="AS21" s="1">
        <v>2.4580700397491499</v>
      </c>
      <c r="AT21" s="1">
        <v>4.2259001731872603</v>
      </c>
      <c r="AU21" s="1">
        <v>4.8934798240661603</v>
      </c>
      <c r="AV21" s="1">
        <v>4.5274701118469203</v>
      </c>
      <c r="AW21" s="1">
        <v>1.4653899669647199</v>
      </c>
    </row>
    <row r="22" spans="1:49">
      <c r="A22" s="5" t="s">
        <v>26</v>
      </c>
      <c r="H22" s="1">
        <v>51.7918510437012</v>
      </c>
      <c r="L22" s="1">
        <v>30.131679534912099</v>
      </c>
      <c r="M22" s="1">
        <v>31.4073295593262</v>
      </c>
      <c r="N22" s="1">
        <v>36.282138824462898</v>
      </c>
      <c r="O22" s="1">
        <v>37.522140502929702</v>
      </c>
      <c r="P22" s="1">
        <v>40.708988189697301</v>
      </c>
      <c r="Q22" s="1">
        <v>43.537868499755902</v>
      </c>
      <c r="R22" s="1">
        <v>44.836101531982401</v>
      </c>
      <c r="S22" s="1">
        <v>46.283748626708999</v>
      </c>
      <c r="T22" s="1">
        <v>47.924098968505902</v>
      </c>
      <c r="U22" s="1">
        <v>48.017688751220703</v>
      </c>
      <c r="V22" s="1">
        <v>48.674369812011697</v>
      </c>
      <c r="W22" s="1">
        <v>49.374458312988303</v>
      </c>
      <c r="X22" s="1">
        <v>49.296058654785199</v>
      </c>
      <c r="Y22" s="1">
        <v>50.079971313476598</v>
      </c>
      <c r="Z22" s="1">
        <v>51.287368774414098</v>
      </c>
      <c r="AA22" s="1">
        <v>51.397579193115199</v>
      </c>
      <c r="AB22" s="1">
        <v>51.290081024169901</v>
      </c>
      <c r="AC22" s="1">
        <v>50.906990051269503</v>
      </c>
      <c r="AD22" s="1">
        <v>51.429401397705099</v>
      </c>
      <c r="AE22" s="1">
        <v>51.0243110656738</v>
      </c>
      <c r="AF22" s="1">
        <v>47.498111724853501</v>
      </c>
      <c r="AG22" s="1">
        <v>42.947921752929702</v>
      </c>
      <c r="AH22" s="1">
        <v>28.294319152831999</v>
      </c>
      <c r="AI22" s="1">
        <v>20.0743598937988</v>
      </c>
      <c r="AJ22" s="1">
        <v>15.914380073547401</v>
      </c>
      <c r="AK22" s="1">
        <v>11.7364196777344</v>
      </c>
      <c r="AL22" s="1">
        <v>6.5613098144531303</v>
      </c>
      <c r="AN22" s="1">
        <v>5.6284298896789604</v>
      </c>
      <c r="AP22" s="1">
        <v>12.285229682922401</v>
      </c>
      <c r="AR22" s="1">
        <v>16.413619995117202</v>
      </c>
      <c r="AS22" s="1">
        <v>19.237550735473601</v>
      </c>
      <c r="AT22" s="1">
        <v>20.9551696777344</v>
      </c>
    </row>
    <row r="23" spans="1:49">
      <c r="A23" s="5" t="s">
        <v>28</v>
      </c>
      <c r="D23" s="1">
        <v>21.632930755615199</v>
      </c>
      <c r="H23" s="1">
        <v>19.5629692077637</v>
      </c>
      <c r="I23" s="1">
        <v>19.696849822998001</v>
      </c>
      <c r="J23" s="1">
        <v>20.880020141601602</v>
      </c>
      <c r="K23" s="1">
        <v>21.405370712280298</v>
      </c>
      <c r="L23" s="1">
        <v>21.401889801025401</v>
      </c>
      <c r="M23" s="1">
        <v>21.379459381103501</v>
      </c>
      <c r="N23" s="1">
        <v>21.510700225830099</v>
      </c>
      <c r="O23" s="1">
        <v>19.928409576416001</v>
      </c>
      <c r="P23" s="1">
        <v>18.813640594482401</v>
      </c>
      <c r="R23" s="1">
        <v>17.495130538940401</v>
      </c>
      <c r="T23" s="1">
        <v>19.5672798156738</v>
      </c>
      <c r="Z23" s="1">
        <v>26.592319488525401</v>
      </c>
      <c r="AA23" s="1">
        <v>28.4888801574707</v>
      </c>
      <c r="AD23" s="1">
        <v>31.653469085693398</v>
      </c>
      <c r="AE23" s="1">
        <v>33.147121429443402</v>
      </c>
      <c r="AF23" s="1">
        <v>33.359779357910199</v>
      </c>
      <c r="AG23" s="1">
        <v>33.744598388671903</v>
      </c>
      <c r="AH23" s="1">
        <v>30.949649810791001</v>
      </c>
      <c r="AJ23" s="1">
        <v>18.759649276733299</v>
      </c>
      <c r="AK23" s="1">
        <v>10.800539970397899</v>
      </c>
      <c r="AL23" s="1">
        <v>12.7350397109985</v>
      </c>
      <c r="AM23" s="1">
        <v>10.4042301177979</v>
      </c>
      <c r="AN23" s="1">
        <v>9.9375801086425799</v>
      </c>
      <c r="AO23" s="1">
        <v>12.8829498291016</v>
      </c>
      <c r="AP23" s="1">
        <v>15.4248199462891</v>
      </c>
      <c r="AQ23" s="1">
        <v>11.591420173645</v>
      </c>
      <c r="AR23" s="1">
        <v>9.8746900558471697</v>
      </c>
      <c r="AS23" s="1">
        <v>12.0925903320313</v>
      </c>
    </row>
    <row r="24" spans="1:49">
      <c r="A24" s="5" t="s">
        <v>29</v>
      </c>
      <c r="N24" s="1">
        <v>2.3729898929595898</v>
      </c>
      <c r="P24" s="1">
        <v>1.11114001274109</v>
      </c>
      <c r="R24" s="1">
        <v>1.6568399667739899</v>
      </c>
      <c r="AD24" s="1">
        <v>15.9026899337769</v>
      </c>
      <c r="AE24" s="1">
        <v>13.7190599441528</v>
      </c>
      <c r="AF24" s="1">
        <v>12.972049713134799</v>
      </c>
      <c r="AG24" s="1">
        <v>10.9549503326416</v>
      </c>
      <c r="AH24" s="1">
        <v>14.493659973144499</v>
      </c>
      <c r="AI24" s="1">
        <v>15.8625497817993</v>
      </c>
      <c r="AR24" s="1">
        <v>11.9365797042847</v>
      </c>
      <c r="AS24" s="1">
        <v>14.770810127258301</v>
      </c>
    </row>
    <row r="26" spans="1:49">
      <c r="B26" s="1">
        <v>1970</v>
      </c>
      <c r="C26" s="1">
        <f>VLOOKUP(Indicateur13!$K$6,prevision13!$A$1:$AW$24,MATCH(prevision13!B26,prevision13!$A$1:$AW$1,0),FALSE)</f>
        <v>0</v>
      </c>
      <c r="H26" s="1">
        <v>1970</v>
      </c>
      <c r="I26" s="1">
        <f>VLOOKUP('comite 5'!$C$4,prevision13!$A$1:$BG$28,MATCH(H26,$A$1:$BG$1,0),FALSE)</f>
        <v>0</v>
      </c>
    </row>
    <row r="27" spans="1:49">
      <c r="B27" s="1">
        <v>1971</v>
      </c>
      <c r="C27" s="1">
        <f>VLOOKUP(Indicateur13!$K$6,prevision13!$A$1:$AW$24,MATCH(prevision13!B27,prevision13!$A$1:$AW$1,0),FALSE)</f>
        <v>0</v>
      </c>
      <c r="H27" s="1">
        <v>1971</v>
      </c>
      <c r="I27" s="1">
        <f>VLOOKUP('comite 5'!$C$4,prevision13!$A$1:$BG$28,MATCH(H27,$A$1:$BG$1,0),FALSE)</f>
        <v>0</v>
      </c>
    </row>
    <row r="28" spans="1:49">
      <c r="B28" s="1">
        <v>1972</v>
      </c>
      <c r="C28" s="1">
        <f>VLOOKUP(Indicateur13!$K$6,prevision13!$A$1:$AW$24,MATCH(prevision13!B28,prevision13!$A$1:$AW$1,0),FALSE)</f>
        <v>0</v>
      </c>
      <c r="H28" s="1">
        <v>1972</v>
      </c>
      <c r="I28" s="1">
        <f>VLOOKUP('comite 5'!$C$4,prevision13!$A$1:$BG$28,MATCH(H28,$A$1:$BG$1,0),FALSE)</f>
        <v>0</v>
      </c>
    </row>
    <row r="29" spans="1:49">
      <c r="B29" s="1">
        <v>1973</v>
      </c>
      <c r="C29" s="1">
        <f>VLOOKUP(Indicateur13!$K$6,prevision13!$A$1:$AW$24,MATCH(prevision13!B29,prevision13!$A$1:$AW$1,0),FALSE)</f>
        <v>0</v>
      </c>
      <c r="H29" s="1">
        <v>1973</v>
      </c>
      <c r="I29" s="1">
        <f>VLOOKUP('comite 5'!$C$4,prevision13!$A$1:$BG$28,MATCH(H29,$A$1:$BG$1,0),FALSE)</f>
        <v>0</v>
      </c>
    </row>
    <row r="30" spans="1:49">
      <c r="B30" s="1">
        <v>1974</v>
      </c>
      <c r="C30" s="1">
        <f>VLOOKUP(Indicateur13!$K$6,prevision13!$A$1:$AW$24,MATCH(prevision13!B30,prevision13!$A$1:$AW$1,0),FALSE)</f>
        <v>0</v>
      </c>
      <c r="H30" s="1">
        <v>1974</v>
      </c>
      <c r="I30" s="1">
        <f>VLOOKUP('comite 5'!$C$4,prevision13!$A$1:$BG$28,MATCH(H30,$A$1:$BG$1,0),FALSE)</f>
        <v>0</v>
      </c>
    </row>
    <row r="31" spans="1:49">
      <c r="B31" s="1">
        <v>1975</v>
      </c>
      <c r="C31" s="1">
        <f>VLOOKUP(Indicateur13!$K$6,prevision13!$A$1:$AW$24,MATCH(prevision13!B31,prevision13!$A$1:$AW$1,0),FALSE)</f>
        <v>0</v>
      </c>
      <c r="H31" s="1">
        <v>1975</v>
      </c>
      <c r="I31" s="1">
        <f>VLOOKUP('comite 5'!$C$4,prevision13!$A$1:$BG$28,MATCH(H31,$A$1:$BG$1,0),FALSE)</f>
        <v>0</v>
      </c>
    </row>
    <row r="32" spans="1:49">
      <c r="B32" s="1">
        <v>1976</v>
      </c>
      <c r="C32" s="1">
        <f>VLOOKUP(Indicateur13!$K$6,prevision13!$A$1:$AW$24,MATCH(prevision13!B32,prevision13!$A$1:$AW$1,0),FALSE)</f>
        <v>0</v>
      </c>
      <c r="H32" s="1">
        <v>1976</v>
      </c>
      <c r="I32" s="1">
        <f>VLOOKUP('comite 5'!$C$4,prevision13!$A$1:$BG$28,MATCH(H32,$A$1:$BG$1,0),FALSE)</f>
        <v>0</v>
      </c>
    </row>
    <row r="33" spans="2:9">
      <c r="B33" s="1">
        <v>1977</v>
      </c>
      <c r="C33" s="1">
        <f>VLOOKUP(Indicateur13!$K$6,prevision13!$A$1:$AW$24,MATCH(prevision13!B33,prevision13!$A$1:$AW$1,0),FALSE)</f>
        <v>0</v>
      </c>
      <c r="H33" s="1">
        <v>1977</v>
      </c>
      <c r="I33" s="1">
        <f>VLOOKUP('comite 5'!$C$4,prevision13!$A$1:$BG$28,MATCH(H33,$A$1:$BG$1,0),FALSE)</f>
        <v>0</v>
      </c>
    </row>
    <row r="34" spans="2:9">
      <c r="B34" s="1">
        <v>1978</v>
      </c>
      <c r="C34" s="1">
        <f>VLOOKUP(Indicateur13!$K$6,prevision13!$A$1:$AW$24,MATCH(prevision13!B34,prevision13!$A$1:$AW$1,0),FALSE)</f>
        <v>0</v>
      </c>
      <c r="H34" s="1">
        <v>1978</v>
      </c>
      <c r="I34" s="1">
        <f>VLOOKUP('comite 5'!$C$4,prevision13!$A$1:$BG$28,MATCH(H34,$A$1:$BG$1,0),FALSE)</f>
        <v>0</v>
      </c>
    </row>
    <row r="35" spans="2:9">
      <c r="B35" s="1">
        <v>1979</v>
      </c>
      <c r="C35" s="1">
        <f>VLOOKUP(Indicateur13!$K$6,prevision13!$A$1:$AW$24,MATCH(prevision13!B35,prevision13!$A$1:$AW$1,0),FALSE)</f>
        <v>0</v>
      </c>
      <c r="H35" s="1">
        <v>1979</v>
      </c>
      <c r="I35" s="1">
        <f>VLOOKUP('comite 5'!$C$4,prevision13!$A$1:$BG$28,MATCH(H35,$A$1:$BG$1,0),FALSE)</f>
        <v>0</v>
      </c>
    </row>
    <row r="36" spans="2:9">
      <c r="B36" s="1">
        <v>1980</v>
      </c>
      <c r="C36" s="1">
        <f>VLOOKUP(Indicateur13!$K$6,prevision13!$A$1:$AW$24,MATCH(prevision13!B36,prevision13!$A$1:$AW$1,0),FALSE)</f>
        <v>0</v>
      </c>
      <c r="H36" s="1">
        <v>1980</v>
      </c>
      <c r="I36" s="1">
        <f>VLOOKUP('comite 5'!$C$4,prevision13!$A$1:$BG$28,MATCH(H36,$A$1:$BG$1,0),FALSE)</f>
        <v>0</v>
      </c>
    </row>
    <row r="37" spans="2:9">
      <c r="B37" s="1">
        <v>1981</v>
      </c>
      <c r="C37" s="1">
        <f>VLOOKUP(Indicateur13!$K$6,prevision13!$A$1:$AW$24,MATCH(prevision13!B37,prevision13!$A$1:$AW$1,0),FALSE)</f>
        <v>0</v>
      </c>
      <c r="H37" s="1">
        <v>1981</v>
      </c>
      <c r="I37" s="1">
        <f>VLOOKUP('comite 5'!$C$4,prevision13!$A$1:$BG$28,MATCH(H37,$A$1:$BG$1,0),FALSE)</f>
        <v>0</v>
      </c>
    </row>
    <row r="38" spans="2:9">
      <c r="B38" s="1">
        <v>1982</v>
      </c>
      <c r="C38" s="1">
        <f>VLOOKUP(Indicateur13!$K$6,prevision13!$A$1:$AW$24,MATCH(prevision13!B38,prevision13!$A$1:$AW$1,0),FALSE)</f>
        <v>0</v>
      </c>
      <c r="H38" s="1">
        <v>1982</v>
      </c>
      <c r="I38" s="1">
        <f>VLOOKUP('comite 5'!$C$4,prevision13!$A$1:$BG$28,MATCH(H38,$A$1:$BG$1,0),FALSE)</f>
        <v>0</v>
      </c>
    </row>
    <row r="39" spans="2:9">
      <c r="B39" s="1">
        <v>1983</v>
      </c>
      <c r="C39" s="1">
        <f>VLOOKUP(Indicateur13!$K$6,prevision13!$A$1:$AW$24,MATCH(prevision13!B39,prevision13!$A$1:$AW$1,0),FALSE)</f>
        <v>0</v>
      </c>
      <c r="H39" s="1">
        <v>1983</v>
      </c>
      <c r="I39" s="1">
        <f>VLOOKUP('comite 5'!$C$4,prevision13!$A$1:$BG$28,MATCH(H39,$A$1:$BG$1,0),FALSE)</f>
        <v>0</v>
      </c>
    </row>
    <row r="40" spans="2:9">
      <c r="B40" s="1">
        <v>1984</v>
      </c>
      <c r="C40" s="1">
        <f>VLOOKUP(Indicateur13!$K$6,prevision13!$A$1:$AW$24,MATCH(prevision13!B40,prevision13!$A$1:$AW$1,0),FALSE)</f>
        <v>0</v>
      </c>
      <c r="H40" s="1">
        <v>1984</v>
      </c>
      <c r="I40" s="1">
        <f>VLOOKUP('comite 5'!$C$4,prevision13!$A$1:$BG$28,MATCH(H40,$A$1:$BG$1,0),FALSE)</f>
        <v>0</v>
      </c>
    </row>
    <row r="41" spans="2:9">
      <c r="B41" s="1">
        <v>1985</v>
      </c>
      <c r="C41" s="1">
        <f>VLOOKUP(Indicateur13!$K$6,prevision13!$A$1:$AW$24,MATCH(prevision13!B41,prevision13!$A$1:$AW$1,0),FALSE)</f>
        <v>0</v>
      </c>
      <c r="H41" s="1">
        <v>1985</v>
      </c>
      <c r="I41" s="1">
        <f>VLOOKUP('comite 5'!$C$4,prevision13!$A$1:$BG$28,MATCH(H41,$A$1:$BG$1,0),FALSE)</f>
        <v>0</v>
      </c>
    </row>
    <row r="42" spans="2:9">
      <c r="B42" s="1">
        <v>1986</v>
      </c>
      <c r="C42" s="1">
        <f>VLOOKUP(Indicateur13!$K$6,prevision13!$A$1:$AW$24,MATCH(prevision13!B42,prevision13!$A$1:$AW$1,0),FALSE)</f>
        <v>0</v>
      </c>
      <c r="H42" s="1">
        <v>1986</v>
      </c>
      <c r="I42" s="1">
        <f>VLOOKUP('comite 5'!$C$4,prevision13!$A$1:$BG$28,MATCH(H42,$A$1:$BG$1,0),FALSE)</f>
        <v>0</v>
      </c>
    </row>
    <row r="43" spans="2:9">
      <c r="B43" s="1">
        <v>1987</v>
      </c>
      <c r="C43" s="1">
        <f>VLOOKUP(Indicateur13!$K$6,prevision13!$A$1:$AW$24,MATCH(prevision13!B43,prevision13!$A$1:$AW$1,0),FALSE)</f>
        <v>70.650466918945298</v>
      </c>
      <c r="H43" s="1">
        <v>1987</v>
      </c>
      <c r="I43" s="1">
        <f>VLOOKUP('comite 5'!$C$4,prevision13!$A$1:$BG$28,MATCH(H43,$A$1:$BG$1,0),FALSE)</f>
        <v>70.650466918945298</v>
      </c>
    </row>
    <row r="44" spans="2:9">
      <c r="B44" s="1">
        <v>1988</v>
      </c>
      <c r="C44" s="1">
        <f>VLOOKUP(Indicateur13!$K$6,prevision13!$A$1:$AW$24,MATCH(prevision13!B44,prevision13!$A$1:$AW$1,0),FALSE)</f>
        <v>70.094741821289105</v>
      </c>
      <c r="H44" s="1">
        <v>1988</v>
      </c>
      <c r="I44" s="1">
        <f>VLOOKUP('comite 5'!$C$4,prevision13!$A$1:$BG$28,MATCH(H44,$A$1:$BG$1,0),FALSE)</f>
        <v>70.094741821289105</v>
      </c>
    </row>
    <row r="45" spans="2:9">
      <c r="B45" s="1">
        <v>1989</v>
      </c>
      <c r="C45" s="1">
        <f>VLOOKUP(Indicateur13!$K$6,prevision13!$A$1:$AW$24,MATCH(prevision13!B45,prevision13!$A$1:$AW$1,0),FALSE)</f>
        <v>71.365493774414105</v>
      </c>
      <c r="H45" s="1">
        <v>1989</v>
      </c>
      <c r="I45" s="1">
        <f>VLOOKUP('comite 5'!$C$4,prevision13!$A$1:$BG$28,MATCH(H45,$A$1:$BG$1,0),FALSE)</f>
        <v>71.365493774414105</v>
      </c>
    </row>
    <row r="46" spans="2:9">
      <c r="B46" s="1">
        <v>1990</v>
      </c>
      <c r="C46" s="1">
        <f>VLOOKUP(Indicateur13!$K$6,prevision13!$A$1:$AW$24,MATCH(prevision13!B46,prevision13!$A$1:$AW$1,0),FALSE)</f>
        <v>0</v>
      </c>
      <c r="H46" s="1">
        <v>1990</v>
      </c>
      <c r="I46" s="1">
        <f>VLOOKUP('comite 5'!$C$4,prevision13!$A$1:$BG$28,MATCH(H46,$A$1:$BG$1,0),FALSE)</f>
        <v>0</v>
      </c>
    </row>
    <row r="47" spans="2:9">
      <c r="B47" s="1">
        <v>1991</v>
      </c>
      <c r="C47" s="1">
        <f>VLOOKUP(Indicateur13!$K$6,prevision13!$A$1:$AW$24,MATCH(prevision13!B47,prevision13!$A$1:$AW$1,0),FALSE)</f>
        <v>0</v>
      </c>
      <c r="H47" s="1">
        <v>1991</v>
      </c>
      <c r="I47" s="1">
        <f>VLOOKUP('comite 5'!$C$4,prevision13!$A$1:$BG$28,MATCH(H47,$A$1:$BG$1,0),FALSE)</f>
        <v>0</v>
      </c>
    </row>
    <row r="48" spans="2:9">
      <c r="B48" s="1">
        <v>1992</v>
      </c>
      <c r="C48" s="1">
        <f>VLOOKUP(Indicateur13!$K$6,prevision13!$A$1:$AW$24,MATCH(prevision13!B48,prevision13!$A$1:$AW$1,0),FALSE)</f>
        <v>0</v>
      </c>
      <c r="H48" s="1">
        <v>1992</v>
      </c>
      <c r="I48" s="1">
        <f>VLOOKUP('comite 5'!$C$4,prevision13!$A$1:$BG$28,MATCH(H48,$A$1:$BG$1,0),FALSE)</f>
        <v>0</v>
      </c>
    </row>
    <row r="49" spans="2:9">
      <c r="B49" s="1">
        <v>1993</v>
      </c>
      <c r="C49" s="1">
        <f>VLOOKUP(Indicateur13!$K$6,prevision13!$A$1:$AW$24,MATCH(prevision13!B49,prevision13!$A$1:$AW$1,0),FALSE)</f>
        <v>0</v>
      </c>
      <c r="H49" s="1">
        <v>1993</v>
      </c>
      <c r="I49" s="1">
        <f>VLOOKUP('comite 5'!$C$4,prevision13!$A$1:$BG$28,MATCH(H49,$A$1:$BG$1,0),FALSE)</f>
        <v>0</v>
      </c>
    </row>
    <row r="50" spans="2:9">
      <c r="B50" s="1">
        <v>1994</v>
      </c>
      <c r="C50" s="1">
        <f>VLOOKUP(Indicateur13!$K$6,prevision13!$A$1:$AW$24,MATCH(prevision13!B50,prevision13!$A$1:$AW$1,0),FALSE)</f>
        <v>80.894607543945298</v>
      </c>
      <c r="H50" s="1">
        <v>1994</v>
      </c>
      <c r="I50" s="1">
        <f>VLOOKUP('comite 5'!$C$4,prevision13!$A$1:$BG$28,MATCH(H50,$A$1:$BG$1,0),FALSE)</f>
        <v>80.894607543945298</v>
      </c>
    </row>
    <row r="51" spans="2:9">
      <c r="B51" s="1">
        <v>1995</v>
      </c>
      <c r="C51" s="1">
        <f>VLOOKUP(Indicateur13!$K$6,prevision13!$A$1:$AW$24,MATCH(prevision13!B51,prevision13!$A$1:$AW$1,0),FALSE)</f>
        <v>78.1546630859375</v>
      </c>
      <c r="H51" s="1">
        <v>1995</v>
      </c>
      <c r="I51" s="1">
        <f>VLOOKUP('comite 5'!$C$4,prevision13!$A$1:$BG$28,MATCH(H51,$A$1:$BG$1,0),FALSE)</f>
        <v>78.1546630859375</v>
      </c>
    </row>
    <row r="52" spans="2:9">
      <c r="B52" s="1">
        <v>1996</v>
      </c>
      <c r="C52" s="1">
        <f>VLOOKUP(Indicateur13!$K$6,prevision13!$A$1:$AW$24,MATCH(prevision13!B52,prevision13!$A$1:$AW$1,0),FALSE)</f>
        <v>73.933761596679702</v>
      </c>
      <c r="H52" s="1">
        <v>1996</v>
      </c>
      <c r="I52" s="1">
        <f>VLOOKUP('comite 5'!$C$4,prevision13!$A$1:$BG$28,MATCH(H52,$A$1:$BG$1,0),FALSE)</f>
        <v>73.933761596679702</v>
      </c>
    </row>
    <row r="53" spans="2:9">
      <c r="B53" s="1">
        <v>1997</v>
      </c>
      <c r="C53" s="1">
        <f>VLOOKUP(Indicateur13!$K$6,prevision13!$A$1:$AW$24,MATCH(prevision13!B53,prevision13!$A$1:$AW$1,0),FALSE)</f>
        <v>0</v>
      </c>
      <c r="H53" s="1">
        <v>1997</v>
      </c>
      <c r="I53" s="1">
        <f>VLOOKUP('comite 5'!$C$4,prevision13!$A$1:$BG$28,MATCH(H53,$A$1:$BG$1,0),FALSE)</f>
        <v>0</v>
      </c>
    </row>
    <row r="54" spans="2:9">
      <c r="B54" s="1">
        <v>1998</v>
      </c>
      <c r="C54" s="1">
        <f>VLOOKUP(Indicateur13!$K$6,prevision13!$A$1:$AW$24,MATCH(prevision13!B54,prevision13!$A$1:$AW$1,0),FALSE)</f>
        <v>66.499549865722699</v>
      </c>
      <c r="H54" s="1">
        <v>1998</v>
      </c>
      <c r="I54" s="1">
        <f>VLOOKUP('comite 5'!$C$4,prevision13!$A$1:$BG$28,MATCH(H54,$A$1:$BG$1,0),FALSE)</f>
        <v>66.499549865722699</v>
      </c>
    </row>
    <row r="55" spans="2:9">
      <c r="B55" s="1">
        <v>1999</v>
      </c>
      <c r="C55" s="1">
        <f>VLOOKUP(Indicateur13!$K$6,prevision13!$A$1:$AW$24,MATCH(prevision13!B55,prevision13!$A$1:$AW$1,0),FALSE)</f>
        <v>64.007720947265597</v>
      </c>
      <c r="H55" s="1">
        <v>1999</v>
      </c>
      <c r="I55" s="1">
        <f>VLOOKUP('comite 5'!$C$4,prevision13!$A$1:$BG$28,MATCH(H55,$A$1:$BG$1,0),FALSE)</f>
        <v>64.007720947265597</v>
      </c>
    </row>
    <row r="56" spans="2:9">
      <c r="B56" s="1">
        <v>2000</v>
      </c>
      <c r="C56" s="1">
        <f>VLOOKUP(Indicateur13!$K$6,prevision13!$A$1:$AW$24,MATCH(prevision13!B56,prevision13!$A$1:$AW$1,0),FALSE)</f>
        <v>59.9315795898438</v>
      </c>
      <c r="H56" s="1">
        <v>2000</v>
      </c>
      <c r="I56" s="1">
        <f>VLOOKUP('comite 5'!$C$4,prevision13!$A$1:$BG$28,MATCH(H56,$A$1:$BG$1,0),FALSE)</f>
        <v>59.9315795898438</v>
      </c>
    </row>
    <row r="57" spans="2:9">
      <c r="B57" s="1">
        <v>2001</v>
      </c>
      <c r="C57" s="1">
        <f>VLOOKUP(Indicateur13!$K$6,prevision13!$A$1:$AW$24,MATCH(prevision13!B57,prevision13!$A$1:$AW$1,0),FALSE)</f>
        <v>55.669109344482401</v>
      </c>
      <c r="H57" s="1">
        <v>2001</v>
      </c>
      <c r="I57" s="1">
        <f>VLOOKUP('comite 5'!$C$4,prevision13!$A$1:$BG$28,MATCH(H57,$A$1:$BG$1,0),FALSE)</f>
        <v>55.669109344482401</v>
      </c>
    </row>
    <row r="58" spans="2:9">
      <c r="B58" s="1">
        <v>2002</v>
      </c>
      <c r="C58" s="1">
        <f>VLOOKUP(Indicateur13!$K$6,prevision13!$A$1:$AW$24,MATCH(prevision13!B58,prevision13!$A$1:$AW$1,0),FALSE)</f>
        <v>53.435169219970703</v>
      </c>
      <c r="H58" s="1">
        <v>2002</v>
      </c>
      <c r="I58" s="1">
        <f>VLOOKUP('comite 5'!$C$4,prevision13!$A$1:$BG$28,MATCH(H58,$A$1:$BG$1,0),FALSE)</f>
        <v>53.435169219970703</v>
      </c>
    </row>
    <row r="59" spans="2:9">
      <c r="B59" s="1">
        <v>2003</v>
      </c>
      <c r="C59" s="1">
        <f>VLOOKUP(Indicateur13!$K$6,prevision13!$A$1:$AW$24,MATCH(prevision13!B59,prevision13!$A$1:$AW$1,0),FALSE)</f>
        <v>52.647491455078097</v>
      </c>
      <c r="H59" s="1">
        <v>2003</v>
      </c>
      <c r="I59" s="1">
        <f>VLOOKUP('comite 5'!$C$4,prevision13!$A$1:$BG$28,MATCH(H59,$A$1:$BG$1,0),FALSE)</f>
        <v>52.647491455078097</v>
      </c>
    </row>
    <row r="60" spans="2:9">
      <c r="B60" s="1">
        <v>2004</v>
      </c>
      <c r="C60" s="1">
        <f>VLOOKUP(Indicateur13!$K$6,prevision13!$A$1:$AW$24,MATCH(prevision13!B60,prevision13!$A$1:$AW$1,0),FALSE)</f>
        <v>49.771209716796903</v>
      </c>
      <c r="H60" s="1">
        <v>2004</v>
      </c>
      <c r="I60" s="1">
        <f>VLOOKUP('comite 5'!$C$4,prevision13!$A$1:$BG$28,MATCH(H60,$A$1:$BG$1,0),FALSE)</f>
        <v>49.771209716796903</v>
      </c>
    </row>
    <row r="61" spans="2:9">
      <c r="B61" s="1">
        <v>2005</v>
      </c>
      <c r="C61" s="1">
        <f>VLOOKUP(Indicateur13!$K$6,prevision13!$A$1:$AW$24,MATCH(prevision13!B61,prevision13!$A$1:$AW$1,0),FALSE)</f>
        <v>38.842800140380902</v>
      </c>
      <c r="H61" s="1">
        <v>2005</v>
      </c>
      <c r="I61" s="1">
        <f>VLOOKUP('comite 5'!$C$4,prevision13!$A$1:$BG$28,MATCH(H61,$A$1:$BG$1,0),FALSE)</f>
        <v>38.842800140380902</v>
      </c>
    </row>
    <row r="62" spans="2:9">
      <c r="B62" s="1">
        <v>2006</v>
      </c>
      <c r="C62" s="1">
        <f>VLOOKUP(Indicateur13!$K$6,prevision13!$A$1:$AW$24,MATCH(prevision13!B62,prevision13!$A$1:$AW$1,0),FALSE)</f>
        <v>34.163490295410199</v>
      </c>
      <c r="H62" s="1">
        <v>2006</v>
      </c>
      <c r="I62" s="1">
        <f>VLOOKUP('comite 5'!$C$4,prevision13!$A$1:$BG$28,MATCH(H62,$A$1:$BG$1,0),FALSE)</f>
        <v>34.163490295410199</v>
      </c>
    </row>
    <row r="63" spans="2:9">
      <c r="B63" s="1">
        <v>2007</v>
      </c>
      <c r="C63" s="1">
        <f>VLOOKUP(Indicateur13!$K$6,prevision13!$A$1:$AW$24,MATCH(prevision13!B63,prevision13!$A$1:$AW$1,0),FALSE)</f>
        <v>28.994960784912099</v>
      </c>
      <c r="H63" s="1">
        <v>2007</v>
      </c>
      <c r="I63" s="1">
        <f>VLOOKUP('comite 5'!$C$4,prevision13!$A$1:$BG$28,MATCH(H63,$A$1:$BG$1,0),FALSE)</f>
        <v>28.994960784912099</v>
      </c>
    </row>
    <row r="64" spans="2:9">
      <c r="B64" s="1">
        <v>2008</v>
      </c>
      <c r="C64" s="1">
        <f>VLOOKUP(Indicateur13!$K$6,prevision13!$A$1:$AW$24,MATCH(prevision13!B64,prevision13!$A$1:$AW$1,0),FALSE)</f>
        <v>23.365360260009801</v>
      </c>
      <c r="H64" s="1">
        <v>2008</v>
      </c>
      <c r="I64" s="1">
        <f>VLOOKUP('comite 5'!$C$4,prevision13!$A$1:$BG$28,MATCH(H64,$A$1:$BG$1,0),FALSE)</f>
        <v>23.365360260009801</v>
      </c>
    </row>
    <row r="65" spans="2:10">
      <c r="B65" s="1">
        <v>2009</v>
      </c>
      <c r="C65" s="1">
        <f>VLOOKUP(Indicateur13!$K$6,prevision13!$A$1:$AW$24,MATCH(prevision13!B65,prevision13!$A$1:$AW$1,0),FALSE)</f>
        <v>23.799770355224599</v>
      </c>
      <c r="H65" s="1">
        <v>2009</v>
      </c>
      <c r="I65" s="1">
        <f>VLOOKUP('comite 5'!$C$4,prevision13!$A$1:$BG$28,MATCH(H65,$A$1:$BG$1,0),FALSE)</f>
        <v>23.799770355224599</v>
      </c>
    </row>
    <row r="66" spans="2:10">
      <c r="B66" s="1">
        <v>2010</v>
      </c>
      <c r="C66" s="1">
        <f>VLOOKUP(Indicateur13!$K$6,prevision13!$A$1:$AW$24,MATCH(prevision13!B66,prevision13!$A$1:$AW$1,0),FALSE)</f>
        <v>25.711769104003899</v>
      </c>
      <c r="H66" s="1">
        <v>2010</v>
      </c>
      <c r="I66" s="1">
        <f>VLOOKUP('comite 5'!$C$4,prevision13!$A$1:$BG$28,MATCH(H66,$A$1:$BG$1,0),FALSE)</f>
        <v>25.711769104003899</v>
      </c>
    </row>
    <row r="67" spans="2:10">
      <c r="B67" s="1">
        <v>2011</v>
      </c>
      <c r="C67" s="1">
        <f>VLOOKUP(Indicateur13!$K$6,prevision13!$A$1:$AW$24,MATCH(prevision13!B67,prevision13!$A$1:$AW$1,0),FALSE)</f>
        <v>21.749940872192401</v>
      </c>
      <c r="H67" s="1">
        <v>2011</v>
      </c>
      <c r="I67" s="1">
        <f>VLOOKUP('comite 5'!$C$4,prevision13!$A$1:$BG$28,MATCH(H67,$A$1:$BG$1,0),FALSE)</f>
        <v>21.749940872192401</v>
      </c>
    </row>
    <row r="68" spans="2:10">
      <c r="B68" s="1">
        <v>2012</v>
      </c>
      <c r="C68" s="1">
        <f>VLOOKUP(Indicateur13!$K$6,prevision13!$A$1:$AW$24,MATCH(prevision13!B68,prevision13!$A$1:$AW$1,0),FALSE)</f>
        <v>20.509889602661101</v>
      </c>
      <c r="H68" s="1">
        <v>2012</v>
      </c>
      <c r="I68" s="1">
        <f>VLOOKUP('comite 5'!$C$4,prevision13!$A$1:$BG$28,MATCH(H68,$A$1:$BG$1,0),FALSE)</f>
        <v>20.509889602661101</v>
      </c>
    </row>
    <row r="69" spans="2:10">
      <c r="B69" s="1">
        <v>2013</v>
      </c>
      <c r="C69" s="1">
        <f>VLOOKUP(Indicateur13!$K$6,prevision13!$A$1:$AW$24,MATCH(prevision13!B69,prevision13!$A$1:$AW$1,0),FALSE)</f>
        <v>0</v>
      </c>
      <c r="H69" s="1">
        <v>2013</v>
      </c>
      <c r="I69" s="1">
        <f>VLOOKUP('comite 5'!$C$4,prevision13!$A$1:$BG$28,MATCH(H69,$A$1:$BG$1,0),FALSE)</f>
        <v>0</v>
      </c>
    </row>
    <row r="70" spans="2:10">
      <c r="B70" s="1">
        <v>2014</v>
      </c>
      <c r="C70" s="1">
        <f>VLOOKUP(Indicateur13!$K$6,prevision13!$A$1:$AW$24,MATCH(prevision13!B70,prevision13!$A$1:$AW$1,0),FALSE)</f>
        <v>13.6830501556396</v>
      </c>
      <c r="H70" s="1">
        <v>2014</v>
      </c>
      <c r="I70" s="1">
        <f>VLOOKUP('comite 5'!$C$4,prevision13!$A$1:$BG$28,MATCH(H70,$A$1:$BG$1,0),FALSE)</f>
        <v>13.6830501556396</v>
      </c>
    </row>
    <row r="71" spans="2:10">
      <c r="B71" s="1">
        <v>2015</v>
      </c>
      <c r="C71" s="1">
        <f>VLOOKUP(Indicateur13!$K$6,prevision13!$A$1:$AW$24,MATCH(prevision13!B71,prevision13!$A$1:$AW$1,0),FALSE)</f>
        <v>13.980970382690399</v>
      </c>
      <c r="H71" s="1">
        <v>2015</v>
      </c>
      <c r="I71" s="1">
        <f>VLOOKUP('comite 5'!$C$4,prevision13!$A$1:$BG$28,MATCH(H71,$A$1:$BG$1,0),FALSE)</f>
        <v>13.980970382690399</v>
      </c>
    </row>
    <row r="72" spans="2:10">
      <c r="B72" s="1">
        <v>2016</v>
      </c>
      <c r="C72" s="1">
        <f>VLOOKUP(Indicateur13!$K$6,prevision13!$A$1:$AW$24,MATCH(prevision13!B72,prevision13!$A$1:$AW$1,0),FALSE)</f>
        <v>0</v>
      </c>
      <c r="H72" s="1">
        <v>2016</v>
      </c>
      <c r="I72" s="1">
        <f>VLOOKUP('comite 5'!$C$4,prevision13!$A$1:$BG$28,MATCH(H72,$A$1:$BG$1,0),FALSE)</f>
        <v>0</v>
      </c>
    </row>
    <row r="73" spans="2:10">
      <c r="B73" s="1">
        <v>2017</v>
      </c>
      <c r="C73" s="1">
        <f>VLOOKUP(Indicateur13!$K$6,prevision13!$A$1:$AW$24,MATCH(prevision13!B73,prevision13!$A$1:$AW$1,0),FALSE)</f>
        <v>0</v>
      </c>
      <c r="D73" s="1">
        <f>C73</f>
        <v>0</v>
      </c>
      <c r="H73" s="1">
        <v>2017</v>
      </c>
      <c r="I73" s="1">
        <f>VLOOKUP('comite 5'!$C$4,prevision13!$A$1:$BG$28,MATCH(H73,$A$1:$BG$1,0),FALSE)</f>
        <v>0</v>
      </c>
      <c r="J73" s="1">
        <f>I73</f>
        <v>0</v>
      </c>
    </row>
    <row r="74" spans="2:10">
      <c r="B74" s="1">
        <v>2018</v>
      </c>
      <c r="D74" s="1">
        <f>TREND($C$26:$C$73,$B$26:$B$73,B74)</f>
        <v>38.306043736478159</v>
      </c>
      <c r="H74" s="1">
        <v>2018</v>
      </c>
      <c r="J74" s="1">
        <f>TREND($I$26:$I$73,$H$26:$H$73,H74)</f>
        <v>38.306043736478159</v>
      </c>
    </row>
    <row r="75" spans="2:10">
      <c r="B75" s="1">
        <v>2019</v>
      </c>
      <c r="D75" s="1">
        <f t="shared" ref="D75:D86" si="0">TREND($C$26:$C$73,$B$26:$B$73,B75)</f>
        <v>38.941105413788819</v>
      </c>
      <c r="H75" s="1">
        <v>2019</v>
      </c>
      <c r="J75" s="1">
        <f t="shared" ref="J75:J86" si="1">TREND($I$26:$I$73,$H$26:$H$73,H75)</f>
        <v>38.941105413788819</v>
      </c>
    </row>
    <row r="76" spans="2:10">
      <c r="B76" s="1">
        <v>2020</v>
      </c>
      <c r="D76" s="1">
        <f t="shared" si="0"/>
        <v>39.576167091099705</v>
      </c>
      <c r="H76" s="1">
        <v>2020</v>
      </c>
      <c r="J76" s="1">
        <f t="shared" si="1"/>
        <v>39.576167091099705</v>
      </c>
    </row>
    <row r="77" spans="2:10">
      <c r="B77" s="1">
        <v>2021</v>
      </c>
      <c r="D77" s="1">
        <f t="shared" si="0"/>
        <v>40.211228768410365</v>
      </c>
      <c r="H77" s="1">
        <v>2021</v>
      </c>
      <c r="J77" s="1">
        <f t="shared" si="1"/>
        <v>40.211228768410365</v>
      </c>
    </row>
    <row r="78" spans="2:10">
      <c r="B78" s="1">
        <v>2022</v>
      </c>
      <c r="D78" s="1">
        <f t="shared" si="0"/>
        <v>40.846290445721252</v>
      </c>
      <c r="H78" s="1">
        <v>2022</v>
      </c>
      <c r="J78" s="1">
        <f t="shared" si="1"/>
        <v>40.846290445721252</v>
      </c>
    </row>
    <row r="79" spans="2:10">
      <c r="B79" s="1">
        <v>2023</v>
      </c>
      <c r="D79" s="1">
        <f t="shared" si="0"/>
        <v>41.481352123031911</v>
      </c>
      <c r="H79" s="1">
        <v>2023</v>
      </c>
      <c r="J79" s="1">
        <f t="shared" si="1"/>
        <v>41.481352123031911</v>
      </c>
    </row>
    <row r="80" spans="2:10">
      <c r="B80" s="1">
        <v>2024</v>
      </c>
      <c r="D80" s="1">
        <f t="shared" si="0"/>
        <v>42.116413800342571</v>
      </c>
      <c r="H80" s="1">
        <v>2024</v>
      </c>
      <c r="J80" s="1">
        <f t="shared" si="1"/>
        <v>42.116413800342571</v>
      </c>
    </row>
    <row r="81" spans="2:10">
      <c r="B81" s="1">
        <v>2025</v>
      </c>
      <c r="D81" s="1">
        <f t="shared" si="0"/>
        <v>42.751475477653457</v>
      </c>
      <c r="H81" s="1">
        <v>2025</v>
      </c>
      <c r="J81" s="1">
        <f t="shared" si="1"/>
        <v>42.751475477653457</v>
      </c>
    </row>
    <row r="82" spans="2:10">
      <c r="B82" s="1">
        <v>2026</v>
      </c>
      <c r="D82" s="1">
        <f t="shared" si="0"/>
        <v>43.386537154964117</v>
      </c>
      <c r="H82" s="1">
        <v>2026</v>
      </c>
      <c r="J82" s="1">
        <f t="shared" si="1"/>
        <v>43.386537154964117</v>
      </c>
    </row>
    <row r="83" spans="2:10">
      <c r="B83" s="1">
        <v>2027</v>
      </c>
      <c r="D83" s="1">
        <f t="shared" si="0"/>
        <v>44.021598832275004</v>
      </c>
      <c r="H83" s="1">
        <v>2027</v>
      </c>
      <c r="J83" s="1">
        <f t="shared" si="1"/>
        <v>44.021598832275004</v>
      </c>
    </row>
    <row r="84" spans="2:10">
      <c r="B84" s="1">
        <v>2028</v>
      </c>
      <c r="D84" s="1">
        <f t="shared" si="0"/>
        <v>44.656660509585663</v>
      </c>
      <c r="H84" s="1">
        <v>2028</v>
      </c>
      <c r="J84" s="1">
        <f t="shared" si="1"/>
        <v>44.656660509585663</v>
      </c>
    </row>
    <row r="85" spans="2:10">
      <c r="B85" s="1">
        <v>2029</v>
      </c>
      <c r="D85" s="1">
        <f t="shared" si="0"/>
        <v>45.29172218689655</v>
      </c>
      <c r="H85" s="1">
        <v>2029</v>
      </c>
      <c r="J85" s="1">
        <f t="shared" si="1"/>
        <v>45.29172218689655</v>
      </c>
    </row>
    <row r="86" spans="2:10">
      <c r="B86" s="1">
        <v>2030</v>
      </c>
      <c r="D86" s="1">
        <f t="shared" si="0"/>
        <v>45.926783864207209</v>
      </c>
      <c r="H86" s="1">
        <v>2030</v>
      </c>
      <c r="J86" s="1">
        <f t="shared" si="1"/>
        <v>45.926783864207209</v>
      </c>
    </row>
  </sheetData>
  <phoneticPr fontId="1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L72"/>
  <sheetViews>
    <sheetView topLeftCell="A35" workbookViewId="0">
      <selection activeCell="C22" sqref="C22:C58"/>
    </sheetView>
  </sheetViews>
  <sheetFormatPr baseColWidth="10" defaultColWidth="8" defaultRowHeight="15"/>
  <cols>
    <col min="1" max="16384" width="8" style="1"/>
  </cols>
  <sheetData>
    <row r="1" spans="1:38">
      <c r="A1" s="5" t="s">
        <v>3</v>
      </c>
      <c r="B1" s="6">
        <v>1980</v>
      </c>
      <c r="C1" s="6">
        <v>1981</v>
      </c>
      <c r="D1" s="6">
        <v>1982</v>
      </c>
      <c r="E1" s="6">
        <v>1983</v>
      </c>
      <c r="F1" s="6">
        <v>1984</v>
      </c>
      <c r="G1" s="6">
        <v>1985</v>
      </c>
      <c r="H1" s="6">
        <v>1986</v>
      </c>
      <c r="I1" s="6">
        <v>1987</v>
      </c>
      <c r="J1" s="6">
        <v>1988</v>
      </c>
      <c r="K1" s="6">
        <v>1989</v>
      </c>
      <c r="L1" s="6">
        <v>1990</v>
      </c>
      <c r="M1" s="6">
        <v>1991</v>
      </c>
      <c r="N1" s="6">
        <v>1992</v>
      </c>
      <c r="O1" s="6">
        <v>1993</v>
      </c>
      <c r="P1" s="6">
        <v>1994</v>
      </c>
      <c r="Q1" s="6">
        <v>1995</v>
      </c>
      <c r="R1" s="6">
        <v>1996</v>
      </c>
      <c r="S1" s="6">
        <v>1997</v>
      </c>
      <c r="T1" s="6">
        <v>1998</v>
      </c>
      <c r="U1" s="6">
        <v>1999</v>
      </c>
      <c r="V1" s="6">
        <v>2000</v>
      </c>
      <c r="W1" s="6">
        <v>2001</v>
      </c>
      <c r="X1" s="6">
        <v>2002</v>
      </c>
      <c r="Y1" s="6">
        <v>2003</v>
      </c>
      <c r="Z1" s="6">
        <v>2004</v>
      </c>
      <c r="AA1" s="6">
        <v>2005</v>
      </c>
      <c r="AB1" s="6">
        <v>2006</v>
      </c>
      <c r="AC1" s="6">
        <v>2007</v>
      </c>
      <c r="AD1" s="6">
        <v>2008</v>
      </c>
      <c r="AE1" s="6">
        <v>2009</v>
      </c>
      <c r="AF1" s="6">
        <v>2010</v>
      </c>
      <c r="AG1" s="6">
        <v>2011</v>
      </c>
      <c r="AH1" s="6">
        <v>2012</v>
      </c>
      <c r="AI1" s="6">
        <v>2013</v>
      </c>
      <c r="AJ1" s="6">
        <v>2014</v>
      </c>
      <c r="AK1" s="6">
        <v>2015</v>
      </c>
      <c r="AL1" s="6">
        <v>2016</v>
      </c>
    </row>
    <row r="2" spans="1:38">
      <c r="A2" s="5" t="s">
        <v>4</v>
      </c>
      <c r="M2" s="1">
        <v>18.864030838012699</v>
      </c>
      <c r="N2" s="1">
        <v>18.1227207183838</v>
      </c>
      <c r="P2" s="1">
        <v>16.7564392089844</v>
      </c>
      <c r="Q2" s="1">
        <v>23.7924404144287</v>
      </c>
      <c r="R2" s="1">
        <v>16.713600158691399</v>
      </c>
      <c r="U2" s="1">
        <v>13.518639564514199</v>
      </c>
      <c r="V2" s="1">
        <v>10.7352600097656</v>
      </c>
      <c r="W2" s="1">
        <v>11.4331302642822</v>
      </c>
      <c r="X2" s="1">
        <v>12.486080169677701</v>
      </c>
      <c r="Z2" s="1">
        <v>9.1790800094604403</v>
      </c>
      <c r="AA2" s="1">
        <v>10.9592695236206</v>
      </c>
      <c r="AD2" s="1">
        <v>12.6155395507813</v>
      </c>
      <c r="AE2" s="1">
        <v>16.301689147949201</v>
      </c>
      <c r="AF2" s="1">
        <v>16.588100433349599</v>
      </c>
      <c r="AG2" s="1">
        <v>14.9792995452881</v>
      </c>
      <c r="AH2" s="1">
        <v>16.428319931030298</v>
      </c>
      <c r="AI2" s="1">
        <v>17.243259429931602</v>
      </c>
    </row>
    <row r="3" spans="1:38">
      <c r="A3" s="5" t="s">
        <v>5</v>
      </c>
      <c r="V3" s="1">
        <v>11.6836996078491</v>
      </c>
      <c r="W3" s="1">
        <v>15.733940124511699</v>
      </c>
      <c r="Y3" s="1">
        <v>21.442020416259801</v>
      </c>
      <c r="Z3" s="1">
        <v>20.847120285034201</v>
      </c>
      <c r="AA3" s="1">
        <v>21.377609252929702</v>
      </c>
      <c r="AB3" s="1">
        <v>20.312650680541999</v>
      </c>
      <c r="AC3" s="1">
        <v>21.568220138549801</v>
      </c>
      <c r="AD3" s="1">
        <v>15.588640213012701</v>
      </c>
      <c r="AE3" s="1">
        <v>19.779790878295799</v>
      </c>
      <c r="AF3" s="1">
        <v>18.753889083862301</v>
      </c>
      <c r="AG3" s="1">
        <v>14.867770195007299</v>
      </c>
      <c r="AH3" s="1">
        <v>15.176219940185501</v>
      </c>
      <c r="AI3" s="1">
        <v>13.8249502182007</v>
      </c>
    </row>
    <row r="4" spans="1:38">
      <c r="A4" s="5" t="s">
        <v>6</v>
      </c>
      <c r="S4" s="1">
        <v>12.8986597061157</v>
      </c>
      <c r="T4" s="1">
        <v>11.071530342102101</v>
      </c>
      <c r="U4" s="1">
        <v>17.059980392456101</v>
      </c>
      <c r="V4" s="1">
        <v>12.844490051269499</v>
      </c>
      <c r="W4" s="1">
        <v>13.7868499755859</v>
      </c>
      <c r="Z4" s="1">
        <v>11.0319004058838</v>
      </c>
      <c r="AA4" s="1">
        <v>14.672820091247599</v>
      </c>
      <c r="AE4" s="1">
        <v>9.5415897369384801</v>
      </c>
      <c r="AF4" s="1">
        <v>8.1192798614502006</v>
      </c>
      <c r="AG4" s="1">
        <v>10.083259582519499</v>
      </c>
      <c r="AH4" s="1">
        <v>9.2124099731445295</v>
      </c>
      <c r="AI4" s="1">
        <v>12.4614601135254</v>
      </c>
    </row>
    <row r="5" spans="1:38">
      <c r="A5" s="5" t="s">
        <v>8</v>
      </c>
      <c r="U5" s="1">
        <v>22.896070480346701</v>
      </c>
      <c r="V5" s="1">
        <v>29.385950088501001</v>
      </c>
      <c r="W5" s="1">
        <v>26.2800197601318</v>
      </c>
      <c r="X5" s="1">
        <v>25.4893093109131</v>
      </c>
      <c r="Y5" s="1">
        <v>24.271490097045799</v>
      </c>
      <c r="Z5" s="1">
        <v>24.7011394500732</v>
      </c>
      <c r="AA5" s="1">
        <v>22.715049743652301</v>
      </c>
      <c r="AB5" s="1">
        <v>24.707960128784201</v>
      </c>
      <c r="AC5" s="1">
        <v>22.527439117431602</v>
      </c>
      <c r="AF5" s="1">
        <v>12.3283996582031</v>
      </c>
    </row>
    <row r="6" spans="1:38">
      <c r="A6" s="5" t="s">
        <v>1</v>
      </c>
      <c r="B6" s="1">
        <v>12.3555402755737</v>
      </c>
      <c r="C6" s="1">
        <v>12.4869899749756</v>
      </c>
      <c r="D6" s="1">
        <v>12.178170204162599</v>
      </c>
      <c r="E6" s="1">
        <v>9.7013196945190394</v>
      </c>
      <c r="F6" s="1">
        <v>11.8201303482056</v>
      </c>
      <c r="G6" s="1">
        <v>10.0891304016113</v>
      </c>
      <c r="H6" s="1">
        <v>10.321749687194799</v>
      </c>
      <c r="O6" s="1">
        <v>13.264840126037599</v>
      </c>
      <c r="R6" s="1">
        <v>13.044139862060501</v>
      </c>
      <c r="S6" s="1">
        <v>14.8699197769165</v>
      </c>
      <c r="V6" s="1">
        <v>14.9077301025391</v>
      </c>
      <c r="W6" s="1">
        <v>14.4617700576782</v>
      </c>
      <c r="X6" s="1">
        <v>16.187749862670799</v>
      </c>
      <c r="AB6" s="1">
        <v>23.975379943847699</v>
      </c>
      <c r="AC6" s="1">
        <v>24.699449539184599</v>
      </c>
      <c r="AD6" s="1">
        <v>26.355730056762699</v>
      </c>
      <c r="AE6" s="1">
        <v>23.5837497711182</v>
      </c>
      <c r="AF6" s="1">
        <v>26.304040908813501</v>
      </c>
      <c r="AG6" s="1">
        <v>29.674430847168001</v>
      </c>
      <c r="AH6" s="1">
        <v>30.5395393371582</v>
      </c>
      <c r="AI6" s="1">
        <v>27.0210990905762</v>
      </c>
    </row>
    <row r="7" spans="1:38">
      <c r="A7" s="5" t="s">
        <v>9</v>
      </c>
      <c r="M7" s="1">
        <v>9.9965295791625994</v>
      </c>
      <c r="N7" s="1">
        <v>11.537449836731</v>
      </c>
      <c r="O7" s="1">
        <v>11.448499679565399</v>
      </c>
      <c r="U7" s="1">
        <v>14.6585502624512</v>
      </c>
      <c r="V7" s="1">
        <v>15.195969581604</v>
      </c>
      <c r="W7" s="1">
        <v>10.3157596588135</v>
      </c>
      <c r="X7" s="1">
        <v>13.0643196105957</v>
      </c>
      <c r="Y7" s="1">
        <v>11.6247501373291</v>
      </c>
      <c r="Z7" s="1">
        <v>12.3133001327515</v>
      </c>
      <c r="AA7" s="1">
        <v>10.9474697113037</v>
      </c>
      <c r="AD7" s="1">
        <v>15.678259849548301</v>
      </c>
      <c r="AE7" s="1">
        <v>13.583399772644</v>
      </c>
      <c r="AF7" s="1">
        <v>12.4383201599121</v>
      </c>
      <c r="AG7" s="1">
        <v>14.2593097686768</v>
      </c>
      <c r="AH7" s="1">
        <v>9.4606103897094709</v>
      </c>
      <c r="AI7" s="1">
        <v>14.132809638977101</v>
      </c>
      <c r="AJ7" s="1">
        <v>11.989509582519499</v>
      </c>
    </row>
    <row r="8" spans="1:38">
      <c r="A8" s="5" t="s">
        <v>11</v>
      </c>
      <c r="D8" s="1">
        <v>16.210960388183601</v>
      </c>
      <c r="E8" s="1">
        <v>17.262159347534201</v>
      </c>
      <c r="F8" s="1">
        <v>14.4205102920532</v>
      </c>
      <c r="G8" s="1">
        <v>15.4351100921631</v>
      </c>
      <c r="H8" s="1">
        <v>17.523990631103501</v>
      </c>
      <c r="J8" s="1">
        <v>19.3154697418213</v>
      </c>
      <c r="K8" s="1">
        <v>16.955249786376999</v>
      </c>
      <c r="M8" s="1">
        <v>18.4959106445313</v>
      </c>
      <c r="N8" s="1">
        <v>15.827320098876999</v>
      </c>
      <c r="O8" s="1">
        <v>13.757300376892101</v>
      </c>
      <c r="P8" s="1">
        <v>14.835680007934601</v>
      </c>
      <c r="U8" s="1">
        <v>24.0459804534912</v>
      </c>
      <c r="V8" s="1">
        <v>23.397010803222699</v>
      </c>
      <c r="W8" s="1">
        <v>22.395709991455099</v>
      </c>
      <c r="X8" s="1">
        <v>25.628210067748999</v>
      </c>
      <c r="Y8" s="1">
        <v>24.980089187622099</v>
      </c>
      <c r="Z8" s="1">
        <v>26.668149948120099</v>
      </c>
      <c r="AA8" s="1">
        <v>27.4693393707275</v>
      </c>
      <c r="AB8" s="1">
        <v>25.0813999176025</v>
      </c>
      <c r="AF8" s="1">
        <v>20.5559902191162</v>
      </c>
      <c r="AG8" s="1">
        <v>19.252830505371101</v>
      </c>
      <c r="AH8" s="1">
        <v>19.923900604248001</v>
      </c>
      <c r="AI8" s="1">
        <v>19.1356906890869</v>
      </c>
      <c r="AJ8" s="1">
        <v>17.081029891967798</v>
      </c>
      <c r="AK8" s="1">
        <v>16.664659500122099</v>
      </c>
    </row>
    <row r="9" spans="1:38">
      <c r="A9" s="5" t="s">
        <v>13</v>
      </c>
      <c r="C9" s="1">
        <v>14.899310111999499</v>
      </c>
      <c r="D9" s="1">
        <v>16.5352897644043</v>
      </c>
      <c r="E9" s="1">
        <v>16.7896404266357</v>
      </c>
      <c r="F9" s="1">
        <v>18.323890686035199</v>
      </c>
      <c r="G9" s="1">
        <v>16.620180130004901</v>
      </c>
      <c r="O9" s="1">
        <v>12.317299842834499</v>
      </c>
      <c r="S9" s="1">
        <v>10.6444101333618</v>
      </c>
      <c r="T9" s="1">
        <v>9.3827695846557599</v>
      </c>
      <c r="U9" s="1">
        <v>15.538700103759799</v>
      </c>
      <c r="V9" s="1">
        <v>15.890509605407701</v>
      </c>
      <c r="W9" s="1">
        <v>17.682470321655298</v>
      </c>
      <c r="X9" s="1">
        <v>17.936759948730501</v>
      </c>
      <c r="Y9" s="1">
        <v>15.763139724731399</v>
      </c>
      <c r="Z9" s="1">
        <v>12.9607696533203</v>
      </c>
      <c r="AA9" s="1">
        <v>18.033039093017599</v>
      </c>
      <c r="AB9" s="1">
        <v>15.324190139770501</v>
      </c>
      <c r="AC9" s="1">
        <v>18.044549942016602</v>
      </c>
      <c r="AD9" s="1">
        <v>16.258140563964801</v>
      </c>
      <c r="AE9" s="1">
        <v>22.585830688476602</v>
      </c>
      <c r="AG9" s="1">
        <v>19.779699325561499</v>
      </c>
      <c r="AH9" s="1">
        <v>20.325799942016602</v>
      </c>
      <c r="AI9" s="1">
        <v>13.9893798828125</v>
      </c>
    </row>
    <row r="10" spans="1:38">
      <c r="A10" s="5" t="s">
        <v>15</v>
      </c>
      <c r="V10" s="1">
        <v>15.323809623718301</v>
      </c>
      <c r="W10" s="1">
        <v>14.4931898117065</v>
      </c>
      <c r="X10" s="1">
        <v>14.5252103805541</v>
      </c>
      <c r="Y10" s="1">
        <v>18.283760070800799</v>
      </c>
      <c r="Z10" s="1">
        <v>17.736349105835</v>
      </c>
      <c r="AA10" s="1">
        <v>16.280300140380898</v>
      </c>
      <c r="AD10" s="1">
        <v>18.031690597534201</v>
      </c>
      <c r="AE10" s="1">
        <v>16.959409713745099</v>
      </c>
      <c r="AF10" s="1">
        <v>16.503910064697301</v>
      </c>
      <c r="AG10" s="1">
        <v>18.2583408355713</v>
      </c>
      <c r="AH10" s="1">
        <v>22.403379440307599</v>
      </c>
      <c r="AI10" s="1">
        <v>16.623449325561499</v>
      </c>
      <c r="AJ10" s="1">
        <v>18.224260330200199</v>
      </c>
      <c r="AK10" s="1">
        <v>18.155490875244102</v>
      </c>
    </row>
    <row r="11" spans="1:38">
      <c r="A11" s="5" t="s">
        <v>16</v>
      </c>
      <c r="R11" s="1">
        <v>28.339960098266602</v>
      </c>
      <c r="U11" s="1">
        <v>14.1224203109741</v>
      </c>
      <c r="V11" s="1">
        <v>12.9239301681519</v>
      </c>
      <c r="W11" s="1">
        <v>16.424760818481399</v>
      </c>
      <c r="X11" s="1">
        <v>17.884340286254901</v>
      </c>
      <c r="Y11" s="1">
        <v>16.192590713501001</v>
      </c>
      <c r="Z11" s="1">
        <v>19.452020645141602</v>
      </c>
      <c r="AA11" s="1">
        <v>19.2966499328613</v>
      </c>
      <c r="AB11" s="1">
        <v>18.608819961547901</v>
      </c>
      <c r="AC11" s="1">
        <v>19.416969299316399</v>
      </c>
      <c r="AD11" s="1">
        <v>19.850080490112301</v>
      </c>
      <c r="AE11" s="1">
        <v>20.992630004882798</v>
      </c>
      <c r="AF11" s="1">
        <v>22.267009735107401</v>
      </c>
      <c r="AG11" s="1">
        <v>21.915880203247099</v>
      </c>
      <c r="AH11" s="1">
        <v>20.741970062255898</v>
      </c>
      <c r="AJ11" s="1">
        <v>18.765100479126001</v>
      </c>
      <c r="AL11" s="1">
        <v>18.491819381713899</v>
      </c>
    </row>
    <row r="12" spans="1:38">
      <c r="A12" s="5" t="s">
        <v>17</v>
      </c>
      <c r="T12" s="1">
        <v>12.053750038146999</v>
      </c>
      <c r="U12" s="1">
        <v>16.9233207702637</v>
      </c>
      <c r="Z12" s="1">
        <v>18.001539230346701</v>
      </c>
      <c r="AA12" s="1">
        <v>22.7181797027588</v>
      </c>
      <c r="AB12" s="1">
        <v>18.5500392913818</v>
      </c>
      <c r="AH12" s="1">
        <v>19.701820373535199</v>
      </c>
      <c r="AI12" s="1">
        <v>18.978090286254901</v>
      </c>
    </row>
    <row r="13" spans="1:38">
      <c r="A13" s="5" t="s">
        <v>19</v>
      </c>
      <c r="V13" s="1">
        <v>19.113590240478501</v>
      </c>
      <c r="W13" s="1">
        <v>21.618940353393601</v>
      </c>
      <c r="X13" s="1">
        <v>20.426349639892599</v>
      </c>
      <c r="Y13" s="1">
        <v>21.302179336547901</v>
      </c>
      <c r="Z13" s="1">
        <v>21.60618019104</v>
      </c>
      <c r="AA13" s="1">
        <v>22.276889801025401</v>
      </c>
      <c r="AB13" s="1">
        <v>25.485040664672901</v>
      </c>
      <c r="AC13" s="1">
        <v>21.128669738769499</v>
      </c>
      <c r="AD13" s="1">
        <v>22.114820480346701</v>
      </c>
      <c r="AE13" s="1">
        <v>19.847530364990199</v>
      </c>
      <c r="AF13" s="1">
        <v>16.024829864501999</v>
      </c>
      <c r="AG13" s="1">
        <v>17.976860046386701</v>
      </c>
      <c r="AH13" s="1">
        <v>17.437080383300799</v>
      </c>
      <c r="AI13" s="1">
        <v>17.569639205932599</v>
      </c>
      <c r="AJ13" s="1">
        <v>18.2812900543213</v>
      </c>
      <c r="AK13" s="1">
        <v>16.989660263061499</v>
      </c>
    </row>
    <row r="14" spans="1:38">
      <c r="A14" s="5" t="s">
        <v>21</v>
      </c>
      <c r="R14" s="1">
        <v>17.749540328979499</v>
      </c>
      <c r="U14" s="1">
        <v>17.1178092956543</v>
      </c>
      <c r="V14" s="1">
        <v>18.7831707000732</v>
      </c>
      <c r="W14" s="1">
        <v>16.5955696105957</v>
      </c>
      <c r="X14" s="1">
        <v>16.652469635009801</v>
      </c>
      <c r="Y14" s="1">
        <v>13.8454999923706</v>
      </c>
      <c r="AB14" s="1">
        <v>16.8837699890137</v>
      </c>
      <c r="AC14" s="1">
        <v>17.375970840454102</v>
      </c>
      <c r="AD14" s="1">
        <v>16.177330017089801</v>
      </c>
      <c r="AE14" s="1">
        <v>18.912939071655298</v>
      </c>
      <c r="AF14" s="1">
        <v>18.104040145873999</v>
      </c>
      <c r="AG14" s="1">
        <v>21.675809860229499</v>
      </c>
      <c r="AH14" s="1">
        <v>19.192020416259801</v>
      </c>
      <c r="AI14" s="1">
        <v>18.084529876708999</v>
      </c>
      <c r="AJ14" s="1">
        <v>21.661500930786101</v>
      </c>
      <c r="AK14" s="1">
        <v>18.510860443115199</v>
      </c>
    </row>
    <row r="15" spans="1:38">
      <c r="A15" s="5" t="s">
        <v>22</v>
      </c>
      <c r="U15" s="1">
        <v>17.250669479370099</v>
      </c>
      <c r="V15" s="1">
        <v>18.835329055786101</v>
      </c>
      <c r="W15" s="1">
        <v>25.3131408691406</v>
      </c>
      <c r="AC15" s="1">
        <v>17.7865505218506</v>
      </c>
      <c r="AD15" s="1">
        <v>15.591509819030801</v>
      </c>
      <c r="AF15" s="1">
        <v>17.548059463501001</v>
      </c>
      <c r="AG15" s="1">
        <v>15.343379974365201</v>
      </c>
      <c r="AH15" s="1">
        <v>15.8154697418213</v>
      </c>
      <c r="AI15" s="1">
        <v>16.8596305847168</v>
      </c>
      <c r="AL15" s="1">
        <v>12.278389930725099</v>
      </c>
    </row>
    <row r="16" spans="1:38">
      <c r="A16" s="5" t="s">
        <v>23</v>
      </c>
      <c r="X16" s="1">
        <v>6.4282898902893102</v>
      </c>
      <c r="Y16" s="1">
        <v>6.6890897750854501</v>
      </c>
      <c r="Z16" s="1">
        <v>5.8499097824096697</v>
      </c>
      <c r="AA16" s="1">
        <v>12.1264896392822</v>
      </c>
      <c r="AB16" s="1">
        <v>14.088410377502401</v>
      </c>
      <c r="AC16" s="1">
        <v>16.659690856933601</v>
      </c>
      <c r="AD16" s="1">
        <v>18.243320465087901</v>
      </c>
      <c r="AE16" s="1">
        <v>20.5594997406006</v>
      </c>
      <c r="AF16" s="1">
        <v>19.3235893249512</v>
      </c>
      <c r="AH16" s="1">
        <v>13.7196702957153</v>
      </c>
      <c r="AI16" s="1">
        <v>18.8266296386719</v>
      </c>
      <c r="AJ16" s="1">
        <v>12.322600364685099</v>
      </c>
    </row>
    <row r="17" spans="1:38">
      <c r="A17" s="5" t="s">
        <v>24</v>
      </c>
      <c r="M17" s="1">
        <v>10.8762302398682</v>
      </c>
      <c r="P17" s="1">
        <v>12.7072801589966</v>
      </c>
      <c r="Q17" s="1">
        <v>11.565670013427701</v>
      </c>
      <c r="R17" s="1">
        <v>12.693889617919901</v>
      </c>
      <c r="T17" s="1">
        <v>11.668829917907701</v>
      </c>
      <c r="AE17" s="1">
        <v>8.2707901000976598</v>
      </c>
      <c r="AF17" s="1">
        <v>8.6056604385375994</v>
      </c>
      <c r="AG17" s="1">
        <v>9.1101598739624006</v>
      </c>
      <c r="AH17" s="1">
        <v>8.3940296173095703</v>
      </c>
      <c r="AI17" s="1">
        <v>9.4199495315551793</v>
      </c>
      <c r="AJ17" s="1">
        <v>10.8239603042603</v>
      </c>
      <c r="AK17" s="1">
        <v>10.9502601623535</v>
      </c>
      <c r="AL17" s="1">
        <v>17.728759765625</v>
      </c>
    </row>
    <row r="18" spans="1:38">
      <c r="A18" s="5" t="s">
        <v>25</v>
      </c>
      <c r="T18" s="1">
        <v>15.0724496841431</v>
      </c>
      <c r="U18" s="1">
        <v>11.834389686584499</v>
      </c>
      <c r="V18" s="1">
        <v>12.025139808654799</v>
      </c>
      <c r="W18" s="1">
        <v>13.188529968261699</v>
      </c>
      <c r="X18" s="1">
        <v>14.593640327453601</v>
      </c>
      <c r="Y18" s="1">
        <v>12.694239616394</v>
      </c>
      <c r="Z18" s="1">
        <v>13.676759719848601</v>
      </c>
      <c r="AA18" s="1">
        <v>15.2933797836304</v>
      </c>
      <c r="AB18" s="1">
        <v>15.636010169982899</v>
      </c>
      <c r="AC18" s="1">
        <v>12.214879989624</v>
      </c>
      <c r="AD18" s="1">
        <v>12.800499916076699</v>
      </c>
      <c r="AE18" s="1">
        <v>14.312159538269</v>
      </c>
      <c r="AF18" s="1">
        <v>15.3314504623413</v>
      </c>
      <c r="AG18" s="1">
        <v>14.560509681701699</v>
      </c>
      <c r="AH18" s="1">
        <v>16.3502407073975</v>
      </c>
      <c r="AK18" s="1">
        <v>16.4433898925781</v>
      </c>
    </row>
    <row r="19" spans="1:38">
      <c r="A19" s="5" t="s">
        <v>26</v>
      </c>
      <c r="R19" s="1">
        <v>12.5003099441528</v>
      </c>
      <c r="S19" s="1">
        <v>12.6278896331787</v>
      </c>
      <c r="T19" s="1">
        <v>11.7939701080322</v>
      </c>
      <c r="Z19" s="1">
        <v>19.492639541626001</v>
      </c>
      <c r="AA19" s="1">
        <v>18.143140792846701</v>
      </c>
      <c r="AB19" s="1">
        <v>15.0141201019287</v>
      </c>
      <c r="AC19" s="1">
        <v>19.431739807128899</v>
      </c>
      <c r="AD19" s="1">
        <v>18.7784099578857</v>
      </c>
      <c r="AE19" s="1">
        <v>17.4109191894531</v>
      </c>
      <c r="AF19" s="1">
        <v>19.6480102539063</v>
      </c>
      <c r="AJ19" s="1">
        <v>17.2971000671387</v>
      </c>
    </row>
    <row r="20" spans="1:38">
      <c r="A20" s="5" t="s">
        <v>27</v>
      </c>
      <c r="V20" s="1">
        <v>10.3548698425293</v>
      </c>
      <c r="Z20" s="1">
        <v>20.3083400726318</v>
      </c>
      <c r="AF20" s="1">
        <v>10.104889869689901</v>
      </c>
      <c r="AG20" s="1">
        <v>13.611370086669901</v>
      </c>
      <c r="AH20" s="1">
        <v>11.4518995285034</v>
      </c>
      <c r="AI20" s="1">
        <v>11.743120193481399</v>
      </c>
      <c r="AJ20" s="1">
        <v>10.8759603500366</v>
      </c>
    </row>
    <row r="22" spans="1:38">
      <c r="B22" s="1">
        <v>1980</v>
      </c>
      <c r="C22" s="1">
        <f>VLOOKUP(Indicateur14!$K$6,prevision14!$A$1:$AL$20,MATCH(prevision14!B22,prevision14!$A$1:$AL$1,0),FALSE)</f>
        <v>12.3555402755737</v>
      </c>
      <c r="H22" s="1">
        <v>1980</v>
      </c>
      <c r="I22" s="1">
        <f>VLOOKUP('comite 5'!$C$4,prevision14!$A$1:$BG$28,MATCH(H22,$A$1:$BG$1,0),FALSE)</f>
        <v>12.3555402755737</v>
      </c>
    </row>
    <row r="23" spans="1:38">
      <c r="B23" s="1">
        <v>1981</v>
      </c>
      <c r="C23" s="1">
        <f>VLOOKUP(Indicateur14!$K$6,prevision14!$A$1:$AL$20,MATCH(prevision14!B23,prevision14!$A$1:$AL$1,0),FALSE)</f>
        <v>12.4869899749756</v>
      </c>
      <c r="H23" s="1">
        <v>1981</v>
      </c>
      <c r="I23" s="1">
        <f>VLOOKUP('comite 5'!$C$4,prevision14!$A$1:$BG$28,MATCH(H23,$A$1:$BG$1,0),FALSE)</f>
        <v>12.4869899749756</v>
      </c>
    </row>
    <row r="24" spans="1:38">
      <c r="B24" s="1">
        <v>1982</v>
      </c>
      <c r="C24" s="1">
        <f>VLOOKUP(Indicateur14!$K$6,prevision14!$A$1:$AL$20,MATCH(prevision14!B24,prevision14!$A$1:$AL$1,0),FALSE)</f>
        <v>12.178170204162599</v>
      </c>
      <c r="H24" s="1">
        <v>1982</v>
      </c>
      <c r="I24" s="1">
        <f>VLOOKUP('comite 5'!$C$4,prevision14!$A$1:$BG$28,MATCH(H24,$A$1:$BG$1,0),FALSE)</f>
        <v>12.178170204162599</v>
      </c>
    </row>
    <row r="25" spans="1:38">
      <c r="B25" s="1">
        <v>1983</v>
      </c>
      <c r="C25" s="1">
        <f>VLOOKUP(Indicateur14!$K$6,prevision14!$A$1:$AL$20,MATCH(prevision14!B25,prevision14!$A$1:$AL$1,0),FALSE)</f>
        <v>9.7013196945190394</v>
      </c>
      <c r="H25" s="1">
        <v>1983</v>
      </c>
      <c r="I25" s="1">
        <f>VLOOKUP('comite 5'!$C$4,prevision14!$A$1:$BG$28,MATCH(H25,$A$1:$BG$1,0),FALSE)</f>
        <v>9.7013196945190394</v>
      </c>
    </row>
    <row r="26" spans="1:38">
      <c r="B26" s="1">
        <v>1984</v>
      </c>
      <c r="C26" s="1">
        <f>VLOOKUP(Indicateur14!$K$6,prevision14!$A$1:$AL$20,MATCH(prevision14!B26,prevision14!$A$1:$AL$1,0),FALSE)</f>
        <v>11.8201303482056</v>
      </c>
      <c r="H26" s="1">
        <v>1984</v>
      </c>
      <c r="I26" s="1">
        <f>VLOOKUP('comite 5'!$C$4,prevision14!$A$1:$BG$28,MATCH(H26,$A$1:$BG$1,0),FALSE)</f>
        <v>11.8201303482056</v>
      </c>
    </row>
    <row r="27" spans="1:38">
      <c r="B27" s="1">
        <v>1985</v>
      </c>
      <c r="C27" s="1">
        <f>VLOOKUP(Indicateur14!$K$6,prevision14!$A$1:$AL$20,MATCH(prevision14!B27,prevision14!$A$1:$AL$1,0),FALSE)</f>
        <v>10.0891304016113</v>
      </c>
      <c r="H27" s="1">
        <v>1985</v>
      </c>
      <c r="I27" s="1">
        <f>VLOOKUP('comite 5'!$C$4,prevision14!$A$1:$BG$28,MATCH(H27,$A$1:$BG$1,0),FALSE)</f>
        <v>10.0891304016113</v>
      </c>
    </row>
    <row r="28" spans="1:38">
      <c r="B28" s="1">
        <v>1986</v>
      </c>
      <c r="C28" s="1">
        <f>VLOOKUP(Indicateur14!$K$6,prevision14!$A$1:$AL$20,MATCH(prevision14!B28,prevision14!$A$1:$AL$1,0),FALSE)</f>
        <v>10.321749687194799</v>
      </c>
      <c r="H28" s="1">
        <v>1986</v>
      </c>
      <c r="I28" s="1">
        <f>VLOOKUP('comite 5'!$C$4,prevision14!$A$1:$BG$28,MATCH(H28,$A$1:$BG$1,0),FALSE)</f>
        <v>10.321749687194799</v>
      </c>
    </row>
    <row r="29" spans="1:38">
      <c r="B29" s="1">
        <v>1987</v>
      </c>
      <c r="C29" s="1">
        <f>VLOOKUP(Indicateur14!$K$6,prevision14!$A$1:$AL$20,MATCH(prevision14!B29,prevision14!$A$1:$AL$1,0),FALSE)</f>
        <v>0</v>
      </c>
      <c r="H29" s="1">
        <v>1987</v>
      </c>
      <c r="I29" s="1">
        <f>VLOOKUP('comite 5'!$C$4,prevision14!$A$1:$BG$28,MATCH(H29,$A$1:$BG$1,0),FALSE)</f>
        <v>0</v>
      </c>
    </row>
    <row r="30" spans="1:38">
      <c r="B30" s="1">
        <v>1988</v>
      </c>
      <c r="C30" s="1">
        <f>VLOOKUP(Indicateur14!$K$6,prevision14!$A$1:$AL$20,MATCH(prevision14!B30,prevision14!$A$1:$AL$1,0),FALSE)</f>
        <v>0</v>
      </c>
      <c r="H30" s="1">
        <v>1988</v>
      </c>
      <c r="I30" s="1">
        <f>VLOOKUP('comite 5'!$C$4,prevision14!$A$1:$BG$28,MATCH(H30,$A$1:$BG$1,0),FALSE)</f>
        <v>0</v>
      </c>
    </row>
    <row r="31" spans="1:38">
      <c r="B31" s="1">
        <v>1989</v>
      </c>
      <c r="C31" s="1">
        <f>VLOOKUP(Indicateur14!$K$6,prevision14!$A$1:$AL$20,MATCH(prevision14!B31,prevision14!$A$1:$AL$1,0),FALSE)</f>
        <v>0</v>
      </c>
      <c r="H31" s="1">
        <v>1989</v>
      </c>
      <c r="I31" s="1">
        <f>VLOOKUP('comite 5'!$C$4,prevision14!$A$1:$BG$28,MATCH(H31,$A$1:$BG$1,0),FALSE)</f>
        <v>0</v>
      </c>
    </row>
    <row r="32" spans="1:38">
      <c r="B32" s="1">
        <v>1990</v>
      </c>
      <c r="C32" s="1">
        <f>VLOOKUP(Indicateur14!$K$6,prevision14!$A$1:$AL$20,MATCH(prevision14!B32,prevision14!$A$1:$AL$1,0),FALSE)</f>
        <v>0</v>
      </c>
      <c r="H32" s="1">
        <v>1990</v>
      </c>
      <c r="I32" s="1">
        <f>VLOOKUP('comite 5'!$C$4,prevision14!$A$1:$BG$28,MATCH(H32,$A$1:$BG$1,0),FALSE)</f>
        <v>0</v>
      </c>
    </row>
    <row r="33" spans="2:9">
      <c r="B33" s="1">
        <v>1991</v>
      </c>
      <c r="C33" s="1">
        <f>VLOOKUP(Indicateur14!$K$6,prevision14!$A$1:$AL$20,MATCH(prevision14!B33,prevision14!$A$1:$AL$1,0),FALSE)</f>
        <v>0</v>
      </c>
      <c r="H33" s="1">
        <v>1991</v>
      </c>
      <c r="I33" s="1">
        <f>VLOOKUP('comite 5'!$C$4,prevision14!$A$1:$BG$28,MATCH(H33,$A$1:$BG$1,0),FALSE)</f>
        <v>0</v>
      </c>
    </row>
    <row r="34" spans="2:9">
      <c r="B34" s="1">
        <v>1992</v>
      </c>
      <c r="C34" s="1">
        <f>VLOOKUP(Indicateur14!$K$6,prevision14!$A$1:$AL$20,MATCH(prevision14!B34,prevision14!$A$1:$AL$1,0),FALSE)</f>
        <v>0</v>
      </c>
      <c r="H34" s="1">
        <v>1992</v>
      </c>
      <c r="I34" s="1">
        <f>VLOOKUP('comite 5'!$C$4,prevision14!$A$1:$BG$28,MATCH(H34,$A$1:$BG$1,0),FALSE)</f>
        <v>0</v>
      </c>
    </row>
    <row r="35" spans="2:9">
      <c r="B35" s="1">
        <v>1993</v>
      </c>
      <c r="C35" s="1">
        <f>VLOOKUP(Indicateur14!$K$6,prevision14!$A$1:$AL$20,MATCH(prevision14!B35,prevision14!$A$1:$AL$1,0),FALSE)</f>
        <v>13.264840126037599</v>
      </c>
      <c r="H35" s="1">
        <v>1993</v>
      </c>
      <c r="I35" s="1">
        <f>VLOOKUP('comite 5'!$C$4,prevision14!$A$1:$BG$28,MATCH(H35,$A$1:$BG$1,0),FALSE)</f>
        <v>13.264840126037599</v>
      </c>
    </row>
    <row r="36" spans="2:9">
      <c r="B36" s="1">
        <v>1994</v>
      </c>
      <c r="C36" s="1">
        <f>VLOOKUP(Indicateur14!$K$6,prevision14!$A$1:$AL$20,MATCH(prevision14!B36,prevision14!$A$1:$AL$1,0),FALSE)</f>
        <v>0</v>
      </c>
      <c r="H36" s="1">
        <v>1994</v>
      </c>
      <c r="I36" s="1">
        <f>VLOOKUP('comite 5'!$C$4,prevision14!$A$1:$BG$28,MATCH(H36,$A$1:$BG$1,0),FALSE)</f>
        <v>0</v>
      </c>
    </row>
    <row r="37" spans="2:9">
      <c r="B37" s="1">
        <v>1995</v>
      </c>
      <c r="C37" s="1">
        <f>VLOOKUP(Indicateur14!$K$6,prevision14!$A$1:$AL$20,MATCH(prevision14!B37,prevision14!$A$1:$AL$1,0),FALSE)</f>
        <v>0</v>
      </c>
      <c r="H37" s="1">
        <v>1995</v>
      </c>
      <c r="I37" s="1">
        <f>VLOOKUP('comite 5'!$C$4,prevision14!$A$1:$BG$28,MATCH(H37,$A$1:$BG$1,0),FALSE)</f>
        <v>0</v>
      </c>
    </row>
    <row r="38" spans="2:9">
      <c r="B38" s="1">
        <v>1996</v>
      </c>
      <c r="C38" s="1">
        <f>VLOOKUP(Indicateur14!$K$6,prevision14!$A$1:$AL$20,MATCH(prevision14!B38,prevision14!$A$1:$AL$1,0),FALSE)</f>
        <v>13.044139862060501</v>
      </c>
      <c r="H38" s="1">
        <v>1996</v>
      </c>
      <c r="I38" s="1">
        <f>VLOOKUP('comite 5'!$C$4,prevision14!$A$1:$BG$28,MATCH(H38,$A$1:$BG$1,0),FALSE)</f>
        <v>13.044139862060501</v>
      </c>
    </row>
    <row r="39" spans="2:9">
      <c r="B39" s="1">
        <v>1997</v>
      </c>
      <c r="C39" s="1">
        <f>VLOOKUP(Indicateur14!$K$6,prevision14!$A$1:$AL$20,MATCH(prevision14!B39,prevision14!$A$1:$AL$1,0),FALSE)</f>
        <v>14.8699197769165</v>
      </c>
      <c r="H39" s="1">
        <v>1997</v>
      </c>
      <c r="I39" s="1">
        <f>VLOOKUP('comite 5'!$C$4,prevision14!$A$1:$BG$28,MATCH(H39,$A$1:$BG$1,0),FALSE)</f>
        <v>14.8699197769165</v>
      </c>
    </row>
    <row r="40" spans="2:9">
      <c r="B40" s="1">
        <v>1998</v>
      </c>
      <c r="C40" s="1">
        <f>VLOOKUP(Indicateur14!$K$6,prevision14!$A$1:$AL$20,MATCH(prevision14!B40,prevision14!$A$1:$AL$1,0),FALSE)</f>
        <v>0</v>
      </c>
      <c r="H40" s="1">
        <v>1998</v>
      </c>
      <c r="I40" s="1">
        <f>VLOOKUP('comite 5'!$C$4,prevision14!$A$1:$BG$28,MATCH(H40,$A$1:$BG$1,0),FALSE)</f>
        <v>0</v>
      </c>
    </row>
    <row r="41" spans="2:9">
      <c r="B41" s="1">
        <v>1999</v>
      </c>
      <c r="C41" s="1">
        <f>VLOOKUP(Indicateur14!$K$6,prevision14!$A$1:$AL$20,MATCH(prevision14!B41,prevision14!$A$1:$AL$1,0),FALSE)</f>
        <v>0</v>
      </c>
      <c r="H41" s="1">
        <v>1999</v>
      </c>
      <c r="I41" s="1">
        <f>VLOOKUP('comite 5'!$C$4,prevision14!$A$1:$BG$28,MATCH(H41,$A$1:$BG$1,0),FALSE)</f>
        <v>0</v>
      </c>
    </row>
    <row r="42" spans="2:9">
      <c r="B42" s="1">
        <v>2000</v>
      </c>
      <c r="C42" s="1">
        <f>VLOOKUP(Indicateur14!$K$6,prevision14!$A$1:$AL$20,MATCH(prevision14!B42,prevision14!$A$1:$AL$1,0),FALSE)</f>
        <v>14.9077301025391</v>
      </c>
      <c r="H42" s="1">
        <v>2000</v>
      </c>
      <c r="I42" s="1">
        <f>VLOOKUP('comite 5'!$C$4,prevision14!$A$1:$BG$28,MATCH(H42,$A$1:$BG$1,0),FALSE)</f>
        <v>14.9077301025391</v>
      </c>
    </row>
    <row r="43" spans="2:9">
      <c r="B43" s="1">
        <v>2001</v>
      </c>
      <c r="C43" s="1">
        <f>VLOOKUP(Indicateur14!$K$6,prevision14!$A$1:$AL$20,MATCH(prevision14!B43,prevision14!$A$1:$AL$1,0),FALSE)</f>
        <v>14.4617700576782</v>
      </c>
      <c r="H43" s="1">
        <v>2001</v>
      </c>
      <c r="I43" s="1">
        <f>VLOOKUP('comite 5'!$C$4,prevision14!$A$1:$BG$28,MATCH(H43,$A$1:$BG$1,0),FALSE)</f>
        <v>14.4617700576782</v>
      </c>
    </row>
    <row r="44" spans="2:9">
      <c r="B44" s="1">
        <v>2002</v>
      </c>
      <c r="C44" s="1">
        <f>VLOOKUP(Indicateur14!$K$6,prevision14!$A$1:$AL$20,MATCH(prevision14!B44,prevision14!$A$1:$AL$1,0),FALSE)</f>
        <v>16.187749862670799</v>
      </c>
      <c r="H44" s="1">
        <v>2002</v>
      </c>
      <c r="I44" s="1">
        <f>VLOOKUP('comite 5'!$C$4,prevision14!$A$1:$BG$28,MATCH(H44,$A$1:$BG$1,0),FALSE)</f>
        <v>16.187749862670799</v>
      </c>
    </row>
    <row r="45" spans="2:9">
      <c r="B45" s="1">
        <v>2003</v>
      </c>
      <c r="C45" s="1">
        <f>VLOOKUP(Indicateur14!$K$6,prevision14!$A$1:$AL$20,MATCH(prevision14!B45,prevision14!$A$1:$AL$1,0),FALSE)</f>
        <v>0</v>
      </c>
      <c r="H45" s="1">
        <v>2003</v>
      </c>
      <c r="I45" s="1">
        <f>VLOOKUP('comite 5'!$C$4,prevision14!$A$1:$BG$28,MATCH(H45,$A$1:$BG$1,0),FALSE)</f>
        <v>0</v>
      </c>
    </row>
    <row r="46" spans="2:9">
      <c r="B46" s="1">
        <v>2004</v>
      </c>
      <c r="C46" s="1">
        <f>VLOOKUP(Indicateur14!$K$6,prevision14!$A$1:$AL$20,MATCH(prevision14!B46,prevision14!$A$1:$AL$1,0),FALSE)</f>
        <v>0</v>
      </c>
      <c r="H46" s="1">
        <v>2004</v>
      </c>
      <c r="I46" s="1">
        <f>VLOOKUP('comite 5'!$C$4,prevision14!$A$1:$BG$28,MATCH(H46,$A$1:$BG$1,0),FALSE)</f>
        <v>0</v>
      </c>
    </row>
    <row r="47" spans="2:9">
      <c r="B47" s="1">
        <v>2005</v>
      </c>
      <c r="C47" s="1">
        <f>VLOOKUP(Indicateur14!$K$6,prevision14!$A$1:$AL$20,MATCH(prevision14!B47,prevision14!$A$1:$AL$1,0),FALSE)</f>
        <v>0</v>
      </c>
      <c r="H47" s="1">
        <v>2005</v>
      </c>
      <c r="I47" s="1">
        <f>VLOOKUP('comite 5'!$C$4,prevision14!$A$1:$BG$28,MATCH(H47,$A$1:$BG$1,0),FALSE)</f>
        <v>0</v>
      </c>
    </row>
    <row r="48" spans="2:9">
      <c r="B48" s="1">
        <v>2006</v>
      </c>
      <c r="C48" s="1">
        <f>VLOOKUP(Indicateur14!$K$6,prevision14!$A$1:$AL$20,MATCH(prevision14!B48,prevision14!$A$1:$AL$1,0),FALSE)</f>
        <v>23.975379943847699</v>
      </c>
      <c r="H48" s="1">
        <v>2006</v>
      </c>
      <c r="I48" s="1">
        <f>VLOOKUP('comite 5'!$C$4,prevision14!$A$1:$BG$28,MATCH(H48,$A$1:$BG$1,0),FALSE)</f>
        <v>23.975379943847699</v>
      </c>
    </row>
    <row r="49" spans="2:10">
      <c r="B49" s="1">
        <v>2007</v>
      </c>
      <c r="C49" s="1">
        <f>VLOOKUP(Indicateur14!$K$6,prevision14!$A$1:$AL$20,MATCH(prevision14!B49,prevision14!$A$1:$AL$1,0),FALSE)</f>
        <v>24.699449539184599</v>
      </c>
      <c r="H49" s="1">
        <v>2007</v>
      </c>
      <c r="I49" s="1">
        <f>VLOOKUP('comite 5'!$C$4,prevision14!$A$1:$BG$28,MATCH(H49,$A$1:$BG$1,0),FALSE)</f>
        <v>24.699449539184599</v>
      </c>
    </row>
    <row r="50" spans="2:10">
      <c r="B50" s="1">
        <v>2008</v>
      </c>
      <c r="C50" s="1">
        <f>VLOOKUP(Indicateur14!$K$6,prevision14!$A$1:$AL$20,MATCH(prevision14!B50,prevision14!$A$1:$AL$1,0),FALSE)</f>
        <v>26.355730056762699</v>
      </c>
      <c r="H50" s="1">
        <v>2008</v>
      </c>
      <c r="I50" s="1">
        <f>VLOOKUP('comite 5'!$C$4,prevision14!$A$1:$BG$28,MATCH(H50,$A$1:$BG$1,0),FALSE)</f>
        <v>26.355730056762699</v>
      </c>
    </row>
    <row r="51" spans="2:10">
      <c r="B51" s="1">
        <v>2009</v>
      </c>
      <c r="C51" s="1">
        <f>VLOOKUP(Indicateur14!$K$6,prevision14!$A$1:$AL$20,MATCH(prevision14!B51,prevision14!$A$1:$AL$1,0),FALSE)</f>
        <v>23.5837497711182</v>
      </c>
      <c r="H51" s="1">
        <v>2009</v>
      </c>
      <c r="I51" s="1">
        <f>VLOOKUP('comite 5'!$C$4,prevision14!$A$1:$BG$28,MATCH(H51,$A$1:$BG$1,0),FALSE)</f>
        <v>23.5837497711182</v>
      </c>
    </row>
    <row r="52" spans="2:10">
      <c r="B52" s="1">
        <v>2010</v>
      </c>
      <c r="C52" s="1">
        <f>VLOOKUP(Indicateur14!$K$6,prevision14!$A$1:$AL$20,MATCH(prevision14!B52,prevision14!$A$1:$AL$1,0),FALSE)</f>
        <v>26.304040908813501</v>
      </c>
      <c r="H52" s="1">
        <v>2010</v>
      </c>
      <c r="I52" s="1">
        <f>VLOOKUP('comite 5'!$C$4,prevision14!$A$1:$BG$28,MATCH(H52,$A$1:$BG$1,0),FALSE)</f>
        <v>26.304040908813501</v>
      </c>
    </row>
    <row r="53" spans="2:10">
      <c r="B53" s="1">
        <v>2011</v>
      </c>
      <c r="C53" s="1">
        <f>VLOOKUP(Indicateur14!$K$6,prevision14!$A$1:$AL$20,MATCH(prevision14!B53,prevision14!$A$1:$AL$1,0),FALSE)</f>
        <v>29.674430847168001</v>
      </c>
      <c r="H53" s="1">
        <v>2011</v>
      </c>
      <c r="I53" s="1">
        <f>VLOOKUP('comite 5'!$C$4,prevision14!$A$1:$BG$28,MATCH(H53,$A$1:$BG$1,0),FALSE)</f>
        <v>29.674430847168001</v>
      </c>
    </row>
    <row r="54" spans="2:10">
      <c r="B54" s="1">
        <v>2012</v>
      </c>
      <c r="C54" s="1">
        <f>VLOOKUP(Indicateur14!$K$6,prevision14!$A$1:$AL$20,MATCH(prevision14!B54,prevision14!$A$1:$AL$1,0),FALSE)</f>
        <v>30.5395393371582</v>
      </c>
      <c r="H54" s="1">
        <v>2012</v>
      </c>
      <c r="I54" s="1">
        <f>VLOOKUP('comite 5'!$C$4,prevision14!$A$1:$BG$28,MATCH(H54,$A$1:$BG$1,0),FALSE)</f>
        <v>30.5395393371582</v>
      </c>
    </row>
    <row r="55" spans="2:10">
      <c r="B55" s="1">
        <v>2013</v>
      </c>
      <c r="C55" s="1">
        <f>VLOOKUP(Indicateur14!$K$6,prevision14!$A$1:$AL$20,MATCH(prevision14!B55,prevision14!$A$1:$AL$1,0),FALSE)</f>
        <v>27.0210990905762</v>
      </c>
      <c r="H55" s="1">
        <v>2013</v>
      </c>
      <c r="I55" s="1">
        <f>VLOOKUP('comite 5'!$C$4,prevision14!$A$1:$BG$28,MATCH(H55,$A$1:$BG$1,0),FALSE)</f>
        <v>27.0210990905762</v>
      </c>
    </row>
    <row r="56" spans="2:10">
      <c r="B56" s="1">
        <v>2014</v>
      </c>
      <c r="C56" s="1">
        <f>VLOOKUP(Indicateur14!$K$6,prevision14!$A$1:$AL$20,MATCH(prevision14!B56,prevision14!$A$1:$AL$1,0),FALSE)</f>
        <v>0</v>
      </c>
      <c r="H56" s="1">
        <v>2014</v>
      </c>
      <c r="I56" s="1">
        <f>VLOOKUP('comite 5'!$C$4,prevision14!$A$1:$BG$28,MATCH(H56,$A$1:$BG$1,0),FALSE)</f>
        <v>0</v>
      </c>
    </row>
    <row r="57" spans="2:10">
      <c r="B57" s="1">
        <v>2015</v>
      </c>
      <c r="C57" s="1">
        <f>VLOOKUP(Indicateur14!$K$6,prevision14!$A$1:$AL$20,MATCH(prevision14!B57,prevision14!$A$1:$AL$1,0),FALSE)</f>
        <v>0</v>
      </c>
      <c r="H57" s="1">
        <v>2015</v>
      </c>
      <c r="I57" s="1">
        <f>VLOOKUP('comite 5'!$C$4,prevision14!$A$1:$BG$28,MATCH(H57,$A$1:$BG$1,0),FALSE)</f>
        <v>0</v>
      </c>
    </row>
    <row r="58" spans="2:10">
      <c r="B58" s="1">
        <v>2016</v>
      </c>
      <c r="C58" s="1">
        <f>VLOOKUP(Indicateur14!$K$6,prevision14!$A$1:$AL$20,MATCH(prevision14!B58,prevision14!$A$1:$AL$1,0),FALSE)</f>
        <v>0</v>
      </c>
      <c r="D58" s="1">
        <f>C58</f>
        <v>0</v>
      </c>
      <c r="H58" s="1">
        <v>2016</v>
      </c>
      <c r="I58" s="1">
        <f>VLOOKUP('comite 5'!$C$4,prevision14!$A$1:$BG$28,MATCH(H58,$A$1:$BG$1,0),FALSE)</f>
        <v>0</v>
      </c>
      <c r="J58" s="1">
        <f>I58</f>
        <v>0</v>
      </c>
    </row>
    <row r="59" spans="2:10">
      <c r="B59" s="1">
        <v>2017</v>
      </c>
      <c r="D59" s="1">
        <f t="shared" ref="D59:D72" si="0">TREND($C$22:$C$58,$B$22:$B$58,B59)</f>
        <v>16.097014152251973</v>
      </c>
      <c r="H59" s="1">
        <v>2017</v>
      </c>
      <c r="J59" s="1">
        <f t="shared" ref="J59:J72" si="1">TREND($I$22:$I$58,$H$22:$H$58,H59)</f>
        <v>16.097014152251973</v>
      </c>
    </row>
    <row r="60" spans="2:10">
      <c r="B60" s="1">
        <v>2018</v>
      </c>
      <c r="D60" s="1">
        <f t="shared" si="0"/>
        <v>16.406753730864352</v>
      </c>
      <c r="H60" s="1">
        <v>2018</v>
      </c>
      <c r="J60" s="1">
        <f t="shared" si="1"/>
        <v>16.406753730864352</v>
      </c>
    </row>
    <row r="61" spans="2:10">
      <c r="B61" s="1">
        <v>2019</v>
      </c>
      <c r="D61" s="1">
        <f t="shared" si="0"/>
        <v>16.716493309476846</v>
      </c>
      <c r="H61" s="1">
        <v>2019</v>
      </c>
      <c r="J61" s="1">
        <f t="shared" si="1"/>
        <v>16.716493309476846</v>
      </c>
    </row>
    <row r="62" spans="2:10">
      <c r="B62" s="1">
        <v>2020</v>
      </c>
      <c r="D62" s="1">
        <f t="shared" si="0"/>
        <v>17.026232888089339</v>
      </c>
      <c r="H62" s="1">
        <v>2020</v>
      </c>
      <c r="J62" s="1">
        <f t="shared" si="1"/>
        <v>17.026232888089339</v>
      </c>
    </row>
    <row r="63" spans="2:10">
      <c r="B63" s="1">
        <v>2021</v>
      </c>
      <c r="D63" s="1">
        <f t="shared" si="0"/>
        <v>17.335972466701719</v>
      </c>
      <c r="H63" s="1">
        <v>2021</v>
      </c>
      <c r="J63" s="1">
        <f t="shared" si="1"/>
        <v>17.335972466701719</v>
      </c>
    </row>
    <row r="64" spans="2:10">
      <c r="B64" s="1">
        <v>2022</v>
      </c>
      <c r="D64" s="1">
        <f t="shared" si="0"/>
        <v>17.645712045314212</v>
      </c>
      <c r="H64" s="1">
        <v>2022</v>
      </c>
      <c r="J64" s="1">
        <f t="shared" si="1"/>
        <v>17.645712045314212</v>
      </c>
    </row>
    <row r="65" spans="2:10">
      <c r="B65" s="1">
        <v>2023</v>
      </c>
      <c r="D65" s="1">
        <f t="shared" si="0"/>
        <v>17.955451623926592</v>
      </c>
      <c r="H65" s="1">
        <v>2023</v>
      </c>
      <c r="J65" s="1">
        <f t="shared" si="1"/>
        <v>17.955451623926592</v>
      </c>
    </row>
    <row r="66" spans="2:10">
      <c r="B66" s="1">
        <v>2024</v>
      </c>
      <c r="D66" s="1">
        <f t="shared" si="0"/>
        <v>18.265191202539086</v>
      </c>
      <c r="H66" s="1">
        <v>2024</v>
      </c>
      <c r="J66" s="1">
        <f t="shared" si="1"/>
        <v>18.265191202539086</v>
      </c>
    </row>
    <row r="67" spans="2:10">
      <c r="B67" s="1">
        <v>2025</v>
      </c>
      <c r="D67" s="1">
        <f t="shared" si="0"/>
        <v>18.574930781151465</v>
      </c>
      <c r="H67" s="1">
        <v>2025</v>
      </c>
      <c r="J67" s="1">
        <f t="shared" si="1"/>
        <v>18.574930781151465</v>
      </c>
    </row>
    <row r="68" spans="2:10">
      <c r="B68" s="1">
        <v>2026</v>
      </c>
      <c r="D68" s="1">
        <f t="shared" si="0"/>
        <v>18.884670359763959</v>
      </c>
      <c r="H68" s="1">
        <v>2026</v>
      </c>
      <c r="J68" s="1">
        <f t="shared" si="1"/>
        <v>18.884670359763959</v>
      </c>
    </row>
    <row r="69" spans="2:10">
      <c r="B69" s="1">
        <v>2027</v>
      </c>
      <c r="D69" s="1">
        <f t="shared" si="0"/>
        <v>19.194409938376339</v>
      </c>
      <c r="H69" s="1">
        <v>2027</v>
      </c>
      <c r="J69" s="1">
        <f t="shared" si="1"/>
        <v>19.194409938376339</v>
      </c>
    </row>
    <row r="70" spans="2:10">
      <c r="B70" s="1">
        <v>2028</v>
      </c>
      <c r="D70" s="1">
        <f t="shared" si="0"/>
        <v>19.504149516988832</v>
      </c>
      <c r="H70" s="1">
        <v>2028</v>
      </c>
      <c r="J70" s="1">
        <f t="shared" si="1"/>
        <v>19.504149516988832</v>
      </c>
    </row>
    <row r="71" spans="2:10">
      <c r="B71" s="1">
        <v>2029</v>
      </c>
      <c r="D71" s="1">
        <f t="shared" si="0"/>
        <v>19.813889095601212</v>
      </c>
      <c r="H71" s="1">
        <v>2029</v>
      </c>
      <c r="J71" s="1">
        <f t="shared" si="1"/>
        <v>19.813889095601212</v>
      </c>
    </row>
    <row r="72" spans="2:10">
      <c r="B72" s="1">
        <v>2030</v>
      </c>
      <c r="D72" s="1">
        <f t="shared" si="0"/>
        <v>20.123628674213705</v>
      </c>
      <c r="H72" s="1">
        <v>2030</v>
      </c>
      <c r="J72" s="1">
        <f t="shared" si="1"/>
        <v>20.123628674213705</v>
      </c>
    </row>
  </sheetData>
  <phoneticPr fontId="1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W90"/>
  <sheetViews>
    <sheetView topLeftCell="A51" workbookViewId="0">
      <selection activeCell="C30" sqref="C30:C77"/>
    </sheetView>
  </sheetViews>
  <sheetFormatPr baseColWidth="10" defaultColWidth="8" defaultRowHeight="15"/>
  <cols>
    <col min="1" max="16384" width="8" style="1"/>
  </cols>
  <sheetData>
    <row r="1" spans="1:49">
      <c r="A1" s="5" t="s">
        <v>3</v>
      </c>
      <c r="B1" s="6">
        <v>1970</v>
      </c>
      <c r="C1" s="6">
        <v>1971</v>
      </c>
      <c r="D1" s="6">
        <v>1972</v>
      </c>
      <c r="E1" s="6">
        <v>1973</v>
      </c>
      <c r="F1" s="6">
        <v>1974</v>
      </c>
      <c r="G1" s="6">
        <v>1975</v>
      </c>
      <c r="H1" s="6">
        <v>1976</v>
      </c>
      <c r="I1" s="6">
        <v>1977</v>
      </c>
      <c r="J1" s="6">
        <v>1978</v>
      </c>
      <c r="K1" s="6">
        <v>1979</v>
      </c>
      <c r="L1" s="6">
        <v>1980</v>
      </c>
      <c r="M1" s="6">
        <v>1981</v>
      </c>
      <c r="N1" s="6">
        <v>1982</v>
      </c>
      <c r="O1" s="6">
        <v>1983</v>
      </c>
      <c r="P1" s="6">
        <v>1984</v>
      </c>
      <c r="Q1" s="6">
        <v>1985</v>
      </c>
      <c r="R1" s="6">
        <v>1986</v>
      </c>
      <c r="S1" s="6">
        <v>1987</v>
      </c>
      <c r="T1" s="6">
        <v>1988</v>
      </c>
      <c r="U1" s="6">
        <v>1989</v>
      </c>
      <c r="V1" s="6">
        <v>1990</v>
      </c>
      <c r="W1" s="6">
        <v>1991</v>
      </c>
      <c r="X1" s="6">
        <v>1992</v>
      </c>
      <c r="Y1" s="6">
        <v>1993</v>
      </c>
      <c r="Z1" s="6">
        <v>1994</v>
      </c>
      <c r="AA1" s="6">
        <v>1995</v>
      </c>
      <c r="AB1" s="6">
        <v>1996</v>
      </c>
      <c r="AC1" s="6">
        <v>1997</v>
      </c>
      <c r="AD1" s="6">
        <v>1998</v>
      </c>
      <c r="AE1" s="6">
        <v>1999</v>
      </c>
      <c r="AF1" s="6">
        <v>2000</v>
      </c>
      <c r="AG1" s="6">
        <v>2001</v>
      </c>
      <c r="AH1" s="6">
        <v>2002</v>
      </c>
      <c r="AI1" s="6">
        <v>2003</v>
      </c>
      <c r="AJ1" s="6">
        <v>2004</v>
      </c>
      <c r="AK1" s="6">
        <v>2005</v>
      </c>
      <c r="AL1" s="6">
        <v>2006</v>
      </c>
      <c r="AM1" s="6">
        <v>2007</v>
      </c>
      <c r="AN1" s="6">
        <v>2008</v>
      </c>
      <c r="AO1" s="6">
        <v>2009</v>
      </c>
      <c r="AP1" s="6">
        <v>2010</v>
      </c>
      <c r="AQ1" s="6">
        <v>2011</v>
      </c>
      <c r="AR1" s="6">
        <v>2012</v>
      </c>
      <c r="AS1" s="6">
        <v>2013</v>
      </c>
      <c r="AT1" s="6">
        <v>2014</v>
      </c>
      <c r="AU1" s="6">
        <v>2015</v>
      </c>
      <c r="AV1" s="6">
        <v>2016</v>
      </c>
      <c r="AW1" s="6">
        <v>2017</v>
      </c>
    </row>
    <row r="2" spans="1:49">
      <c r="A2" s="5" t="s">
        <v>4</v>
      </c>
      <c r="C2" s="1">
        <v>28.352819442748999</v>
      </c>
      <c r="D2" s="1">
        <v>27.411329269409201</v>
      </c>
      <c r="E2" s="1">
        <v>23.656980514526399</v>
      </c>
      <c r="F2" s="1">
        <v>21.581249237060501</v>
      </c>
      <c r="G2" s="1">
        <v>21.824699401855501</v>
      </c>
      <c r="H2" s="1">
        <v>21.707309722900401</v>
      </c>
      <c r="I2" s="1">
        <v>21.8879909515381</v>
      </c>
      <c r="J2" s="1">
        <v>23.524839401245099</v>
      </c>
      <c r="K2" s="1">
        <v>23.9002895355225</v>
      </c>
      <c r="L2" s="1">
        <v>25.978530883789102</v>
      </c>
      <c r="M2" s="1">
        <v>28.4558506011963</v>
      </c>
      <c r="N2" s="1">
        <v>32.990550994872997</v>
      </c>
      <c r="O2" s="1">
        <v>40.551441192627003</v>
      </c>
      <c r="P2" s="1">
        <v>45.846431732177699</v>
      </c>
      <c r="Q2" s="1">
        <v>50.367668151855497</v>
      </c>
      <c r="R2" s="1">
        <v>54.3796195983887</v>
      </c>
      <c r="S2" s="1">
        <v>60.699371337890597</v>
      </c>
      <c r="T2" s="1">
        <v>68.080169677734403</v>
      </c>
      <c r="U2" s="1">
        <v>69.330116271972699</v>
      </c>
      <c r="V2" s="1">
        <v>69.845901489257798</v>
      </c>
      <c r="W2" s="1">
        <v>71.696052551269503</v>
      </c>
      <c r="X2" s="1">
        <v>68.363288879394503</v>
      </c>
      <c r="Y2" s="1">
        <v>67.469421386718807</v>
      </c>
      <c r="AA2" s="1">
        <v>50.575958251953097</v>
      </c>
      <c r="AB2" s="1">
        <v>39.418140411377003</v>
      </c>
      <c r="AC2" s="1">
        <v>40.745319366455099</v>
      </c>
      <c r="AD2" s="1">
        <v>48.587799072265597</v>
      </c>
      <c r="AE2" s="1">
        <v>57.461158752441399</v>
      </c>
      <c r="AF2" s="1">
        <v>59.208808898925803</v>
      </c>
      <c r="AG2" s="1">
        <v>62.023300170898402</v>
      </c>
      <c r="AH2" s="1">
        <v>67.025352478027301</v>
      </c>
      <c r="AI2" s="1">
        <v>72.691238403320298</v>
      </c>
      <c r="AJ2" s="1">
        <v>77.804389953613295</v>
      </c>
      <c r="AK2" s="1">
        <v>82.445281982421903</v>
      </c>
      <c r="AL2" s="1">
        <v>104.53530883789099</v>
      </c>
      <c r="AM2" s="1">
        <v>116.600448608398</v>
      </c>
      <c r="AN2" s="1">
        <v>124.14427947998</v>
      </c>
      <c r="AO2" s="1">
        <v>133.04539489746099</v>
      </c>
      <c r="AP2" s="1">
        <v>139.34765625</v>
      </c>
      <c r="AQ2" s="1">
        <v>143.91371154785199</v>
      </c>
      <c r="AR2" s="1">
        <v>142.70370483398401</v>
      </c>
      <c r="AS2" s="1">
        <v>140.344650268555</v>
      </c>
      <c r="AT2" s="1">
        <v>137.898849487305</v>
      </c>
      <c r="AU2" s="1">
        <v>134.17803955078099</v>
      </c>
      <c r="AV2" s="1">
        <v>130.915283203125</v>
      </c>
    </row>
    <row r="3" spans="1:49">
      <c r="A3" s="5" t="s">
        <v>5</v>
      </c>
      <c r="C3" s="1">
        <v>92.668029785156307</v>
      </c>
      <c r="D3" s="1">
        <v>90.052101135253906</v>
      </c>
      <c r="E3" s="1">
        <v>90.312149047851605</v>
      </c>
      <c r="F3" s="1">
        <v>91.349853515625</v>
      </c>
      <c r="G3" s="1">
        <v>93.579559326171903</v>
      </c>
      <c r="H3" s="1">
        <v>94.940322875976605</v>
      </c>
      <c r="I3" s="1">
        <v>93.554161071777301</v>
      </c>
      <c r="J3" s="1">
        <v>94.664627075195298</v>
      </c>
      <c r="K3" s="1">
        <v>95.239776611328097</v>
      </c>
      <c r="L3" s="1">
        <v>95.666366577148395</v>
      </c>
      <c r="M3" s="1">
        <v>98.156158447265597</v>
      </c>
      <c r="N3" s="1">
        <v>99.140937805175795</v>
      </c>
      <c r="O3" s="1">
        <v>101.704536437988</v>
      </c>
      <c r="P3" s="1">
        <v>99.949508666992202</v>
      </c>
      <c r="Q3" s="1">
        <v>100.92649841308599</v>
      </c>
      <c r="R3" s="1">
        <v>101.917121887207</v>
      </c>
      <c r="S3" s="1">
        <v>103.431838989258</v>
      </c>
      <c r="T3" s="1">
        <v>103.96501159668</v>
      </c>
      <c r="U3" s="1">
        <v>100.36061859130901</v>
      </c>
      <c r="V3" s="1">
        <v>99.948753356933494</v>
      </c>
      <c r="W3" s="1">
        <v>97.377586364745994</v>
      </c>
      <c r="X3" s="1">
        <v>91.504188537597699</v>
      </c>
      <c r="Z3" s="1">
        <v>84.636291503906307</v>
      </c>
      <c r="AA3" s="1">
        <v>82.511451721191406</v>
      </c>
      <c r="AB3" s="1">
        <v>75.931297302245994</v>
      </c>
      <c r="AC3" s="1">
        <v>79.593208312988295</v>
      </c>
      <c r="AD3" s="1">
        <v>81.857307434082003</v>
      </c>
      <c r="AE3" s="1">
        <v>84.464439392089801</v>
      </c>
      <c r="AF3" s="1">
        <v>86.951133728027301</v>
      </c>
      <c r="AG3" s="1">
        <v>102.97776031494099</v>
      </c>
      <c r="AH3" s="1">
        <v>103.04702758789099</v>
      </c>
      <c r="AI3" s="1">
        <v>103.225578308105</v>
      </c>
      <c r="AJ3" s="1">
        <v>107.87132263183599</v>
      </c>
      <c r="AK3" s="1">
        <v>105.91732788085901</v>
      </c>
      <c r="AL3" s="1">
        <v>104.81662750244099</v>
      </c>
      <c r="AM3" s="1">
        <v>106.826202392578</v>
      </c>
      <c r="AN3" s="1">
        <v>106.96159362793</v>
      </c>
      <c r="AO3" s="1">
        <v>108.961387634277</v>
      </c>
      <c r="AP3" s="1">
        <v>110.93279266357401</v>
      </c>
      <c r="AQ3" s="1">
        <v>110.088912963867</v>
      </c>
      <c r="AR3" s="1">
        <v>114.635818481445</v>
      </c>
      <c r="AT3" s="1">
        <v>116.243202209473</v>
      </c>
      <c r="AU3" s="1">
        <v>119.238357543945</v>
      </c>
      <c r="AV3" s="1">
        <v>119.155067443848</v>
      </c>
    </row>
    <row r="4" spans="1:49">
      <c r="A4" s="5" t="s">
        <v>6</v>
      </c>
      <c r="C4" s="1">
        <v>32.285968780517599</v>
      </c>
      <c r="D4" s="1">
        <v>31.660230636596701</v>
      </c>
      <c r="E4" s="1">
        <v>31.629350662231399</v>
      </c>
      <c r="F4" s="1">
        <v>32.430019378662102</v>
      </c>
      <c r="G4" s="1">
        <v>32.299839019775398</v>
      </c>
      <c r="H4" s="1">
        <v>33.453811645507798</v>
      </c>
      <c r="I4" s="1">
        <v>33.856521606445298</v>
      </c>
      <c r="Q4" s="1">
        <v>34.525070190429702</v>
      </c>
      <c r="R4" s="1">
        <v>39.272739410400398</v>
      </c>
      <c r="S4" s="1">
        <v>38.267051696777301</v>
      </c>
      <c r="T4" s="1">
        <v>45.356288909912102</v>
      </c>
      <c r="U4" s="1">
        <v>44.291690826416001</v>
      </c>
      <c r="V4" s="1">
        <v>49.554519653320298</v>
      </c>
      <c r="W4" s="1">
        <v>51.221218109130902</v>
      </c>
      <c r="X4" s="1">
        <v>53.4946098327637</v>
      </c>
      <c r="Y4" s="1">
        <v>50.180870056152301</v>
      </c>
      <c r="Z4" s="1">
        <v>47.461151123046903</v>
      </c>
      <c r="AA4" s="1">
        <v>46.280509948730497</v>
      </c>
      <c r="AB4" s="1">
        <v>48.345798492431598</v>
      </c>
      <c r="AC4" s="1">
        <v>53.5559692382813</v>
      </c>
      <c r="AD4" s="1">
        <v>59.458259582519503</v>
      </c>
      <c r="AE4" s="1">
        <v>61.008228302002003</v>
      </c>
      <c r="AF4" s="1">
        <v>63.796428680419901</v>
      </c>
      <c r="AG4" s="1">
        <v>66.182029724120994</v>
      </c>
      <c r="AH4" s="1">
        <v>69.911163330078097</v>
      </c>
      <c r="AI4" s="1">
        <v>71.814949035644503</v>
      </c>
      <c r="AJ4" s="1">
        <v>75.240806579589801</v>
      </c>
      <c r="AK4" s="1">
        <v>71.793769836425795</v>
      </c>
      <c r="AL4" s="1">
        <v>71.140670776367202</v>
      </c>
      <c r="AM4" s="1">
        <v>70.027030944824205</v>
      </c>
      <c r="AN4" s="1">
        <v>78.040466308593807</v>
      </c>
      <c r="AO4" s="1">
        <v>82.384216308593807</v>
      </c>
      <c r="AP4" s="1">
        <v>82.422821044921903</v>
      </c>
      <c r="AQ4" s="1">
        <v>89.319717407226605</v>
      </c>
      <c r="AR4" s="1">
        <v>93.711669921875</v>
      </c>
      <c r="AS4" s="1">
        <v>101.13996887207</v>
      </c>
      <c r="AT4" s="1">
        <v>102.74683380127</v>
      </c>
      <c r="AU4" s="1">
        <v>92.765327453613295</v>
      </c>
      <c r="AV4" s="1">
        <v>88.096817016601605</v>
      </c>
    </row>
    <row r="5" spans="1:49">
      <c r="A5" s="5" t="s">
        <v>7</v>
      </c>
      <c r="C5" s="1">
        <v>39.269779205322301</v>
      </c>
      <c r="D5" s="1">
        <v>39.828208923339801</v>
      </c>
      <c r="E5" s="1">
        <v>50.284141540527301</v>
      </c>
      <c r="F5" s="1">
        <v>56.839679718017599</v>
      </c>
      <c r="G5" s="1">
        <v>68.585807800292997</v>
      </c>
      <c r="H5" s="1">
        <v>83.920249938964801</v>
      </c>
      <c r="I5" s="1">
        <v>96.039382934570298</v>
      </c>
      <c r="K5" s="1">
        <v>105.16561889648401</v>
      </c>
      <c r="M5" s="1">
        <v>117.65087890625</v>
      </c>
      <c r="O5" s="1">
        <v>113.873657226563</v>
      </c>
      <c r="P5" s="1">
        <v>111.297889709473</v>
      </c>
      <c r="Q5" s="1">
        <v>108.628898620605</v>
      </c>
      <c r="R5" s="1">
        <v>111.85133361816401</v>
      </c>
      <c r="S5" s="1">
        <v>102.14089202880901</v>
      </c>
      <c r="T5" s="1">
        <v>102.14266967773401</v>
      </c>
      <c r="U5" s="1">
        <v>100.69532775878901</v>
      </c>
      <c r="V5" s="1">
        <v>99.053642272949205</v>
      </c>
      <c r="W5" s="1">
        <v>102.46511077880901</v>
      </c>
      <c r="X5" s="1">
        <v>106.712509155273</v>
      </c>
      <c r="Y5" s="1">
        <v>100.38616943359401</v>
      </c>
      <c r="Z5" s="1">
        <v>102.18182373046901</v>
      </c>
      <c r="AB5" s="1">
        <v>97.114768981933494</v>
      </c>
      <c r="AD5" s="1">
        <v>101.044731140137</v>
      </c>
      <c r="AE5" s="1">
        <v>92.945106506347699</v>
      </c>
      <c r="AF5" s="1">
        <v>103.19000244140599</v>
      </c>
      <c r="AH5" s="1">
        <v>111.991317749023</v>
      </c>
      <c r="AI5" s="1">
        <v>110.33235168457</v>
      </c>
      <c r="AJ5" s="1">
        <v>108.185089111328</v>
      </c>
      <c r="AM5" s="1">
        <v>103.973182678223</v>
      </c>
      <c r="AN5" s="1">
        <v>108.641242980957</v>
      </c>
      <c r="AQ5" s="1">
        <v>108.02465057373</v>
      </c>
      <c r="AS5" s="1">
        <v>107.031791687012</v>
      </c>
      <c r="AT5" s="1">
        <v>104.974891662598</v>
      </c>
    </row>
    <row r="6" spans="1:49">
      <c r="A6" s="5" t="s">
        <v>8</v>
      </c>
      <c r="C6" s="1">
        <v>24.621400833129901</v>
      </c>
      <c r="D6" s="1">
        <v>24.761020660400401</v>
      </c>
      <c r="E6" s="1">
        <v>25.7512607574463</v>
      </c>
      <c r="F6" s="1">
        <v>26.2495002746582</v>
      </c>
      <c r="G6" s="1">
        <v>26.493949890136701</v>
      </c>
      <c r="H6" s="1">
        <v>25.49880027771</v>
      </c>
      <c r="I6" s="1">
        <v>23.683780670166001</v>
      </c>
      <c r="J6" s="1">
        <v>26.556690216064499</v>
      </c>
      <c r="K6" s="1">
        <v>26.630830764770501</v>
      </c>
      <c r="L6" s="1">
        <v>26.614120483398398</v>
      </c>
      <c r="M6" s="1">
        <v>27.850629806518601</v>
      </c>
      <c r="N6" s="1">
        <v>30.096839904785199</v>
      </c>
      <c r="O6" s="1">
        <v>31.516359329223601</v>
      </c>
      <c r="P6" s="1">
        <v>32.549171447753899</v>
      </c>
      <c r="Q6" s="1">
        <v>32.102859497070298</v>
      </c>
      <c r="R6" s="1">
        <v>34.000888824462898</v>
      </c>
      <c r="S6" s="1">
        <v>33.987979888916001</v>
      </c>
      <c r="T6" s="1">
        <v>33.713199615478501</v>
      </c>
      <c r="U6" s="1">
        <v>32.936248779296903</v>
      </c>
      <c r="V6" s="1">
        <v>33.297958374023402</v>
      </c>
      <c r="W6" s="1">
        <v>32.833160400390597</v>
      </c>
      <c r="X6" s="1">
        <v>34.092048645019503</v>
      </c>
      <c r="Y6" s="1">
        <v>30.952379226684599</v>
      </c>
      <c r="Z6" s="1">
        <v>32.716121673583999</v>
      </c>
      <c r="AA6" s="1">
        <v>33.660091400146499</v>
      </c>
      <c r="AB6" s="1">
        <v>33.529571533203097</v>
      </c>
      <c r="AC6" s="1">
        <v>32.836429595947301</v>
      </c>
      <c r="AD6" s="1">
        <v>32.197139739990199</v>
      </c>
      <c r="AE6" s="1">
        <v>32.532108306884801</v>
      </c>
      <c r="AF6" s="1">
        <v>32.494960784912102</v>
      </c>
      <c r="AG6" s="1">
        <v>36.466239929199197</v>
      </c>
      <c r="AH6" s="1">
        <v>38.338638305664098</v>
      </c>
      <c r="AI6" s="1">
        <v>40.190010070800803</v>
      </c>
      <c r="AJ6" s="1">
        <v>42.166999816894503</v>
      </c>
      <c r="AK6" s="1">
        <v>43.628551483154197</v>
      </c>
      <c r="AL6" s="1">
        <v>45.975189208984403</v>
      </c>
      <c r="AM6" s="1">
        <v>48.214511871337898</v>
      </c>
      <c r="AN6" s="1">
        <v>57.068408966064503</v>
      </c>
      <c r="AO6" s="1">
        <v>55.997341156005902</v>
      </c>
      <c r="AQ6" s="1">
        <v>61.342880249023402</v>
      </c>
      <c r="AR6" s="1">
        <v>63.940650939941399</v>
      </c>
      <c r="AS6" s="1">
        <v>63.824989318847699</v>
      </c>
      <c r="AT6" s="1">
        <v>65.1153564453125</v>
      </c>
      <c r="AU6" s="1">
        <v>64.211387634277301</v>
      </c>
      <c r="AV6" s="1">
        <v>63.536571502685497</v>
      </c>
      <c r="AW6" s="1">
        <v>63.901058197021499</v>
      </c>
    </row>
    <row r="7" spans="1:49">
      <c r="A7" s="5" t="s">
        <v>1</v>
      </c>
      <c r="C7" s="1">
        <v>15.02952003479</v>
      </c>
      <c r="D7" s="1">
        <v>15.861590385436999</v>
      </c>
      <c r="E7" s="1">
        <v>16.2753791809082</v>
      </c>
      <c r="F7" s="1">
        <v>17.7330207824707</v>
      </c>
      <c r="G7" s="1">
        <v>19.229900360107401</v>
      </c>
      <c r="H7" s="1">
        <v>21.251789093017599</v>
      </c>
      <c r="I7" s="1">
        <v>22.831239700317401</v>
      </c>
      <c r="J7" s="1">
        <v>21.956119537353501</v>
      </c>
      <c r="K7" s="1">
        <v>26.123640060424801</v>
      </c>
      <c r="L7" s="1">
        <v>33.763401031494098</v>
      </c>
      <c r="M7" s="1">
        <v>38.856410980224602</v>
      </c>
      <c r="N7" s="1">
        <v>41.638359069824197</v>
      </c>
      <c r="O7" s="1">
        <v>42.2387504577637</v>
      </c>
      <c r="P7" s="1">
        <v>40.314029693603501</v>
      </c>
      <c r="Q7" s="1">
        <v>37.430000305175803</v>
      </c>
      <c r="R7" s="1">
        <v>36.8820610046387</v>
      </c>
      <c r="S7" s="1">
        <v>39.960018157958999</v>
      </c>
      <c r="T7" s="1">
        <v>40.778850555419901</v>
      </c>
      <c r="U7" s="1">
        <v>39.046009063720703</v>
      </c>
      <c r="V7" s="1">
        <v>35.164440155029197</v>
      </c>
      <c r="W7" s="1">
        <v>31.462600708007798</v>
      </c>
      <c r="X7" s="1">
        <v>25.193620681762699</v>
      </c>
      <c r="Y7" s="1">
        <v>21.622789382934599</v>
      </c>
      <c r="Z7" s="1">
        <v>25.420459747314499</v>
      </c>
      <c r="AA7" s="1">
        <v>29.089929580688501</v>
      </c>
      <c r="AB7" s="1">
        <v>34.952648162841697</v>
      </c>
      <c r="AC7" s="1">
        <v>40.339828491210902</v>
      </c>
      <c r="AD7" s="1">
        <v>49.964080810546903</v>
      </c>
      <c r="AE7" s="1">
        <v>49.405258178710902</v>
      </c>
      <c r="AF7" s="1">
        <v>54.443538665771499</v>
      </c>
      <c r="AG7" s="1">
        <v>60.262241363525398</v>
      </c>
      <c r="AH7" s="1">
        <v>63.458671569824197</v>
      </c>
      <c r="AI7" s="1">
        <v>64.816902160644503</v>
      </c>
      <c r="AJ7" s="1">
        <v>67.752471923828097</v>
      </c>
      <c r="AK7" s="1">
        <v>79.013397216796903</v>
      </c>
      <c r="AL7" s="1">
        <v>83.327651977539105</v>
      </c>
      <c r="AM7" s="1">
        <v>89.165466308593807</v>
      </c>
      <c r="AN7" s="1">
        <v>94.822853088378906</v>
      </c>
      <c r="AO7" s="1">
        <v>93.502357482910199</v>
      </c>
      <c r="AP7" s="1">
        <v>91.775962829589801</v>
      </c>
      <c r="AQ7" s="1">
        <v>94.500572204589801</v>
      </c>
      <c r="AR7" s="1">
        <v>94.550750732421903</v>
      </c>
      <c r="AT7" s="1">
        <v>99.923202514648395</v>
      </c>
      <c r="AU7" s="1">
        <v>101.944229125977</v>
      </c>
    </row>
    <row r="8" spans="1:49">
      <c r="A8" s="5" t="s">
        <v>9</v>
      </c>
      <c r="C8" s="1">
        <v>30.5165691375732</v>
      </c>
      <c r="D8" s="1">
        <v>25.976890563964801</v>
      </c>
      <c r="E8" s="1">
        <v>30.002609252929702</v>
      </c>
      <c r="F8" s="1">
        <v>30.793289184570298</v>
      </c>
      <c r="G8" s="1">
        <v>31.815259933471701</v>
      </c>
      <c r="H8" s="1">
        <v>31.254409790039102</v>
      </c>
      <c r="I8" s="1">
        <v>35.504230499267599</v>
      </c>
      <c r="J8" s="1">
        <v>37.318309783935497</v>
      </c>
      <c r="K8" s="1">
        <v>39.255500793457003</v>
      </c>
      <c r="L8" s="1">
        <v>40.525440216064503</v>
      </c>
      <c r="M8" s="1">
        <v>39.273200988769503</v>
      </c>
      <c r="N8" s="1">
        <v>37.296249389648402</v>
      </c>
      <c r="O8" s="1">
        <v>35.907058715820298</v>
      </c>
      <c r="P8" s="1">
        <v>34.509689331054702</v>
      </c>
      <c r="Q8" s="1">
        <v>39.007820129394503</v>
      </c>
      <c r="R8" s="1">
        <v>36.302341461181598</v>
      </c>
      <c r="S8" s="1">
        <v>34.237579345703097</v>
      </c>
      <c r="T8" s="1">
        <v>35.262359619140597</v>
      </c>
      <c r="U8" s="1">
        <v>35.490928649902301</v>
      </c>
      <c r="V8" s="1">
        <v>34.774730682372997</v>
      </c>
      <c r="W8" s="1">
        <v>37.132640838622997</v>
      </c>
      <c r="X8" s="1">
        <v>36.281211853027301</v>
      </c>
      <c r="Y8" s="1">
        <v>39.945968627929702</v>
      </c>
      <c r="Z8" s="1">
        <v>41.958889007568402</v>
      </c>
      <c r="AA8" s="1">
        <v>45.852798461914098</v>
      </c>
      <c r="AB8" s="1">
        <v>47.050529479980497</v>
      </c>
      <c r="AC8" s="1">
        <v>50.541790008544901</v>
      </c>
      <c r="AD8" s="1">
        <v>51.0165405273438</v>
      </c>
      <c r="AE8" s="1">
        <v>53.657249450683601</v>
      </c>
      <c r="AF8" s="1">
        <v>57.180671691894503</v>
      </c>
      <c r="AG8" s="1">
        <v>60.605930328369098</v>
      </c>
      <c r="AH8" s="1">
        <v>69.408538818359403</v>
      </c>
      <c r="AI8" s="1">
        <v>73.143669128417997</v>
      </c>
      <c r="AJ8" s="1">
        <v>76.574058532714801</v>
      </c>
      <c r="AK8" s="1">
        <v>78.953163146972699</v>
      </c>
      <c r="AL8" s="1">
        <v>80.845321655273395</v>
      </c>
      <c r="AM8" s="1">
        <v>83.056709289550795</v>
      </c>
      <c r="AN8" s="1">
        <v>84.2161865234375</v>
      </c>
      <c r="AO8" s="1">
        <v>83.9251708984375</v>
      </c>
      <c r="AP8" s="1">
        <v>85.903762817382798</v>
      </c>
      <c r="AQ8" s="1">
        <v>88.998863220214801</v>
      </c>
      <c r="AR8" s="1">
        <v>90.722976684570298</v>
      </c>
      <c r="AS8" s="1">
        <v>92.470573425292997</v>
      </c>
      <c r="AT8" s="1">
        <v>93.927101135253906</v>
      </c>
    </row>
    <row r="9" spans="1:49">
      <c r="A9" s="5" t="s">
        <v>10</v>
      </c>
      <c r="C9" s="1">
        <v>50.091758728027301</v>
      </c>
      <c r="D9" s="1">
        <v>52.154811859130902</v>
      </c>
      <c r="E9" s="1">
        <v>53.558010101318402</v>
      </c>
      <c r="F9" s="1">
        <v>55.128490447997997</v>
      </c>
      <c r="G9" s="1">
        <v>56.6939697265625</v>
      </c>
      <c r="H9" s="1">
        <v>60.523658752441399</v>
      </c>
      <c r="I9" s="1">
        <v>61.618690490722699</v>
      </c>
      <c r="J9" s="1">
        <v>61.743648529052699</v>
      </c>
      <c r="K9" s="1">
        <v>62.381221771240199</v>
      </c>
      <c r="L9" s="1">
        <v>67.844131469726605</v>
      </c>
      <c r="M9" s="1">
        <v>74.512687683105497</v>
      </c>
      <c r="N9" s="1">
        <v>75.290908813476605</v>
      </c>
      <c r="O9" s="1">
        <v>81.044052124023395</v>
      </c>
      <c r="P9" s="1">
        <v>85.480812072753906</v>
      </c>
      <c r="Q9" s="1">
        <v>86.683067321777301</v>
      </c>
      <c r="R9" s="1">
        <v>89.138313293457003</v>
      </c>
      <c r="S9" s="1">
        <v>75.276420593261705</v>
      </c>
      <c r="X9" s="1">
        <v>74.776199340820298</v>
      </c>
      <c r="Y9" s="1">
        <v>78.303131103515597</v>
      </c>
      <c r="Z9" s="1">
        <v>84.053916931152301</v>
      </c>
      <c r="AA9" s="1">
        <v>91.027679443359403</v>
      </c>
      <c r="AB9" s="1">
        <v>99.255592346191406</v>
      </c>
      <c r="AC9" s="1">
        <v>108.20001220703099</v>
      </c>
      <c r="AD9" s="1">
        <v>111.878341674805</v>
      </c>
    </row>
    <row r="10" spans="1:49">
      <c r="A10" s="5" t="s">
        <v>11</v>
      </c>
      <c r="B10" s="1">
        <v>62.8223686218262</v>
      </c>
      <c r="C10" s="1">
        <v>64.684112548828097</v>
      </c>
      <c r="D10" s="1">
        <v>68.682319641113295</v>
      </c>
      <c r="E10" s="1">
        <v>71.798088073730497</v>
      </c>
      <c r="F10" s="1">
        <v>106.334663391113</v>
      </c>
      <c r="G10" s="1">
        <v>109.28610992431599</v>
      </c>
      <c r="H10" s="1">
        <v>105.017791748047</v>
      </c>
      <c r="I10" s="1">
        <v>104.061889648438</v>
      </c>
      <c r="J10" s="1">
        <v>99.702499389648395</v>
      </c>
      <c r="K10" s="1">
        <v>119.332321166992</v>
      </c>
      <c r="L10" s="1">
        <v>119.864608764648</v>
      </c>
      <c r="M10" s="1">
        <v>116.051719665527</v>
      </c>
      <c r="N10" s="1">
        <v>117.455192565918</v>
      </c>
      <c r="O10" s="1">
        <v>116.49749755859401</v>
      </c>
      <c r="P10" s="1">
        <v>111.760040283203</v>
      </c>
      <c r="Q10" s="1">
        <v>106.590087890625</v>
      </c>
      <c r="R10" s="1">
        <v>106.03240203857401</v>
      </c>
      <c r="S10" s="1">
        <v>105.324661254883</v>
      </c>
      <c r="T10" s="1">
        <v>103.346473693848</v>
      </c>
      <c r="U10" s="1">
        <v>103.941482543945</v>
      </c>
      <c r="V10" s="1">
        <v>100.52353668212901</v>
      </c>
      <c r="W10" s="1">
        <v>98.373390197753906</v>
      </c>
      <c r="X10" s="1">
        <v>97.006973266601605</v>
      </c>
      <c r="Y10" s="1">
        <v>96.269500732421903</v>
      </c>
      <c r="Z10" s="1">
        <v>92.893890380859403</v>
      </c>
      <c r="AA10" s="1">
        <v>90.794410705566406</v>
      </c>
      <c r="AD10" s="1">
        <v>91.965950012207003</v>
      </c>
      <c r="AE10" s="1">
        <v>90.548698425292997</v>
      </c>
      <c r="AF10" s="1">
        <v>94.882667541503906</v>
      </c>
      <c r="AG10" s="1">
        <v>96.1240234375</v>
      </c>
      <c r="AH10" s="1">
        <v>89.902687072753906</v>
      </c>
      <c r="AI10" s="1">
        <v>103.793098449707</v>
      </c>
      <c r="AJ10" s="1">
        <v>102.466903686523</v>
      </c>
      <c r="AK10" s="1">
        <v>101.448448181152</v>
      </c>
      <c r="AL10" s="1">
        <v>98.473602294921903</v>
      </c>
      <c r="AM10" s="1">
        <v>104.692489624023</v>
      </c>
      <c r="AN10" s="1">
        <v>104.655082702637</v>
      </c>
      <c r="AO10" s="1">
        <v>106.344650268555</v>
      </c>
      <c r="AR10" s="1">
        <v>111.962211608887</v>
      </c>
      <c r="AT10" s="1">
        <v>108.107093811035</v>
      </c>
      <c r="AU10" s="1">
        <v>105.92038726806599</v>
      </c>
      <c r="AV10" s="1">
        <v>105.306991577148</v>
      </c>
    </row>
    <row r="11" spans="1:49">
      <c r="A11" s="5" t="s">
        <v>12</v>
      </c>
      <c r="B11" s="1">
        <v>36.469570159912102</v>
      </c>
      <c r="C11" s="1">
        <v>37.702919006347699</v>
      </c>
      <c r="D11" s="1">
        <v>38.820808410644503</v>
      </c>
      <c r="G11" s="1">
        <v>40.8320503234863</v>
      </c>
      <c r="H11" s="1">
        <v>38.268581390380902</v>
      </c>
      <c r="J11" s="1">
        <v>46.353870391845703</v>
      </c>
      <c r="K11" s="1">
        <v>46.455421447753899</v>
      </c>
      <c r="L11" s="1">
        <v>49.053199768066399</v>
      </c>
      <c r="P11" s="1">
        <v>39.473579406738303</v>
      </c>
      <c r="AD11" s="1">
        <v>76.442123413085895</v>
      </c>
      <c r="AE11" s="1">
        <v>95.430282592773395</v>
      </c>
      <c r="AF11" s="1">
        <v>112.986869812012</v>
      </c>
      <c r="AL11" s="1">
        <v>92.767227172851605</v>
      </c>
      <c r="AN11" s="1">
        <v>93.500526428222699</v>
      </c>
      <c r="AO11" s="1">
        <v>99.895851135253906</v>
      </c>
      <c r="AQ11" s="1">
        <v>102.641151428223</v>
      </c>
      <c r="AT11" s="1">
        <v>95.8603515625</v>
      </c>
      <c r="AU11" s="1">
        <v>94.089469909667997</v>
      </c>
    </row>
    <row r="12" spans="1:49">
      <c r="A12" s="5" t="s">
        <v>13</v>
      </c>
      <c r="C12" s="1">
        <v>86.115676879882798</v>
      </c>
      <c r="D12" s="1">
        <v>89.400016784667997</v>
      </c>
      <c r="E12" s="1">
        <v>88.877746582031307</v>
      </c>
      <c r="F12" s="1">
        <v>86.495918273925795</v>
      </c>
      <c r="G12" s="1">
        <v>92.054031372070298</v>
      </c>
      <c r="H12" s="1">
        <v>95.772331237792997</v>
      </c>
      <c r="I12" s="1">
        <v>118.27223205566401</v>
      </c>
      <c r="J12" s="1">
        <v>122.07749176025401</v>
      </c>
      <c r="K12" s="1">
        <v>122.89080047607401</v>
      </c>
      <c r="L12" s="1">
        <v>130.89309692382801</v>
      </c>
      <c r="M12" s="1">
        <v>137.29318237304699</v>
      </c>
      <c r="N12" s="1">
        <v>133.42367553710901</v>
      </c>
      <c r="O12" s="1">
        <v>126.832763671875</v>
      </c>
      <c r="P12" s="1">
        <v>119.143760681152</v>
      </c>
      <c r="Q12" s="1">
        <v>113.802200317383</v>
      </c>
      <c r="T12" s="1">
        <v>95.6734619140625</v>
      </c>
      <c r="U12" s="1">
        <v>96.246536254882798</v>
      </c>
      <c r="V12" s="1">
        <v>92.841087341308494</v>
      </c>
      <c r="W12" s="1">
        <v>94.553108215332003</v>
      </c>
      <c r="X12" s="1">
        <v>87.817398071289105</v>
      </c>
      <c r="Y12" s="1">
        <v>85.09716796875</v>
      </c>
      <c r="Z12" s="1">
        <v>83.555763244628906</v>
      </c>
      <c r="AA12" s="1">
        <v>81.614387512207003</v>
      </c>
      <c r="AB12" s="1">
        <v>86.079292297363295</v>
      </c>
      <c r="AD12" s="1">
        <v>93.057670593261705</v>
      </c>
      <c r="AE12" s="1">
        <v>95.740516662597699</v>
      </c>
      <c r="AF12" s="1">
        <v>101.48519897460901</v>
      </c>
      <c r="AG12" s="1">
        <v>102.53482055664099</v>
      </c>
      <c r="AH12" s="1">
        <v>103.30052947998</v>
      </c>
      <c r="AI12" s="1">
        <v>118.25473785400401</v>
      </c>
      <c r="AJ12" s="1">
        <v>134.49235534668</v>
      </c>
      <c r="AK12" s="1">
        <v>138.89947509765599</v>
      </c>
      <c r="AL12" s="1">
        <v>138.40580749511699</v>
      </c>
      <c r="AM12" s="1">
        <v>139.23677062988301</v>
      </c>
      <c r="AN12" s="1">
        <v>142.00489807128901</v>
      </c>
      <c r="AO12" s="1">
        <v>149.30729675293</v>
      </c>
      <c r="AP12" s="1">
        <v>143.71780395507801</v>
      </c>
      <c r="AQ12" s="1">
        <v>143.41189575195301</v>
      </c>
      <c r="AR12" s="1">
        <v>143.97837829589801</v>
      </c>
      <c r="AS12" s="1">
        <v>143.89527893066401</v>
      </c>
      <c r="AT12" s="1">
        <v>145.24914550781301</v>
      </c>
      <c r="AU12" s="1">
        <v>147.3154296875</v>
      </c>
      <c r="AV12" s="1">
        <v>143.82418823242199</v>
      </c>
    </row>
    <row r="13" spans="1:49">
      <c r="A13" s="5" t="s">
        <v>14</v>
      </c>
      <c r="C13" s="1">
        <v>40.436740875244098</v>
      </c>
      <c r="D13" s="1">
        <v>46.947750091552699</v>
      </c>
      <c r="E13" s="1">
        <v>50.795909881591697</v>
      </c>
      <c r="F13" s="1">
        <v>55.758460998535199</v>
      </c>
      <c r="G13" s="1">
        <v>61.358211517333999</v>
      </c>
      <c r="H13" s="1">
        <v>61.952480316162102</v>
      </c>
      <c r="I13" s="1">
        <v>60.886020660400398</v>
      </c>
      <c r="J13" s="1">
        <v>59.087379455566399</v>
      </c>
      <c r="K13" s="1">
        <v>59.675270080566399</v>
      </c>
      <c r="L13" s="1">
        <v>63.36083984375</v>
      </c>
      <c r="M13" s="1">
        <v>63.7058715820313</v>
      </c>
      <c r="N13" s="1">
        <v>67.449989318847699</v>
      </c>
      <c r="O13" s="1">
        <v>63.732841491699197</v>
      </c>
      <c r="P13" s="1">
        <v>58.967739105224602</v>
      </c>
      <c r="Q13" s="1">
        <v>60.5111083984375</v>
      </c>
      <c r="R13" s="1">
        <v>60.195751190185497</v>
      </c>
      <c r="S13" s="1">
        <v>61.689739227294901</v>
      </c>
      <c r="T13" s="1">
        <v>61.151229858398402</v>
      </c>
      <c r="U13" s="1">
        <v>67.540901184082003</v>
      </c>
      <c r="V13" s="1">
        <v>73.222602844238295</v>
      </c>
      <c r="W13" s="1">
        <v>76.232223510742202</v>
      </c>
      <c r="X13" s="1">
        <v>91.653221130370994</v>
      </c>
      <c r="Y13" s="1">
        <v>97.417022705078097</v>
      </c>
      <c r="Z13" s="1">
        <v>103.910041809082</v>
      </c>
      <c r="AA13" s="1">
        <v>152.21629333496099</v>
      </c>
      <c r="AB13" s="1">
        <v>147.69650268554699</v>
      </c>
      <c r="AD13" s="1">
        <v>132.928466796875</v>
      </c>
      <c r="AE13" s="1">
        <v>131.68542480468801</v>
      </c>
      <c r="AF13" s="1">
        <v>134.02926635742199</v>
      </c>
      <c r="AG13" s="1">
        <v>137.72903442382801</v>
      </c>
      <c r="AH13" s="1">
        <v>133.97113037109401</v>
      </c>
      <c r="AJ13" s="1">
        <v>126.483940124512</v>
      </c>
      <c r="AK13" s="1">
        <v>124.28199005127</v>
      </c>
      <c r="AL13" s="1">
        <v>123.662841796875</v>
      </c>
      <c r="AM13" s="1">
        <v>120.75685882568401</v>
      </c>
      <c r="AN13" s="1">
        <v>127.77651214599599</v>
      </c>
      <c r="AO13" s="1">
        <v>126.50933837890599</v>
      </c>
      <c r="AP13" s="1">
        <v>133.02116394043</v>
      </c>
      <c r="AQ13" s="1">
        <v>135.15811157226599</v>
      </c>
      <c r="AR13" s="1">
        <v>136.28593444824199</v>
      </c>
      <c r="AS13" s="1">
        <v>141.74713134765599</v>
      </c>
      <c r="AT13" s="1">
        <v>142.23352050781301</v>
      </c>
      <c r="AU13" s="1">
        <v>141.184814453125</v>
      </c>
      <c r="AV13" s="1">
        <v>139.26449584960901</v>
      </c>
    </row>
    <row r="14" spans="1:49">
      <c r="A14" s="5" t="s">
        <v>15</v>
      </c>
      <c r="C14" s="1">
        <v>23.407140731811499</v>
      </c>
      <c r="D14" s="1">
        <v>24.551010131835898</v>
      </c>
      <c r="E14" s="1">
        <v>24.877140045166001</v>
      </c>
      <c r="F14" s="1">
        <v>25.5872592926025</v>
      </c>
      <c r="G14" s="1">
        <v>25.443479537963899</v>
      </c>
      <c r="H14" s="1">
        <v>26.2606296539307</v>
      </c>
      <c r="I14" s="1">
        <v>26.986869812011701</v>
      </c>
      <c r="J14" s="1">
        <v>27.738090515136701</v>
      </c>
      <c r="K14" s="1">
        <v>28.177940368652301</v>
      </c>
      <c r="L14" s="1">
        <v>27.936439514160199</v>
      </c>
      <c r="M14" s="1">
        <v>26.636499404907202</v>
      </c>
      <c r="N14" s="1">
        <v>25.950750350952099</v>
      </c>
      <c r="O14" s="1">
        <v>25.5748291015625</v>
      </c>
      <c r="P14" s="1">
        <v>24.5282306671143</v>
      </c>
      <c r="Q14" s="1">
        <v>23.969129562377901</v>
      </c>
      <c r="R14" s="1">
        <v>23.366460800170799</v>
      </c>
      <c r="S14" s="1">
        <v>23.324119567871101</v>
      </c>
      <c r="T14" s="1">
        <v>23.395790100097699</v>
      </c>
      <c r="U14" s="1">
        <v>27.0549507141113</v>
      </c>
      <c r="V14" s="1">
        <v>27.254299163818398</v>
      </c>
      <c r="W14" s="1">
        <v>27.904209136962901</v>
      </c>
      <c r="X14" s="1">
        <v>29.742460250854499</v>
      </c>
      <c r="Y14" s="1">
        <v>33.303909301757798</v>
      </c>
      <c r="Z14" s="1">
        <v>36.5341186523438</v>
      </c>
      <c r="AA14" s="1">
        <v>39.193748474121101</v>
      </c>
      <c r="AB14" s="1">
        <v>42.854099273681598</v>
      </c>
      <c r="AC14" s="1">
        <v>47.812198638916001</v>
      </c>
      <c r="AD14" s="1">
        <v>51.725440979003899</v>
      </c>
      <c r="AE14" s="1">
        <v>55.971328735351598</v>
      </c>
      <c r="AF14" s="1">
        <v>57.742061614990199</v>
      </c>
      <c r="AG14" s="1">
        <v>62.396671295166001</v>
      </c>
      <c r="AH14" s="1">
        <v>66.020286560058494</v>
      </c>
      <c r="AI14" s="1">
        <v>67.534629821777301</v>
      </c>
      <c r="AJ14" s="1">
        <v>70.592628479003906</v>
      </c>
      <c r="AK14" s="1">
        <v>73.772521972656307</v>
      </c>
      <c r="AL14" s="1">
        <v>76.601982116699205</v>
      </c>
      <c r="AM14" s="1">
        <v>79.137748718261705</v>
      </c>
      <c r="AN14" s="1">
        <v>81.132621765136705</v>
      </c>
      <c r="AO14" s="1">
        <v>82.5794677734375</v>
      </c>
      <c r="AP14" s="1">
        <v>83.304862976074205</v>
      </c>
      <c r="AQ14" s="1">
        <v>84.079528808593807</v>
      </c>
      <c r="AR14" s="1">
        <v>80.802307128906307</v>
      </c>
      <c r="AS14" s="1">
        <v>75.967460632324205</v>
      </c>
      <c r="AT14" s="1">
        <v>76.982360839843807</v>
      </c>
      <c r="AU14" s="1">
        <v>75.593269348144503</v>
      </c>
      <c r="AV14" s="1">
        <v>77.079887390136705</v>
      </c>
    </row>
    <row r="15" spans="1:49">
      <c r="A15" s="5" t="s">
        <v>16</v>
      </c>
      <c r="M15" s="1">
        <v>82.667152404785199</v>
      </c>
      <c r="R15" s="1">
        <v>84.414299011230497</v>
      </c>
      <c r="U15" s="1">
        <v>88.0443115234375</v>
      </c>
      <c r="V15" s="1">
        <v>90.014862060546903</v>
      </c>
      <c r="W15" s="1">
        <v>93.072036743164105</v>
      </c>
      <c r="X15" s="1">
        <v>93.361091613769503</v>
      </c>
      <c r="Y15" s="1">
        <v>92.3905029296875</v>
      </c>
      <c r="Z15" s="1">
        <v>91.364219665527301</v>
      </c>
      <c r="AA15" s="1">
        <v>95.2152099609375</v>
      </c>
      <c r="AB15" s="1">
        <v>94.431838989257798</v>
      </c>
      <c r="AC15" s="1">
        <v>94.782493591308494</v>
      </c>
      <c r="AE15" s="1">
        <v>99.7222900390625</v>
      </c>
      <c r="AF15" s="1">
        <v>101.37638092041</v>
      </c>
      <c r="AG15" s="1">
        <v>99.361106872558494</v>
      </c>
      <c r="AH15" s="1">
        <v>99.478889465332003</v>
      </c>
      <c r="AI15" s="1">
        <v>99.486541748046903</v>
      </c>
      <c r="AJ15" s="1">
        <v>99.822853088378906</v>
      </c>
      <c r="AK15" s="1">
        <v>97.891311645507798</v>
      </c>
      <c r="AL15" s="1">
        <v>96.652671813964801</v>
      </c>
      <c r="AM15" s="1">
        <v>94.417678833007798</v>
      </c>
      <c r="AN15" s="1">
        <v>94.029869079589801</v>
      </c>
      <c r="AO15" s="1">
        <v>93.577560424804702</v>
      </c>
      <c r="AP15" s="1">
        <v>93.540779113769503</v>
      </c>
      <c r="AQ15" s="1">
        <v>93.602981567382798</v>
      </c>
      <c r="AR15" s="1">
        <v>93.7979736328125</v>
      </c>
      <c r="AS15" s="1">
        <v>93.768310546875</v>
      </c>
      <c r="AT15" s="1">
        <v>93.064216613769503</v>
      </c>
      <c r="AU15" s="1">
        <v>92.412780761718807</v>
      </c>
    </row>
    <row r="16" spans="1:49">
      <c r="A16" s="5" t="s">
        <v>17</v>
      </c>
      <c r="C16" s="1">
        <v>39.027359008789098</v>
      </c>
      <c r="D16" s="1">
        <v>34.419410705566399</v>
      </c>
      <c r="E16" s="1">
        <v>43.162258148193402</v>
      </c>
      <c r="G16" s="1">
        <v>59.0891304016113</v>
      </c>
      <c r="I16" s="1">
        <v>105.196617126465</v>
      </c>
      <c r="J16" s="1">
        <v>108.54286956787099</v>
      </c>
      <c r="K16" s="1">
        <v>110.095268249512</v>
      </c>
      <c r="M16" s="1">
        <v>100.611198425293</v>
      </c>
      <c r="N16" s="1">
        <v>90.324180603027301</v>
      </c>
      <c r="O16" s="1">
        <v>82.489967346191406</v>
      </c>
      <c r="P16" s="1">
        <v>86.248626708984403</v>
      </c>
      <c r="Q16" s="1">
        <v>86.274459838867202</v>
      </c>
      <c r="R16" s="1">
        <v>85.473968505859403</v>
      </c>
      <c r="S16" s="1">
        <v>69.745826721191406</v>
      </c>
      <c r="T16" s="1">
        <v>63.894939422607401</v>
      </c>
      <c r="U16" s="1">
        <v>63.2771186828613</v>
      </c>
      <c r="V16" s="1">
        <v>64.475791931152301</v>
      </c>
      <c r="W16" s="1">
        <v>61.901241302490199</v>
      </c>
      <c r="X16" s="1">
        <v>59.982109069824197</v>
      </c>
      <c r="Y16" s="1">
        <v>60.057998657226598</v>
      </c>
      <c r="Z16" s="1">
        <v>62.375450134277301</v>
      </c>
      <c r="AA16" s="1">
        <v>66.623237609863295</v>
      </c>
      <c r="AD16" s="1">
        <v>64.124977111816406</v>
      </c>
      <c r="AE16" s="1">
        <v>69.120216369628906</v>
      </c>
      <c r="AF16" s="1">
        <v>74.263099670410199</v>
      </c>
      <c r="AG16" s="1">
        <v>79.935806274414105</v>
      </c>
      <c r="AH16" s="1">
        <v>82.500709533691406</v>
      </c>
      <c r="AJ16" s="1">
        <v>90.935546875</v>
      </c>
      <c r="AK16" s="1">
        <v>97.281959533691406</v>
      </c>
      <c r="AL16" s="1">
        <v>99.336883544921903</v>
      </c>
      <c r="AM16" s="1">
        <v>105.065872192383</v>
      </c>
      <c r="AN16" s="1">
        <v>109.053901672363</v>
      </c>
      <c r="AO16" s="1">
        <v>109.191841125488</v>
      </c>
      <c r="AP16" s="1">
        <v>110.11872100830099</v>
      </c>
      <c r="AQ16" s="1">
        <v>106.148429870605</v>
      </c>
      <c r="AR16" s="1">
        <v>104.95319366455099</v>
      </c>
      <c r="AS16" s="1">
        <v>105.84597015380901</v>
      </c>
      <c r="AT16" s="1">
        <v>105.46779632568401</v>
      </c>
      <c r="AU16" s="1">
        <v>106.31649017334</v>
      </c>
    </row>
    <row r="17" spans="1:49">
      <c r="A17" s="5" t="s">
        <v>18</v>
      </c>
      <c r="C17" s="1">
        <v>88.139251708984403</v>
      </c>
      <c r="D17" s="1">
        <v>86.609153747558494</v>
      </c>
      <c r="E17" s="1">
        <v>87.014869689941406</v>
      </c>
      <c r="F17" s="1">
        <v>86.151260375976605</v>
      </c>
      <c r="H17" s="1">
        <v>84.913398742675795</v>
      </c>
      <c r="I17" s="1">
        <v>84.939903259277301</v>
      </c>
      <c r="J17" s="1">
        <v>86.473617553710895</v>
      </c>
      <c r="K17" s="1">
        <v>87.684791564941406</v>
      </c>
      <c r="L17" s="1">
        <v>89.146026611328097</v>
      </c>
      <c r="M17" s="1">
        <v>91.807479858398395</v>
      </c>
      <c r="N17" s="1">
        <v>95.661857604980497</v>
      </c>
      <c r="O17" s="1">
        <v>96.741691589355497</v>
      </c>
      <c r="P17" s="1">
        <v>97.238189697265597</v>
      </c>
      <c r="Q17" s="1">
        <v>95.300117492675795</v>
      </c>
      <c r="R17" s="1">
        <v>95.988327026367202</v>
      </c>
      <c r="S17" s="1">
        <v>100.47722625732401</v>
      </c>
      <c r="T17" s="1">
        <v>99.513031005859403</v>
      </c>
      <c r="U17" s="1">
        <v>100.943168640137</v>
      </c>
      <c r="V17" s="1">
        <v>92.905006408691406</v>
      </c>
      <c r="W17" s="1">
        <v>102.623008728027</v>
      </c>
      <c r="X17" s="1">
        <v>111.363410949707</v>
      </c>
      <c r="Y17" s="1">
        <v>112.730796813965</v>
      </c>
      <c r="Z17" s="1">
        <v>113.60569000244099</v>
      </c>
      <c r="AA17" s="1">
        <v>108.341766357422</v>
      </c>
      <c r="AB17" s="1">
        <v>107.842979431152</v>
      </c>
      <c r="AC17" s="1">
        <v>103.552871704102</v>
      </c>
      <c r="AE17" s="1">
        <v>97.348297119140597</v>
      </c>
      <c r="AF17" s="1">
        <v>100.750030517578</v>
      </c>
      <c r="AG17" s="1">
        <v>99.930946350097699</v>
      </c>
      <c r="AH17" s="1">
        <v>99.968246459960895</v>
      </c>
      <c r="AI17" s="1">
        <v>101.831169128418</v>
      </c>
      <c r="AJ17" s="1">
        <v>101.84845733642599</v>
      </c>
      <c r="AK17" s="1">
        <v>101.09796142578099</v>
      </c>
      <c r="AL17" s="1">
        <v>100.61353302002</v>
      </c>
      <c r="AM17" s="1">
        <v>100.420463562012</v>
      </c>
      <c r="AN17" s="1">
        <v>101.010871887207</v>
      </c>
      <c r="AO17" s="1">
        <v>99.316703796386705</v>
      </c>
      <c r="AP17" s="1">
        <v>98.738609313964801</v>
      </c>
      <c r="AT17" s="1">
        <v>101.872611999512</v>
      </c>
      <c r="AW17" s="1">
        <v>111.637100219727</v>
      </c>
    </row>
    <row r="18" spans="1:49">
      <c r="A18" s="5" t="s">
        <v>19</v>
      </c>
      <c r="B18" s="1">
        <v>25.7564601898193</v>
      </c>
      <c r="D18" s="1">
        <v>40.847110748291001</v>
      </c>
      <c r="E18" s="1">
        <v>42.3950004577637</v>
      </c>
      <c r="F18" s="1">
        <v>46.540519714355497</v>
      </c>
      <c r="G18" s="1">
        <v>52.466190338134801</v>
      </c>
      <c r="H18" s="1">
        <v>61.060928344726598</v>
      </c>
      <c r="I18" s="1">
        <v>70.921661376953097</v>
      </c>
      <c r="J18" s="1">
        <v>78.559310913085895</v>
      </c>
      <c r="K18" s="1">
        <v>88.543472290039105</v>
      </c>
      <c r="L18" s="1">
        <v>91.174392700195298</v>
      </c>
      <c r="M18" s="1">
        <v>71.736923217773395</v>
      </c>
      <c r="N18" s="1">
        <v>74.100997924804702</v>
      </c>
      <c r="O18" s="1">
        <v>79.318931579589801</v>
      </c>
      <c r="P18" s="1">
        <v>82.725051879882798</v>
      </c>
      <c r="Q18" s="1">
        <v>83.369400024414105</v>
      </c>
      <c r="R18" s="1">
        <v>83.335189819335895</v>
      </c>
      <c r="S18" s="1">
        <v>85.0848388671875</v>
      </c>
      <c r="T18" s="1">
        <v>89.313529968261705</v>
      </c>
      <c r="U18" s="1">
        <v>104.11224365234401</v>
      </c>
      <c r="V18" s="1">
        <v>111.98500823974599</v>
      </c>
      <c r="W18" s="1">
        <v>113.00946044921901</v>
      </c>
      <c r="X18" s="1">
        <v>115.953742980957</v>
      </c>
      <c r="Y18" s="1">
        <v>115.12615203857401</v>
      </c>
      <c r="Z18" s="1">
        <v>115.89369964599599</v>
      </c>
      <c r="AA18" s="1">
        <v>115.78005218505901</v>
      </c>
      <c r="AB18" s="1">
        <v>119.919891357422</v>
      </c>
      <c r="AC18" s="1">
        <v>117.65544128418</v>
      </c>
      <c r="AE18" s="1">
        <v>116.642936706543</v>
      </c>
      <c r="AF18" s="1">
        <v>120.348823547363</v>
      </c>
      <c r="AG18" s="1">
        <v>113.134559631348</v>
      </c>
      <c r="AH18" s="1">
        <v>118.11033630371099</v>
      </c>
      <c r="AI18" s="1">
        <v>115.68801116943401</v>
      </c>
      <c r="AJ18" s="1">
        <v>116.68179321289099</v>
      </c>
      <c r="AK18" s="1">
        <v>115.43051147460901</v>
      </c>
      <c r="AL18" s="1">
        <v>128.13064575195301</v>
      </c>
      <c r="AM18" s="1">
        <v>128.23341369628901</v>
      </c>
      <c r="AN18" s="1">
        <v>125.824020385742</v>
      </c>
      <c r="AO18" s="1">
        <v>137.218017578125</v>
      </c>
      <c r="AP18" s="1">
        <v>142.11561584472699</v>
      </c>
      <c r="AQ18" s="1">
        <v>145.12808227539099</v>
      </c>
      <c r="AR18" s="1">
        <v>142.26579284668</v>
      </c>
      <c r="AS18" s="1">
        <v>138.07278442382801</v>
      </c>
      <c r="AT18" s="1">
        <v>134.75445556640599</v>
      </c>
      <c r="AU18" s="1">
        <v>134.94105529785199</v>
      </c>
      <c r="AV18" s="1">
        <v>135.38479614257801</v>
      </c>
      <c r="AW18" s="1">
        <v>134.12059020996099</v>
      </c>
    </row>
    <row r="19" spans="1:49">
      <c r="A19" s="5" t="s">
        <v>20</v>
      </c>
      <c r="B19" s="1">
        <v>67.150367736816406</v>
      </c>
      <c r="C19" s="1">
        <v>70.097389221191406</v>
      </c>
      <c r="D19" s="1">
        <v>69.975158691406307</v>
      </c>
      <c r="E19" s="1">
        <v>71.615737915039105</v>
      </c>
      <c r="F19" s="1">
        <v>71.281532287597699</v>
      </c>
      <c r="G19" s="1">
        <v>73.151107788085895</v>
      </c>
      <c r="H19" s="1">
        <v>75.507972717285199</v>
      </c>
      <c r="I19" s="1">
        <v>74.467597961425795</v>
      </c>
      <c r="J19" s="1">
        <v>72.295852661132798</v>
      </c>
      <c r="K19" s="1">
        <v>77.762451171875</v>
      </c>
      <c r="L19" s="1">
        <v>86.2158203125</v>
      </c>
      <c r="N19" s="1">
        <v>86.920600891113295</v>
      </c>
      <c r="O19" s="1">
        <v>88.728553771972699</v>
      </c>
      <c r="P19" s="1">
        <v>85.746307373046903</v>
      </c>
      <c r="Q19" s="1">
        <v>87.695762634277301</v>
      </c>
      <c r="R19" s="1">
        <v>84.924453735351605</v>
      </c>
      <c r="S19" s="1">
        <v>86.927093505859403</v>
      </c>
      <c r="T19" s="1">
        <v>87.144149780273395</v>
      </c>
      <c r="U19" s="1">
        <v>84.362747192382798</v>
      </c>
      <c r="V19" s="1">
        <v>87.443511962890597</v>
      </c>
      <c r="W19" s="1">
        <v>91.078666687011705</v>
      </c>
      <c r="X19" s="1">
        <v>93.184097290039105</v>
      </c>
      <c r="Y19" s="1">
        <v>95.944068908691406</v>
      </c>
      <c r="Z19" s="1">
        <v>98.264022827148395</v>
      </c>
      <c r="AA19" s="1">
        <v>97.099662780761705</v>
      </c>
      <c r="AB19" s="1">
        <v>96.223899841308494</v>
      </c>
      <c r="AC19" s="1">
        <v>97.680778503417997</v>
      </c>
      <c r="AD19" s="1">
        <v>98.016609191894503</v>
      </c>
      <c r="AE19" s="1">
        <v>103.761352539063</v>
      </c>
      <c r="AF19" s="1">
        <v>104.830436706543</v>
      </c>
      <c r="AG19" s="1">
        <v>108.969970703125</v>
      </c>
      <c r="AH19" s="1">
        <v>116.46434020996099</v>
      </c>
      <c r="AI19" s="1">
        <v>117.540641784668</v>
      </c>
      <c r="AJ19" s="1">
        <v>120.03457641601599</v>
      </c>
      <c r="AK19" s="1">
        <v>121.067008972168</v>
      </c>
      <c r="AL19" s="1">
        <v>124.766891479492</v>
      </c>
      <c r="AM19" s="1">
        <v>124.08998870849599</v>
      </c>
      <c r="AN19" s="1">
        <v>124.01634216308599</v>
      </c>
      <c r="AP19" s="1">
        <v>123.25885772705099</v>
      </c>
    </row>
    <row r="20" spans="1:49">
      <c r="A20" s="5" t="s">
        <v>21</v>
      </c>
      <c r="C20" s="1">
        <v>11.7142896652222</v>
      </c>
      <c r="D20" s="1">
        <v>12.1438798904419</v>
      </c>
      <c r="E20" s="1">
        <v>12.5519399642944</v>
      </c>
      <c r="F20" s="1">
        <v>13.2995300292969</v>
      </c>
      <c r="G20" s="1">
        <v>14.153440475463899</v>
      </c>
      <c r="H20" s="1">
        <v>16.277290344238299</v>
      </c>
      <c r="I20" s="1">
        <v>17.879499435424801</v>
      </c>
      <c r="J20" s="1">
        <v>19.210170745849599</v>
      </c>
      <c r="K20" s="1">
        <v>19.7563991546631</v>
      </c>
      <c r="L20" s="1">
        <v>21.515499114990199</v>
      </c>
      <c r="M20" s="1">
        <v>23.0036506652832</v>
      </c>
      <c r="N20" s="1">
        <v>23.236320495605501</v>
      </c>
      <c r="O20" s="1">
        <v>23.178960800170799</v>
      </c>
      <c r="P20" s="1">
        <v>23.229610443115199</v>
      </c>
      <c r="Q20" s="1">
        <v>22.670059204101602</v>
      </c>
      <c r="R20" s="1">
        <v>24.2181396484375</v>
      </c>
      <c r="S20" s="1">
        <v>25.0896091461182</v>
      </c>
      <c r="T20" s="1">
        <v>24.785509109497099</v>
      </c>
      <c r="U20" s="1">
        <v>25.652469635009801</v>
      </c>
      <c r="V20" s="1">
        <v>26.1587104797363</v>
      </c>
      <c r="W20" s="1">
        <v>27.123519897460898</v>
      </c>
      <c r="X20" s="1">
        <v>26.465700149536101</v>
      </c>
      <c r="Y20" s="1">
        <v>26.751369476318398</v>
      </c>
      <c r="Z20" s="1">
        <v>27.563329696655298</v>
      </c>
      <c r="AA20" s="1">
        <v>27.793170928955099</v>
      </c>
      <c r="AB20" s="1">
        <v>28.013280868530298</v>
      </c>
      <c r="AC20" s="1">
        <v>28.851009368896499</v>
      </c>
      <c r="AD20" s="1">
        <v>29.022729873657202</v>
      </c>
      <c r="AE20" s="1">
        <v>30.7222805023193</v>
      </c>
      <c r="AF20" s="1">
        <v>32.321571350097699</v>
      </c>
      <c r="AG20" s="1">
        <v>35.331661224365199</v>
      </c>
      <c r="AH20" s="1">
        <v>39.514961242675803</v>
      </c>
      <c r="AI20" s="1">
        <v>42.711021423339801</v>
      </c>
      <c r="AJ20" s="1">
        <v>46.634910583496101</v>
      </c>
      <c r="AK20" s="1">
        <v>48.346599578857401</v>
      </c>
      <c r="AL20" s="1">
        <v>48.969661712646499</v>
      </c>
      <c r="AM20" s="1">
        <v>51.444580078125</v>
      </c>
      <c r="AN20" s="1">
        <v>55.274631500244098</v>
      </c>
      <c r="AO20" s="1">
        <v>59.026599884033203</v>
      </c>
      <c r="AP20" s="1">
        <v>62.673660278320298</v>
      </c>
      <c r="AQ20" s="1">
        <v>66.491989135742202</v>
      </c>
      <c r="AR20" s="1">
        <v>68.523590087890597</v>
      </c>
      <c r="AS20" s="1">
        <v>69.352508544921903</v>
      </c>
      <c r="AT20" s="1">
        <v>69.791442871093807</v>
      </c>
      <c r="AU20" s="1">
        <v>71.816291809082003</v>
      </c>
      <c r="AV20" s="1">
        <v>73.691421508789105</v>
      </c>
    </row>
    <row r="21" spans="1:49">
      <c r="A21" s="5" t="s">
        <v>22</v>
      </c>
      <c r="C21" s="1">
        <v>64.660423278808494</v>
      </c>
      <c r="D21" s="1">
        <v>61.474010467529197</v>
      </c>
      <c r="E21" s="1">
        <v>59.732181549072301</v>
      </c>
      <c r="F21" s="1">
        <v>58.366851806640597</v>
      </c>
      <c r="G21" s="1">
        <v>55.616130828857401</v>
      </c>
      <c r="H21" s="1">
        <v>56.581981658935497</v>
      </c>
      <c r="I21" s="1">
        <v>59.621410369872997</v>
      </c>
      <c r="J21" s="1">
        <v>61.736698150634801</v>
      </c>
      <c r="K21" s="1">
        <v>66.4287109375</v>
      </c>
      <c r="L21" s="1">
        <v>69.555862426757798</v>
      </c>
      <c r="M21" s="1">
        <v>73.902328491210895</v>
      </c>
      <c r="N21" s="1">
        <v>74.781822204589801</v>
      </c>
      <c r="O21" s="1">
        <v>71.556289672851605</v>
      </c>
      <c r="P21" s="1">
        <v>69.911819458007798</v>
      </c>
      <c r="Q21" s="1">
        <v>68.978752136230497</v>
      </c>
      <c r="R21" s="1">
        <v>69.545501708984403</v>
      </c>
      <c r="S21" s="1">
        <v>71.357933044433494</v>
      </c>
      <c r="T21" s="1">
        <v>72.542167663574205</v>
      </c>
      <c r="U21" s="1">
        <v>73.428482055664105</v>
      </c>
      <c r="V21" s="1">
        <v>73.066299438476605</v>
      </c>
      <c r="W21" s="1">
        <v>75.087646484375</v>
      </c>
      <c r="X21" s="1">
        <v>80.528327941894503</v>
      </c>
      <c r="AC21" s="1">
        <v>101.00350189209</v>
      </c>
      <c r="AD21" s="1">
        <v>105.774360656738</v>
      </c>
      <c r="AE21" s="1">
        <v>101.774116516113</v>
      </c>
      <c r="AF21" s="1">
        <v>108.572372436523</v>
      </c>
      <c r="AG21" s="1">
        <v>109.314422607422</v>
      </c>
      <c r="AH21" s="1">
        <v>115.52243804931599</v>
      </c>
      <c r="AI21" s="1">
        <v>125.27752685546901</v>
      </c>
      <c r="AJ21" s="1">
        <v>134.87089538574199</v>
      </c>
      <c r="AK21" s="1">
        <v>137.65475463867199</v>
      </c>
      <c r="AL21" s="1">
        <v>144.42640686035199</v>
      </c>
      <c r="AM21" s="1">
        <v>148.12419128418</v>
      </c>
      <c r="AN21" s="1">
        <v>145.931716918945</v>
      </c>
      <c r="AO21" s="1">
        <v>146.524002075195</v>
      </c>
      <c r="AP21" s="1">
        <v>145.11064147949199</v>
      </c>
      <c r="AQ21" s="1">
        <v>144.36448669433599</v>
      </c>
      <c r="AR21" s="1">
        <v>144.00294494628901</v>
      </c>
      <c r="AS21" s="1">
        <v>140.52755737304699</v>
      </c>
      <c r="AT21" s="1">
        <v>136.44293212890599</v>
      </c>
      <c r="AU21" s="1">
        <v>135.50137329101599</v>
      </c>
      <c r="AV21" s="1">
        <v>137.02116394043</v>
      </c>
    </row>
    <row r="22" spans="1:49">
      <c r="A22" s="5" t="s">
        <v>23</v>
      </c>
      <c r="C22" s="1">
        <v>111.11385345459</v>
      </c>
      <c r="D22" s="1">
        <v>123.414993286133</v>
      </c>
      <c r="E22" s="1">
        <v>145.99952697753901</v>
      </c>
      <c r="F22" s="1">
        <v>115.790069580078</v>
      </c>
      <c r="G22" s="1">
        <v>117.795219421387</v>
      </c>
      <c r="H22" s="1">
        <v>151.00918579101599</v>
      </c>
      <c r="I22" s="1">
        <v>129.069412231445</v>
      </c>
      <c r="J22" s="1">
        <v>140.31506347656301</v>
      </c>
      <c r="L22" s="1">
        <v>159.35328674316401</v>
      </c>
      <c r="M22" s="1">
        <v>157.85618591308599</v>
      </c>
      <c r="N22" s="1">
        <v>155.25018310546901</v>
      </c>
      <c r="O22" s="1">
        <v>146.96969604492199</v>
      </c>
      <c r="P22" s="1">
        <v>136.6328125</v>
      </c>
      <c r="Q22" s="1">
        <v>128.45338439941401</v>
      </c>
      <c r="S22" s="1">
        <v>120.74105834960901</v>
      </c>
      <c r="T22" s="1">
        <v>124.43267822265599</v>
      </c>
      <c r="V22" s="1">
        <v>138.58630371093801</v>
      </c>
      <c r="W22" s="1">
        <v>147.843017578125</v>
      </c>
      <c r="X22" s="1">
        <v>158.27316284179699</v>
      </c>
      <c r="AB22" s="1">
        <v>143.24859619140599</v>
      </c>
      <c r="AD22" s="1">
        <v>127.813850402832</v>
      </c>
      <c r="AE22" s="1">
        <v>101.98223876953099</v>
      </c>
      <c r="AH22" s="1">
        <v>121.89234161377</v>
      </c>
      <c r="AI22" s="1">
        <v>124.758750915527</v>
      </c>
      <c r="AJ22" s="1">
        <v>125.723930358887</v>
      </c>
      <c r="AK22" s="1">
        <v>126.496719360352</v>
      </c>
      <c r="AM22" s="1">
        <v>119.275917053223</v>
      </c>
      <c r="AN22" s="1">
        <v>120.01473236084</v>
      </c>
      <c r="AO22" s="1">
        <v>120.481369018555</v>
      </c>
      <c r="AP22" s="1">
        <v>117.694137573242</v>
      </c>
      <c r="AQ22" s="1">
        <v>117.770866394043</v>
      </c>
      <c r="AR22" s="1">
        <v>109.95652770996099</v>
      </c>
      <c r="AS22" s="1">
        <v>109.90065002441401</v>
      </c>
      <c r="AT22" s="1">
        <v>106.928512573242</v>
      </c>
      <c r="AU22" s="1">
        <v>108.44490814209</v>
      </c>
      <c r="AV22" s="1">
        <v>109.508331298828</v>
      </c>
      <c r="AW22" s="1">
        <v>110.23397827148401</v>
      </c>
    </row>
    <row r="23" spans="1:49">
      <c r="A23" s="5" t="s">
        <v>24</v>
      </c>
      <c r="B23" s="1">
        <v>101.31500244140599</v>
      </c>
      <c r="C23" s="1">
        <v>103.136596679688</v>
      </c>
      <c r="D23" s="1">
        <v>93.407119750976605</v>
      </c>
      <c r="E23" s="1">
        <v>90.800468444824205</v>
      </c>
      <c r="F23" s="1">
        <v>85.548660278320298</v>
      </c>
      <c r="G23" s="1">
        <v>82.587753295898395</v>
      </c>
      <c r="H23" s="1">
        <v>81.903961181640597</v>
      </c>
      <c r="I23" s="1">
        <v>86.775192260742202</v>
      </c>
      <c r="J23" s="1">
        <v>91.707237243652301</v>
      </c>
      <c r="K23" s="1">
        <v>94.950126647949205</v>
      </c>
      <c r="L23" s="1">
        <v>99.025062561035199</v>
      </c>
      <c r="M23" s="1">
        <v>101.26393127441401</v>
      </c>
      <c r="N23" s="1">
        <v>100.93068695068401</v>
      </c>
      <c r="O23" s="1">
        <v>100.06430816650401</v>
      </c>
      <c r="P23" s="1">
        <v>99.804023742675795</v>
      </c>
      <c r="Q23" s="1">
        <v>100.612197875977</v>
      </c>
      <c r="R23" s="1">
        <v>102.03246307373</v>
      </c>
      <c r="S23" s="1">
        <v>106.38893890380901</v>
      </c>
      <c r="T23" s="1">
        <v>108.2216796875</v>
      </c>
      <c r="U23" s="1">
        <v>109.688339233398</v>
      </c>
      <c r="V23" s="1">
        <v>109.87660980224599</v>
      </c>
      <c r="W23" s="1">
        <v>110.46964263916</v>
      </c>
      <c r="X23" s="1">
        <v>109.11019897460901</v>
      </c>
      <c r="Y23" s="1">
        <v>108.891761779785</v>
      </c>
      <c r="Z23" s="1">
        <v>108.72714233398401</v>
      </c>
      <c r="AA23" s="1">
        <v>111.356498718262</v>
      </c>
      <c r="AB23" s="1">
        <v>106.61741638183599</v>
      </c>
      <c r="AD23" s="1">
        <v>106.955772399902</v>
      </c>
      <c r="AG23" s="1">
        <v>107.76986694335901</v>
      </c>
      <c r="AH23" s="1">
        <v>106.02880859375</v>
      </c>
      <c r="AI23" s="1">
        <v>102.77980804443401</v>
      </c>
      <c r="AJ23" s="1">
        <v>97.676086425781307</v>
      </c>
      <c r="AK23" s="1">
        <v>99.627838134765597</v>
      </c>
      <c r="AL23" s="1">
        <v>98.978378295898395</v>
      </c>
      <c r="AM23" s="1">
        <v>98.392158508300795</v>
      </c>
      <c r="AN23" s="1">
        <v>97.420326232910199</v>
      </c>
      <c r="AO23" s="1">
        <v>95.0826416015625</v>
      </c>
      <c r="AP23" s="1">
        <v>99.706413269042997</v>
      </c>
      <c r="AQ23" s="1">
        <v>99.733062744140597</v>
      </c>
      <c r="AR23" s="1">
        <v>100.07356262207</v>
      </c>
      <c r="AS23" s="1">
        <v>100.616340637207</v>
      </c>
      <c r="AT23" s="1">
        <v>101.24333953857401</v>
      </c>
      <c r="AU23" s="1">
        <v>101.67652130127</v>
      </c>
      <c r="AV23" s="1">
        <v>101.897270202637</v>
      </c>
    </row>
    <row r="24" spans="1:49">
      <c r="A24" s="5" t="s">
        <v>25</v>
      </c>
      <c r="W24" s="1">
        <v>89.008071899414105</v>
      </c>
      <c r="X24" s="1">
        <v>90.630432128906307</v>
      </c>
      <c r="Y24" s="1">
        <v>84.404731750488295</v>
      </c>
      <c r="Z24" s="1">
        <v>89.256111145019503</v>
      </c>
      <c r="AA24" s="1">
        <v>89.513977050781307</v>
      </c>
      <c r="AB24" s="1">
        <v>89.464080810546903</v>
      </c>
      <c r="AC24" s="1">
        <v>88.608360290527301</v>
      </c>
      <c r="AD24" s="1">
        <v>95.660583496093807</v>
      </c>
      <c r="AE24" s="1">
        <v>95.952857971191406</v>
      </c>
      <c r="AF24" s="1">
        <v>96.549491882324205</v>
      </c>
      <c r="AG24" s="1">
        <v>95.757171630859403</v>
      </c>
      <c r="AH24" s="1">
        <v>97.273521423339801</v>
      </c>
      <c r="AI24" s="1">
        <v>99.184890747070298</v>
      </c>
      <c r="AJ24" s="1">
        <v>98.480987548828097</v>
      </c>
      <c r="AK24" s="1">
        <v>98.551467895507798</v>
      </c>
      <c r="AL24" s="1">
        <v>97.511810302734403</v>
      </c>
      <c r="AM24" s="1">
        <v>96.126312255859403</v>
      </c>
      <c r="AN24" s="1">
        <v>98.091857910156307</v>
      </c>
      <c r="AO24" s="1">
        <v>98.257881164550795</v>
      </c>
      <c r="AP24" s="1">
        <v>99.224777221679702</v>
      </c>
      <c r="AQ24" s="1">
        <v>98.852081298828097</v>
      </c>
      <c r="AR24" s="1">
        <v>98.744590759277301</v>
      </c>
      <c r="AS24" s="1">
        <v>98.519973754882798</v>
      </c>
      <c r="AT24" s="1">
        <v>95.894538879394503</v>
      </c>
      <c r="AU24" s="1">
        <v>95.180923461914105</v>
      </c>
      <c r="AV24" s="1">
        <v>95.709510803222699</v>
      </c>
      <c r="AW24" s="1">
        <v>98.808341979980497</v>
      </c>
    </row>
    <row r="25" spans="1:49">
      <c r="A25" s="5" t="s">
        <v>26</v>
      </c>
      <c r="B25" s="1">
        <v>33.822910308837898</v>
      </c>
      <c r="C25" s="1">
        <v>35.227928161621101</v>
      </c>
      <c r="D25" s="1">
        <v>37.571338653564503</v>
      </c>
      <c r="E25" s="1">
        <v>40.140731811523402</v>
      </c>
      <c r="F25" s="1">
        <v>43.410930633544901</v>
      </c>
      <c r="G25" s="1">
        <v>53.148609161377003</v>
      </c>
      <c r="H25" s="1">
        <v>63.088130950927699</v>
      </c>
      <c r="I25" s="1">
        <v>71.033309936523395</v>
      </c>
      <c r="J25" s="1">
        <v>90.416877746582003</v>
      </c>
      <c r="K25" s="1">
        <v>93.870246887207003</v>
      </c>
      <c r="L25" s="1">
        <v>95.398002624511705</v>
      </c>
      <c r="M25" s="1">
        <v>96.950248718261705</v>
      </c>
      <c r="N25" s="1">
        <v>93.023429870605497</v>
      </c>
      <c r="O25" s="1">
        <v>91.149177551269503</v>
      </c>
      <c r="P25" s="1">
        <v>86.518310546875</v>
      </c>
      <c r="Q25" s="1">
        <v>76.142761230468807</v>
      </c>
      <c r="R25" s="1">
        <v>73.509201049804702</v>
      </c>
      <c r="S25" s="1">
        <v>71.250030517578097</v>
      </c>
      <c r="T25" s="1">
        <v>69.186820983886705</v>
      </c>
      <c r="U25" s="1">
        <v>69.091072082519503</v>
      </c>
      <c r="V25" s="1">
        <v>69.579986572265597</v>
      </c>
      <c r="W25" s="1">
        <v>69.997009277343807</v>
      </c>
      <c r="X25" s="1">
        <v>69.433036804199205</v>
      </c>
      <c r="Y25" s="1">
        <v>69.636390686035199</v>
      </c>
      <c r="Z25" s="1">
        <v>68.561050415039105</v>
      </c>
      <c r="AA25" s="1">
        <v>68.061233520507798</v>
      </c>
      <c r="AB25" s="1">
        <v>67.299819946289105</v>
      </c>
      <c r="AC25" s="1">
        <v>67.407150268554702</v>
      </c>
      <c r="AD25" s="1">
        <v>65.399078369140597</v>
      </c>
      <c r="AE25" s="1">
        <v>66.077423095703097</v>
      </c>
      <c r="AF25" s="1">
        <v>67.4801025390625</v>
      </c>
      <c r="AG25" s="1">
        <v>73.328720092773395</v>
      </c>
      <c r="AH25" s="1">
        <v>87.626419067382798</v>
      </c>
      <c r="AI25" s="1">
        <v>93.746360778808494</v>
      </c>
      <c r="AJ25" s="1">
        <v>98.608963012695298</v>
      </c>
      <c r="AK25" s="1">
        <v>102.26894378662099</v>
      </c>
      <c r="AL25" s="1">
        <v>105.13916015625</v>
      </c>
      <c r="AM25" s="1">
        <v>106.64923095703099</v>
      </c>
      <c r="AN25" s="1">
        <v>107.05413055419901</v>
      </c>
      <c r="AO25" s="1">
        <v>101.170852661133</v>
      </c>
      <c r="AP25" s="1">
        <v>97.398490905761705</v>
      </c>
      <c r="AQ25" s="1">
        <v>92.019668579101605</v>
      </c>
      <c r="AR25" s="1">
        <v>88.756660461425795</v>
      </c>
      <c r="AS25" s="1">
        <v>85.543251037597699</v>
      </c>
      <c r="AT25" s="1">
        <v>82.624557495117202</v>
      </c>
      <c r="AU25" s="1">
        <v>80.743133544921903</v>
      </c>
    </row>
    <row r="26" spans="1:49">
      <c r="A26" s="5" t="s">
        <v>27</v>
      </c>
      <c r="B26" s="1">
        <v>39.614181518554702</v>
      </c>
      <c r="C26" s="1">
        <v>41.765918731689503</v>
      </c>
      <c r="D26" s="1">
        <v>39.956188201904197</v>
      </c>
      <c r="E26" s="1">
        <v>40.295120239257798</v>
      </c>
      <c r="F26" s="1">
        <v>42.155330657958999</v>
      </c>
      <c r="G26" s="1">
        <v>45.452018737792997</v>
      </c>
      <c r="H26" s="1">
        <v>46.870510101318402</v>
      </c>
      <c r="I26" s="1">
        <v>49.859100341796903</v>
      </c>
      <c r="J26" s="1">
        <v>51.263248443603501</v>
      </c>
      <c r="K26" s="1">
        <v>50.3974418640137</v>
      </c>
      <c r="L26" s="1">
        <v>52.240810394287102</v>
      </c>
      <c r="M26" s="1">
        <v>54.7929496765137</v>
      </c>
      <c r="N26" s="1">
        <v>61.043228149414098</v>
      </c>
      <c r="O26" s="1">
        <v>63.287551879882798</v>
      </c>
      <c r="P26" s="1">
        <v>68.394142150878906</v>
      </c>
      <c r="Q26" s="1">
        <v>72.735137939453097</v>
      </c>
      <c r="R26" s="1">
        <v>72.941650390625</v>
      </c>
      <c r="S26" s="1">
        <v>73.5048828125</v>
      </c>
      <c r="T26" s="1">
        <v>74.009048461914105</v>
      </c>
      <c r="U26" s="1">
        <v>69.829040527343807</v>
      </c>
      <c r="V26" s="1">
        <v>70.444206237792997</v>
      </c>
      <c r="W26" s="1">
        <v>70.707290649414105</v>
      </c>
      <c r="X26" s="1">
        <v>63.5046195983887</v>
      </c>
      <c r="Y26" s="1">
        <v>68.097961425781307</v>
      </c>
      <c r="Z26" s="1">
        <v>68.548027038574205</v>
      </c>
      <c r="AA26" s="1">
        <v>69.239120483398395</v>
      </c>
      <c r="AB26" s="1">
        <v>70.399063110351605</v>
      </c>
      <c r="AC26" s="1">
        <v>117.293807983398</v>
      </c>
      <c r="AD26" s="1">
        <v>123.72614288330099</v>
      </c>
      <c r="AE26" s="1">
        <v>129.14537048339801</v>
      </c>
      <c r="AF26" s="1">
        <v>129.99751281738301</v>
      </c>
      <c r="AG26" s="1">
        <v>131.75497436523401</v>
      </c>
      <c r="AH26" s="1">
        <v>135.27682495117199</v>
      </c>
      <c r="AI26" s="1">
        <v>135.40434265136699</v>
      </c>
      <c r="AJ26" s="1">
        <v>126.36733245849599</v>
      </c>
      <c r="AK26" s="1">
        <v>119.700691223145</v>
      </c>
      <c r="AL26" s="1">
        <v>118.017143249512</v>
      </c>
      <c r="AM26" s="1">
        <v>116.71246337890599</v>
      </c>
      <c r="AN26" s="1">
        <v>119.03562927246099</v>
      </c>
      <c r="AO26" s="1">
        <v>119.74260711669901</v>
      </c>
      <c r="AP26" s="1">
        <v>116.78662109375</v>
      </c>
      <c r="AQ26" s="1">
        <v>109.088729858398</v>
      </c>
      <c r="AR26" s="1">
        <v>108.44606781005901</v>
      </c>
      <c r="AS26" s="1">
        <v>106.606521606445</v>
      </c>
      <c r="AU26" s="1">
        <v>98.079063415527301</v>
      </c>
      <c r="AV26" s="1">
        <v>99.7509765625</v>
      </c>
    </row>
    <row r="27" spans="1:49">
      <c r="A27" s="5" t="s">
        <v>28</v>
      </c>
      <c r="B27" s="1">
        <v>88.129356384277301</v>
      </c>
      <c r="C27" s="1">
        <v>88.931472778320298</v>
      </c>
      <c r="D27" s="1">
        <v>91.105667114257798</v>
      </c>
      <c r="E27" s="1">
        <v>91.357482910156307</v>
      </c>
      <c r="F27" s="1">
        <v>93.370429992675795</v>
      </c>
      <c r="G27" s="1">
        <v>91.860420227050795</v>
      </c>
      <c r="H27" s="1">
        <v>92.465408325195298</v>
      </c>
      <c r="I27" s="1">
        <v>92.176460266113295</v>
      </c>
      <c r="J27" s="1">
        <v>91.536300659179702</v>
      </c>
      <c r="K27" s="1">
        <v>91.142860412597699</v>
      </c>
      <c r="L27" s="1">
        <v>91.848129272460895</v>
      </c>
      <c r="M27" s="1">
        <v>90.995437622070298</v>
      </c>
      <c r="N27" s="1">
        <v>91.443199157714801</v>
      </c>
      <c r="O27" s="1">
        <v>93.822898864745994</v>
      </c>
      <c r="P27" s="1">
        <v>96.034339904785199</v>
      </c>
      <c r="Q27" s="1">
        <v>99.0953369140625</v>
      </c>
      <c r="R27" s="1">
        <v>97.876029968261705</v>
      </c>
      <c r="S27" s="1">
        <v>95.752662658691406</v>
      </c>
      <c r="T27" s="1">
        <v>95.299430847167997</v>
      </c>
      <c r="U27" s="1">
        <v>94.124557495117202</v>
      </c>
      <c r="V27" s="1">
        <v>92.854873657226605</v>
      </c>
      <c r="W27" s="1">
        <v>93.561546325683494</v>
      </c>
      <c r="Z27" s="1">
        <v>86.715599060058494</v>
      </c>
      <c r="AA27" s="1">
        <v>84.645561218261705</v>
      </c>
      <c r="AB27" s="1">
        <v>83.117156982421903</v>
      </c>
      <c r="AD27" s="1">
        <v>80.979331970214801</v>
      </c>
      <c r="AE27" s="1">
        <v>78.864852905273395</v>
      </c>
      <c r="AF27" s="1">
        <v>78.680908203125</v>
      </c>
      <c r="AG27" s="1">
        <v>78.353759765625</v>
      </c>
      <c r="AH27" s="1">
        <v>81.137306213378906</v>
      </c>
      <c r="AJ27" s="1">
        <v>99.268241882324205</v>
      </c>
      <c r="AK27" s="1">
        <v>109.916633605957</v>
      </c>
      <c r="AL27" s="1">
        <v>110.878799438477</v>
      </c>
      <c r="AM27" s="1">
        <v>111.738250732422</v>
      </c>
      <c r="AN27" s="1">
        <v>112.65753173828099</v>
      </c>
      <c r="AO27" s="1">
        <v>106.407913208008</v>
      </c>
      <c r="AP27" s="1">
        <v>105.18801116943401</v>
      </c>
      <c r="AQ27" s="1">
        <v>106.679229736328</v>
      </c>
      <c r="AR27" s="1">
        <v>107.228652954102</v>
      </c>
      <c r="AS27" s="1">
        <v>102.334091186523</v>
      </c>
    </row>
    <row r="28" spans="1:49">
      <c r="A28" s="5" t="s">
        <v>29</v>
      </c>
      <c r="B28" s="1">
        <v>72.592468261718807</v>
      </c>
      <c r="C28" s="1">
        <v>66.160293579101605</v>
      </c>
      <c r="D28" s="1">
        <v>69.1793212890625</v>
      </c>
      <c r="E28" s="1">
        <v>69.772727966308494</v>
      </c>
      <c r="F28" s="1">
        <v>71.26806640625</v>
      </c>
      <c r="G28" s="1">
        <v>71.441612243652301</v>
      </c>
      <c r="H28" s="1">
        <v>70.822517395019503</v>
      </c>
      <c r="I28" s="1">
        <v>69.255699157714801</v>
      </c>
      <c r="J28" s="1">
        <v>62.220741271972699</v>
      </c>
      <c r="K28" s="1">
        <v>60.420539855957003</v>
      </c>
      <c r="L28" s="1">
        <v>86.403739929199205</v>
      </c>
      <c r="M28" s="1">
        <v>115.81024169921901</v>
      </c>
      <c r="N28" s="1">
        <v>123.92392730712901</v>
      </c>
      <c r="O28" s="1">
        <v>127.760116577148</v>
      </c>
      <c r="P28" s="1">
        <v>127.95802307128901</v>
      </c>
      <c r="Q28" s="1">
        <v>127.965530395508</v>
      </c>
      <c r="R28" s="1">
        <v>125.616180419922</v>
      </c>
      <c r="S28" s="1">
        <v>115.720138549805</v>
      </c>
      <c r="T28" s="1">
        <v>109.815460205078</v>
      </c>
      <c r="U28" s="1">
        <v>107.62328338623</v>
      </c>
      <c r="V28" s="1">
        <v>99.579078674316406</v>
      </c>
      <c r="W28" s="1">
        <v>104.628303527832</v>
      </c>
      <c r="X28" s="1">
        <v>102.797172546387</v>
      </c>
      <c r="Y28" s="1">
        <v>106.69522094726599</v>
      </c>
      <c r="AA28" s="1">
        <v>106.947677612305</v>
      </c>
      <c r="AB28" s="1">
        <v>106.44167327880901</v>
      </c>
      <c r="AC28" s="1">
        <v>106.329208374023</v>
      </c>
      <c r="AD28" s="1">
        <v>104.463272094727</v>
      </c>
      <c r="AE28" s="1">
        <v>103.09725189209</v>
      </c>
      <c r="AF28" s="1">
        <v>102.95583343505901</v>
      </c>
      <c r="AG28" s="1">
        <v>105.661010742188</v>
      </c>
      <c r="AH28" s="1">
        <v>99.70556640625</v>
      </c>
      <c r="AI28" s="1">
        <v>97.8765869140625</v>
      </c>
      <c r="AR28" s="1">
        <v>101.243461608887</v>
      </c>
      <c r="AS28" s="1">
        <v>98.694198608398395</v>
      </c>
    </row>
    <row r="30" spans="1:49">
      <c r="B30" s="1">
        <v>1970</v>
      </c>
      <c r="C30" s="1">
        <f>VLOOKUP(Indicateur15!$K$6,prevision15!$A$1:$AW$28,MATCH(prevision15!B30,prevision15!$A$1:$AW$1,0),FALSE)</f>
        <v>0</v>
      </c>
      <c r="H30" s="1">
        <v>1970</v>
      </c>
      <c r="I30" s="1">
        <f>VLOOKUP('comite 5'!$C$4,prevision15!$A$1:$BG$28,MATCH(H30,$A$1:$BG$1,0),FALSE)</f>
        <v>0</v>
      </c>
    </row>
    <row r="31" spans="1:49">
      <c r="B31" s="1">
        <v>1971</v>
      </c>
      <c r="C31" s="1">
        <f>VLOOKUP(Indicateur15!$K$6,prevision15!$A$1:$AW$28,MATCH(prevision15!B31,prevision15!$A$1:$AW$1,0),FALSE)</f>
        <v>15.02952003479</v>
      </c>
      <c r="H31" s="1">
        <v>1971</v>
      </c>
      <c r="I31" s="1">
        <f>VLOOKUP('comite 5'!$C$4,prevision15!$A$1:$BG$28,MATCH(H31,$A$1:$BG$1,0),FALSE)</f>
        <v>15.02952003479</v>
      </c>
    </row>
    <row r="32" spans="1:49">
      <c r="B32" s="1">
        <v>1972</v>
      </c>
      <c r="C32" s="1">
        <f>VLOOKUP(Indicateur15!$K$6,prevision15!$A$1:$AW$28,MATCH(prevision15!B32,prevision15!$A$1:$AW$1,0),FALSE)</f>
        <v>15.861590385436999</v>
      </c>
      <c r="H32" s="1">
        <v>1972</v>
      </c>
      <c r="I32" s="1">
        <f>VLOOKUP('comite 5'!$C$4,prevision15!$A$1:$BG$28,MATCH(H32,$A$1:$BG$1,0),FALSE)</f>
        <v>15.861590385436999</v>
      </c>
    </row>
    <row r="33" spans="2:9">
      <c r="B33" s="1">
        <v>1973</v>
      </c>
      <c r="C33" s="1">
        <f>VLOOKUP(Indicateur15!$K$6,prevision15!$A$1:$AW$28,MATCH(prevision15!B33,prevision15!$A$1:$AW$1,0),FALSE)</f>
        <v>16.2753791809082</v>
      </c>
      <c r="H33" s="1">
        <v>1973</v>
      </c>
      <c r="I33" s="1">
        <f>VLOOKUP('comite 5'!$C$4,prevision15!$A$1:$BG$28,MATCH(H33,$A$1:$BG$1,0),FALSE)</f>
        <v>16.2753791809082</v>
      </c>
    </row>
    <row r="34" spans="2:9">
      <c r="B34" s="1">
        <v>1974</v>
      </c>
      <c r="C34" s="1">
        <f>VLOOKUP(Indicateur15!$K$6,prevision15!$A$1:$AW$28,MATCH(prevision15!B34,prevision15!$A$1:$AW$1,0),FALSE)</f>
        <v>17.7330207824707</v>
      </c>
      <c r="H34" s="1">
        <v>1974</v>
      </c>
      <c r="I34" s="1">
        <f>VLOOKUP('comite 5'!$C$4,prevision15!$A$1:$BG$28,MATCH(H34,$A$1:$BG$1,0),FALSE)</f>
        <v>17.7330207824707</v>
      </c>
    </row>
    <row r="35" spans="2:9">
      <c r="B35" s="1">
        <v>1975</v>
      </c>
      <c r="C35" s="1">
        <f>VLOOKUP(Indicateur15!$K$6,prevision15!$A$1:$AW$28,MATCH(prevision15!B35,prevision15!$A$1:$AW$1,0),FALSE)</f>
        <v>19.229900360107401</v>
      </c>
      <c r="H35" s="1">
        <v>1975</v>
      </c>
      <c r="I35" s="1">
        <f>VLOOKUP('comite 5'!$C$4,prevision15!$A$1:$BG$28,MATCH(H35,$A$1:$BG$1,0),FALSE)</f>
        <v>19.229900360107401</v>
      </c>
    </row>
    <row r="36" spans="2:9">
      <c r="B36" s="1">
        <v>1976</v>
      </c>
      <c r="C36" s="1">
        <f>VLOOKUP(Indicateur15!$K$6,prevision15!$A$1:$AW$28,MATCH(prevision15!B36,prevision15!$A$1:$AW$1,0),FALSE)</f>
        <v>21.251789093017599</v>
      </c>
      <c r="H36" s="1">
        <v>1976</v>
      </c>
      <c r="I36" s="1">
        <f>VLOOKUP('comite 5'!$C$4,prevision15!$A$1:$BG$28,MATCH(H36,$A$1:$BG$1,0),FALSE)</f>
        <v>21.251789093017599</v>
      </c>
    </row>
    <row r="37" spans="2:9">
      <c r="B37" s="1">
        <v>1977</v>
      </c>
      <c r="C37" s="1">
        <f>VLOOKUP(Indicateur15!$K$6,prevision15!$A$1:$AW$28,MATCH(prevision15!B37,prevision15!$A$1:$AW$1,0),FALSE)</f>
        <v>22.831239700317401</v>
      </c>
      <c r="H37" s="1">
        <v>1977</v>
      </c>
      <c r="I37" s="1">
        <f>VLOOKUP('comite 5'!$C$4,prevision15!$A$1:$BG$28,MATCH(H37,$A$1:$BG$1,0),FALSE)</f>
        <v>22.831239700317401</v>
      </c>
    </row>
    <row r="38" spans="2:9">
      <c r="B38" s="1">
        <v>1978</v>
      </c>
      <c r="C38" s="1">
        <f>VLOOKUP(Indicateur15!$K$6,prevision15!$A$1:$AW$28,MATCH(prevision15!B38,prevision15!$A$1:$AW$1,0),FALSE)</f>
        <v>21.956119537353501</v>
      </c>
      <c r="H38" s="1">
        <v>1978</v>
      </c>
      <c r="I38" s="1">
        <f>VLOOKUP('comite 5'!$C$4,prevision15!$A$1:$BG$28,MATCH(H38,$A$1:$BG$1,0),FALSE)</f>
        <v>21.956119537353501</v>
      </c>
    </row>
    <row r="39" spans="2:9">
      <c r="B39" s="1">
        <v>1979</v>
      </c>
      <c r="C39" s="1">
        <f>VLOOKUP(Indicateur15!$K$6,prevision15!$A$1:$AW$28,MATCH(prevision15!B39,prevision15!$A$1:$AW$1,0),FALSE)</f>
        <v>26.123640060424801</v>
      </c>
      <c r="H39" s="1">
        <v>1979</v>
      </c>
      <c r="I39" s="1">
        <f>VLOOKUP('comite 5'!$C$4,prevision15!$A$1:$BG$28,MATCH(H39,$A$1:$BG$1,0),FALSE)</f>
        <v>26.123640060424801</v>
      </c>
    </row>
    <row r="40" spans="2:9">
      <c r="B40" s="1">
        <v>1980</v>
      </c>
      <c r="C40" s="1">
        <f>VLOOKUP(Indicateur15!$K$6,prevision15!$A$1:$AW$28,MATCH(prevision15!B40,prevision15!$A$1:$AW$1,0),FALSE)</f>
        <v>33.763401031494098</v>
      </c>
      <c r="H40" s="1">
        <v>1980</v>
      </c>
      <c r="I40" s="1">
        <f>VLOOKUP('comite 5'!$C$4,prevision15!$A$1:$BG$28,MATCH(H40,$A$1:$BG$1,0),FALSE)</f>
        <v>33.763401031494098</v>
      </c>
    </row>
    <row r="41" spans="2:9">
      <c r="B41" s="1">
        <v>1981</v>
      </c>
      <c r="C41" s="1">
        <f>VLOOKUP(Indicateur15!$K$6,prevision15!$A$1:$AW$28,MATCH(prevision15!B41,prevision15!$A$1:$AW$1,0),FALSE)</f>
        <v>38.856410980224602</v>
      </c>
      <c r="H41" s="1">
        <v>1981</v>
      </c>
      <c r="I41" s="1">
        <f>VLOOKUP('comite 5'!$C$4,prevision15!$A$1:$BG$28,MATCH(H41,$A$1:$BG$1,0),FALSE)</f>
        <v>38.856410980224602</v>
      </c>
    </row>
    <row r="42" spans="2:9">
      <c r="B42" s="1">
        <v>1982</v>
      </c>
      <c r="C42" s="1">
        <f>VLOOKUP(Indicateur15!$K$6,prevision15!$A$1:$AW$28,MATCH(prevision15!B42,prevision15!$A$1:$AW$1,0),FALSE)</f>
        <v>41.638359069824197</v>
      </c>
      <c r="H42" s="1">
        <v>1982</v>
      </c>
      <c r="I42" s="1">
        <f>VLOOKUP('comite 5'!$C$4,prevision15!$A$1:$BG$28,MATCH(H42,$A$1:$BG$1,0),FALSE)</f>
        <v>41.638359069824197</v>
      </c>
    </row>
    <row r="43" spans="2:9">
      <c r="B43" s="1">
        <v>1983</v>
      </c>
      <c r="C43" s="1">
        <f>VLOOKUP(Indicateur15!$K$6,prevision15!$A$1:$AW$28,MATCH(prevision15!B43,prevision15!$A$1:$AW$1,0),FALSE)</f>
        <v>42.2387504577637</v>
      </c>
      <c r="H43" s="1">
        <v>1983</v>
      </c>
      <c r="I43" s="1">
        <f>VLOOKUP('comite 5'!$C$4,prevision15!$A$1:$BG$28,MATCH(H43,$A$1:$BG$1,0),FALSE)</f>
        <v>42.2387504577637</v>
      </c>
    </row>
    <row r="44" spans="2:9">
      <c r="B44" s="1">
        <v>1984</v>
      </c>
      <c r="C44" s="1">
        <f>VLOOKUP(Indicateur15!$K$6,prevision15!$A$1:$AW$28,MATCH(prevision15!B44,prevision15!$A$1:$AW$1,0),FALSE)</f>
        <v>40.314029693603501</v>
      </c>
      <c r="H44" s="1">
        <v>1984</v>
      </c>
      <c r="I44" s="1">
        <f>VLOOKUP('comite 5'!$C$4,prevision15!$A$1:$BG$28,MATCH(H44,$A$1:$BG$1,0),FALSE)</f>
        <v>40.314029693603501</v>
      </c>
    </row>
    <row r="45" spans="2:9">
      <c r="B45" s="1">
        <v>1985</v>
      </c>
      <c r="C45" s="1">
        <f>VLOOKUP(Indicateur15!$K$6,prevision15!$A$1:$AW$28,MATCH(prevision15!B45,prevision15!$A$1:$AW$1,0),FALSE)</f>
        <v>37.430000305175803</v>
      </c>
      <c r="H45" s="1">
        <v>1985</v>
      </c>
      <c r="I45" s="1">
        <f>VLOOKUP('comite 5'!$C$4,prevision15!$A$1:$BG$28,MATCH(H45,$A$1:$BG$1,0),FALSE)</f>
        <v>37.430000305175803</v>
      </c>
    </row>
    <row r="46" spans="2:9">
      <c r="B46" s="1">
        <v>1986</v>
      </c>
      <c r="C46" s="1">
        <f>VLOOKUP(Indicateur15!$K$6,prevision15!$A$1:$AW$28,MATCH(prevision15!B46,prevision15!$A$1:$AW$1,0),FALSE)</f>
        <v>36.8820610046387</v>
      </c>
      <c r="H46" s="1">
        <v>1986</v>
      </c>
      <c r="I46" s="1">
        <f>VLOOKUP('comite 5'!$C$4,prevision15!$A$1:$BG$28,MATCH(H46,$A$1:$BG$1,0),FALSE)</f>
        <v>36.8820610046387</v>
      </c>
    </row>
    <row r="47" spans="2:9">
      <c r="B47" s="1">
        <v>1987</v>
      </c>
      <c r="C47" s="1">
        <f>VLOOKUP(Indicateur15!$K$6,prevision15!$A$1:$AW$28,MATCH(prevision15!B47,prevision15!$A$1:$AW$1,0),FALSE)</f>
        <v>39.960018157958999</v>
      </c>
      <c r="H47" s="1">
        <v>1987</v>
      </c>
      <c r="I47" s="1">
        <f>VLOOKUP('comite 5'!$C$4,prevision15!$A$1:$BG$28,MATCH(H47,$A$1:$BG$1,0),FALSE)</f>
        <v>39.960018157958999</v>
      </c>
    </row>
    <row r="48" spans="2:9">
      <c r="B48" s="1">
        <v>1988</v>
      </c>
      <c r="C48" s="1">
        <f>VLOOKUP(Indicateur15!$K$6,prevision15!$A$1:$AW$28,MATCH(prevision15!B48,prevision15!$A$1:$AW$1,0),FALSE)</f>
        <v>40.778850555419901</v>
      </c>
      <c r="H48" s="1">
        <v>1988</v>
      </c>
      <c r="I48" s="1">
        <f>VLOOKUP('comite 5'!$C$4,prevision15!$A$1:$BG$28,MATCH(H48,$A$1:$BG$1,0),FALSE)</f>
        <v>40.778850555419901</v>
      </c>
    </row>
    <row r="49" spans="2:9">
      <c r="B49" s="1">
        <v>1989</v>
      </c>
      <c r="C49" s="1">
        <f>VLOOKUP(Indicateur15!$K$6,prevision15!$A$1:$AW$28,MATCH(prevision15!B49,prevision15!$A$1:$AW$1,0),FALSE)</f>
        <v>39.046009063720703</v>
      </c>
      <c r="H49" s="1">
        <v>1989</v>
      </c>
      <c r="I49" s="1">
        <f>VLOOKUP('comite 5'!$C$4,prevision15!$A$1:$BG$28,MATCH(H49,$A$1:$BG$1,0),FALSE)</f>
        <v>39.046009063720703</v>
      </c>
    </row>
    <row r="50" spans="2:9">
      <c r="B50" s="1">
        <v>1990</v>
      </c>
      <c r="C50" s="1">
        <f>VLOOKUP(Indicateur15!$K$6,prevision15!$A$1:$AW$28,MATCH(prevision15!B50,prevision15!$A$1:$AW$1,0),FALSE)</f>
        <v>35.164440155029197</v>
      </c>
      <c r="H50" s="1">
        <v>1990</v>
      </c>
      <c r="I50" s="1">
        <f>VLOOKUP('comite 5'!$C$4,prevision15!$A$1:$BG$28,MATCH(H50,$A$1:$BG$1,0),FALSE)</f>
        <v>35.164440155029197</v>
      </c>
    </row>
    <row r="51" spans="2:9">
      <c r="B51" s="1">
        <v>1991</v>
      </c>
      <c r="C51" s="1">
        <f>VLOOKUP(Indicateur15!$K$6,prevision15!$A$1:$AW$28,MATCH(prevision15!B51,prevision15!$A$1:$AW$1,0),FALSE)</f>
        <v>31.462600708007798</v>
      </c>
      <c r="H51" s="1">
        <v>1991</v>
      </c>
      <c r="I51" s="1">
        <f>VLOOKUP('comite 5'!$C$4,prevision15!$A$1:$BG$28,MATCH(H51,$A$1:$BG$1,0),FALSE)</f>
        <v>31.462600708007798</v>
      </c>
    </row>
    <row r="52" spans="2:9">
      <c r="B52" s="1">
        <v>1992</v>
      </c>
      <c r="C52" s="1">
        <f>VLOOKUP(Indicateur15!$K$6,prevision15!$A$1:$AW$28,MATCH(prevision15!B52,prevision15!$A$1:$AW$1,0),FALSE)</f>
        <v>25.193620681762699</v>
      </c>
      <c r="H52" s="1">
        <v>1992</v>
      </c>
      <c r="I52" s="1">
        <f>VLOOKUP('comite 5'!$C$4,prevision15!$A$1:$BG$28,MATCH(H52,$A$1:$BG$1,0),FALSE)</f>
        <v>25.193620681762699</v>
      </c>
    </row>
    <row r="53" spans="2:9">
      <c r="B53" s="1">
        <v>1993</v>
      </c>
      <c r="C53" s="1">
        <f>VLOOKUP(Indicateur15!$K$6,prevision15!$A$1:$AW$28,MATCH(prevision15!B53,prevision15!$A$1:$AW$1,0),FALSE)</f>
        <v>21.622789382934599</v>
      </c>
      <c r="H53" s="1">
        <v>1993</v>
      </c>
      <c r="I53" s="1">
        <f>VLOOKUP('comite 5'!$C$4,prevision15!$A$1:$BG$28,MATCH(H53,$A$1:$BG$1,0),FALSE)</f>
        <v>21.622789382934599</v>
      </c>
    </row>
    <row r="54" spans="2:9">
      <c r="B54" s="1">
        <v>1994</v>
      </c>
      <c r="C54" s="1">
        <f>VLOOKUP(Indicateur15!$K$6,prevision15!$A$1:$AW$28,MATCH(prevision15!B54,prevision15!$A$1:$AW$1,0),FALSE)</f>
        <v>25.420459747314499</v>
      </c>
      <c r="H54" s="1">
        <v>1994</v>
      </c>
      <c r="I54" s="1">
        <f>VLOOKUP('comite 5'!$C$4,prevision15!$A$1:$BG$28,MATCH(H54,$A$1:$BG$1,0),FALSE)</f>
        <v>25.420459747314499</v>
      </c>
    </row>
    <row r="55" spans="2:9">
      <c r="B55" s="1">
        <v>1995</v>
      </c>
      <c r="C55" s="1">
        <f>VLOOKUP(Indicateur15!$K$6,prevision15!$A$1:$AW$28,MATCH(prevision15!B55,prevision15!$A$1:$AW$1,0),FALSE)</f>
        <v>29.089929580688501</v>
      </c>
      <c r="H55" s="1">
        <v>1995</v>
      </c>
      <c r="I55" s="1">
        <f>VLOOKUP('comite 5'!$C$4,prevision15!$A$1:$BG$28,MATCH(H55,$A$1:$BG$1,0),FALSE)</f>
        <v>29.089929580688501</v>
      </c>
    </row>
    <row r="56" spans="2:9">
      <c r="B56" s="1">
        <v>1996</v>
      </c>
      <c r="C56" s="1">
        <f>VLOOKUP(Indicateur15!$K$6,prevision15!$A$1:$AW$28,MATCH(prevision15!B56,prevision15!$A$1:$AW$1,0),FALSE)</f>
        <v>34.952648162841697</v>
      </c>
      <c r="H56" s="1">
        <v>1996</v>
      </c>
      <c r="I56" s="1">
        <f>VLOOKUP('comite 5'!$C$4,prevision15!$A$1:$BG$28,MATCH(H56,$A$1:$BG$1,0),FALSE)</f>
        <v>34.952648162841697</v>
      </c>
    </row>
    <row r="57" spans="2:9">
      <c r="B57" s="1">
        <v>1997</v>
      </c>
      <c r="C57" s="1">
        <f>VLOOKUP(Indicateur15!$K$6,prevision15!$A$1:$AW$28,MATCH(prevision15!B57,prevision15!$A$1:$AW$1,0),FALSE)</f>
        <v>40.339828491210902</v>
      </c>
      <c r="H57" s="1">
        <v>1997</v>
      </c>
      <c r="I57" s="1">
        <f>VLOOKUP('comite 5'!$C$4,prevision15!$A$1:$BG$28,MATCH(H57,$A$1:$BG$1,0),FALSE)</f>
        <v>40.339828491210902</v>
      </c>
    </row>
    <row r="58" spans="2:9">
      <c r="B58" s="1">
        <v>1998</v>
      </c>
      <c r="C58" s="1">
        <f>VLOOKUP(Indicateur15!$K$6,prevision15!$A$1:$AW$28,MATCH(prevision15!B58,prevision15!$A$1:$AW$1,0),FALSE)</f>
        <v>49.964080810546903</v>
      </c>
      <c r="H58" s="1">
        <v>1998</v>
      </c>
      <c r="I58" s="1">
        <f>VLOOKUP('comite 5'!$C$4,prevision15!$A$1:$BG$28,MATCH(H58,$A$1:$BG$1,0),FALSE)</f>
        <v>49.964080810546903</v>
      </c>
    </row>
    <row r="59" spans="2:9">
      <c r="B59" s="1">
        <v>1999</v>
      </c>
      <c r="C59" s="1">
        <f>VLOOKUP(Indicateur15!$K$6,prevision15!$A$1:$AW$28,MATCH(prevision15!B59,prevision15!$A$1:$AW$1,0),FALSE)</f>
        <v>49.405258178710902</v>
      </c>
      <c r="H59" s="1">
        <v>1999</v>
      </c>
      <c r="I59" s="1">
        <f>VLOOKUP('comite 5'!$C$4,prevision15!$A$1:$BG$28,MATCH(H59,$A$1:$BG$1,0),FALSE)</f>
        <v>49.405258178710902</v>
      </c>
    </row>
    <row r="60" spans="2:9">
      <c r="B60" s="1">
        <v>2000</v>
      </c>
      <c r="C60" s="1">
        <f>VLOOKUP(Indicateur15!$K$6,prevision15!$A$1:$AW$28,MATCH(prevision15!B60,prevision15!$A$1:$AW$1,0),FALSE)</f>
        <v>54.443538665771499</v>
      </c>
      <c r="H60" s="1">
        <v>2000</v>
      </c>
      <c r="I60" s="1">
        <f>VLOOKUP('comite 5'!$C$4,prevision15!$A$1:$BG$28,MATCH(H60,$A$1:$BG$1,0),FALSE)</f>
        <v>54.443538665771499</v>
      </c>
    </row>
    <row r="61" spans="2:9">
      <c r="B61" s="1">
        <v>2001</v>
      </c>
      <c r="C61" s="1">
        <f>VLOOKUP(Indicateur15!$K$6,prevision15!$A$1:$AW$28,MATCH(prevision15!B61,prevision15!$A$1:$AW$1,0),FALSE)</f>
        <v>60.262241363525398</v>
      </c>
      <c r="H61" s="1">
        <v>2001</v>
      </c>
      <c r="I61" s="1">
        <f>VLOOKUP('comite 5'!$C$4,prevision15!$A$1:$BG$28,MATCH(H61,$A$1:$BG$1,0),FALSE)</f>
        <v>60.262241363525398</v>
      </c>
    </row>
    <row r="62" spans="2:9">
      <c r="B62" s="1">
        <v>2002</v>
      </c>
      <c r="C62" s="1">
        <f>VLOOKUP(Indicateur15!$K$6,prevision15!$A$1:$AW$28,MATCH(prevision15!B62,prevision15!$A$1:$AW$1,0),FALSE)</f>
        <v>63.458671569824197</v>
      </c>
      <c r="H62" s="1">
        <v>2002</v>
      </c>
      <c r="I62" s="1">
        <f>VLOOKUP('comite 5'!$C$4,prevision15!$A$1:$BG$28,MATCH(H62,$A$1:$BG$1,0),FALSE)</f>
        <v>63.458671569824197</v>
      </c>
    </row>
    <row r="63" spans="2:9">
      <c r="B63" s="1">
        <v>2003</v>
      </c>
      <c r="C63" s="1">
        <f>VLOOKUP(Indicateur15!$K$6,prevision15!$A$1:$AW$28,MATCH(prevision15!B63,prevision15!$A$1:$AW$1,0),FALSE)</f>
        <v>64.816902160644503</v>
      </c>
      <c r="H63" s="1">
        <v>2003</v>
      </c>
      <c r="I63" s="1">
        <f>VLOOKUP('comite 5'!$C$4,prevision15!$A$1:$BG$28,MATCH(H63,$A$1:$BG$1,0),FALSE)</f>
        <v>64.816902160644503</v>
      </c>
    </row>
    <row r="64" spans="2:9">
      <c r="B64" s="1">
        <v>2004</v>
      </c>
      <c r="C64" s="1">
        <f>VLOOKUP(Indicateur15!$K$6,prevision15!$A$1:$AW$28,MATCH(prevision15!B64,prevision15!$A$1:$AW$1,0),FALSE)</f>
        <v>67.752471923828097</v>
      </c>
      <c r="H64" s="1">
        <v>2004</v>
      </c>
      <c r="I64" s="1">
        <f>VLOOKUP('comite 5'!$C$4,prevision15!$A$1:$BG$28,MATCH(H64,$A$1:$BG$1,0),FALSE)</f>
        <v>67.752471923828097</v>
      </c>
    </row>
    <row r="65" spans="2:10">
      <c r="B65" s="1">
        <v>2005</v>
      </c>
      <c r="C65" s="1">
        <f>VLOOKUP(Indicateur15!$K$6,prevision15!$A$1:$AW$28,MATCH(prevision15!B65,prevision15!$A$1:$AW$1,0),FALSE)</f>
        <v>79.013397216796903</v>
      </c>
      <c r="H65" s="1">
        <v>2005</v>
      </c>
      <c r="I65" s="1">
        <f>VLOOKUP('comite 5'!$C$4,prevision15!$A$1:$BG$28,MATCH(H65,$A$1:$BG$1,0),FALSE)</f>
        <v>79.013397216796903</v>
      </c>
    </row>
    <row r="66" spans="2:10">
      <c r="B66" s="1">
        <v>2006</v>
      </c>
      <c r="C66" s="1">
        <f>VLOOKUP(Indicateur15!$K$6,prevision15!$A$1:$AW$28,MATCH(prevision15!B66,prevision15!$A$1:$AW$1,0),FALSE)</f>
        <v>83.327651977539105</v>
      </c>
      <c r="H66" s="1">
        <v>2006</v>
      </c>
      <c r="I66" s="1">
        <f>VLOOKUP('comite 5'!$C$4,prevision15!$A$1:$BG$28,MATCH(H66,$A$1:$BG$1,0),FALSE)</f>
        <v>83.327651977539105</v>
      </c>
    </row>
    <row r="67" spans="2:10">
      <c r="B67" s="1">
        <v>2007</v>
      </c>
      <c r="C67" s="1">
        <f>VLOOKUP(Indicateur15!$K$6,prevision15!$A$1:$AW$28,MATCH(prevision15!B67,prevision15!$A$1:$AW$1,0),FALSE)</f>
        <v>89.165466308593807</v>
      </c>
      <c r="H67" s="1">
        <v>2007</v>
      </c>
      <c r="I67" s="1">
        <f>VLOOKUP('comite 5'!$C$4,prevision15!$A$1:$BG$28,MATCH(H67,$A$1:$BG$1,0),FALSE)</f>
        <v>89.165466308593807</v>
      </c>
    </row>
    <row r="68" spans="2:10">
      <c r="B68" s="1">
        <v>2008</v>
      </c>
      <c r="C68" s="1">
        <f>VLOOKUP(Indicateur15!$K$6,prevision15!$A$1:$AW$28,MATCH(prevision15!B68,prevision15!$A$1:$AW$1,0),FALSE)</f>
        <v>94.822853088378906</v>
      </c>
      <c r="H68" s="1">
        <v>2008</v>
      </c>
      <c r="I68" s="1">
        <f>VLOOKUP('comite 5'!$C$4,prevision15!$A$1:$BG$28,MATCH(H68,$A$1:$BG$1,0),FALSE)</f>
        <v>94.822853088378906</v>
      </c>
    </row>
    <row r="69" spans="2:10">
      <c r="B69" s="1">
        <v>2009</v>
      </c>
      <c r="C69" s="1">
        <f>VLOOKUP(Indicateur15!$K$6,prevision15!$A$1:$AW$28,MATCH(prevision15!B69,prevision15!$A$1:$AW$1,0),FALSE)</f>
        <v>93.502357482910199</v>
      </c>
      <c r="H69" s="1">
        <v>2009</v>
      </c>
      <c r="I69" s="1">
        <f>VLOOKUP('comite 5'!$C$4,prevision15!$A$1:$BG$28,MATCH(H69,$A$1:$BG$1,0),FALSE)</f>
        <v>93.502357482910199</v>
      </c>
    </row>
    <row r="70" spans="2:10">
      <c r="B70" s="1">
        <v>2010</v>
      </c>
      <c r="C70" s="1">
        <f>VLOOKUP(Indicateur15!$K$6,prevision15!$A$1:$AW$28,MATCH(prevision15!B70,prevision15!$A$1:$AW$1,0),FALSE)</f>
        <v>91.775962829589801</v>
      </c>
      <c r="H70" s="1">
        <v>2010</v>
      </c>
      <c r="I70" s="1">
        <f>VLOOKUP('comite 5'!$C$4,prevision15!$A$1:$BG$28,MATCH(H70,$A$1:$BG$1,0),FALSE)</f>
        <v>91.775962829589801</v>
      </c>
    </row>
    <row r="71" spans="2:10">
      <c r="B71" s="1">
        <v>2011</v>
      </c>
      <c r="C71" s="1">
        <f>VLOOKUP(Indicateur15!$K$6,prevision15!$A$1:$AW$28,MATCH(prevision15!B71,prevision15!$A$1:$AW$1,0),FALSE)</f>
        <v>94.500572204589801</v>
      </c>
      <c r="H71" s="1">
        <v>2011</v>
      </c>
      <c r="I71" s="1">
        <f>VLOOKUP('comite 5'!$C$4,prevision15!$A$1:$BG$28,MATCH(H71,$A$1:$BG$1,0),FALSE)</f>
        <v>94.500572204589801</v>
      </c>
    </row>
    <row r="72" spans="2:10">
      <c r="B72" s="1">
        <v>2012</v>
      </c>
      <c r="C72" s="1">
        <f>VLOOKUP(Indicateur15!$K$6,prevision15!$A$1:$AW$28,MATCH(prevision15!B72,prevision15!$A$1:$AW$1,0),FALSE)</f>
        <v>94.550750732421903</v>
      </c>
      <c r="H72" s="1">
        <v>2012</v>
      </c>
      <c r="I72" s="1">
        <f>VLOOKUP('comite 5'!$C$4,prevision15!$A$1:$BG$28,MATCH(H72,$A$1:$BG$1,0),FALSE)</f>
        <v>94.550750732421903</v>
      </c>
    </row>
    <row r="73" spans="2:10">
      <c r="B73" s="1">
        <v>2013</v>
      </c>
      <c r="C73" s="1">
        <f>VLOOKUP(Indicateur15!$K$6,prevision15!$A$1:$AW$28,MATCH(prevision15!B73,prevision15!$A$1:$AW$1,0),FALSE)</f>
        <v>0</v>
      </c>
      <c r="H73" s="1">
        <v>2013</v>
      </c>
      <c r="I73" s="1">
        <f>VLOOKUP('comite 5'!$C$4,prevision15!$A$1:$BG$28,MATCH(H73,$A$1:$BG$1,0),FALSE)</f>
        <v>0</v>
      </c>
    </row>
    <row r="74" spans="2:10">
      <c r="B74" s="1">
        <v>2014</v>
      </c>
      <c r="C74" s="1">
        <f>VLOOKUP(Indicateur15!$K$6,prevision15!$A$1:$AW$28,MATCH(prevision15!B74,prevision15!$A$1:$AW$1,0),FALSE)</f>
        <v>99.923202514648395</v>
      </c>
      <c r="H74" s="1">
        <v>2014</v>
      </c>
      <c r="I74" s="1">
        <f>VLOOKUP('comite 5'!$C$4,prevision15!$A$1:$BG$28,MATCH(H74,$A$1:$BG$1,0),FALSE)</f>
        <v>99.923202514648395</v>
      </c>
    </row>
    <row r="75" spans="2:10">
      <c r="B75" s="1">
        <v>2015</v>
      </c>
      <c r="C75" s="1">
        <f>VLOOKUP(Indicateur15!$K$6,prevision15!$A$1:$AW$28,MATCH(prevision15!B75,prevision15!$A$1:$AW$1,0),FALSE)</f>
        <v>101.944229125977</v>
      </c>
      <c r="H75" s="1">
        <v>2015</v>
      </c>
      <c r="I75" s="1">
        <f>VLOOKUP('comite 5'!$C$4,prevision15!$A$1:$BG$28,MATCH(H75,$A$1:$BG$1,0),FALSE)</f>
        <v>101.944229125977</v>
      </c>
    </row>
    <row r="76" spans="2:10">
      <c r="B76" s="1">
        <v>2016</v>
      </c>
      <c r="C76" s="1">
        <f>VLOOKUP(Indicateur15!$K$6,prevision15!$A$1:$AW$28,MATCH(prevision15!B76,prevision15!$A$1:$AW$1,0),FALSE)</f>
        <v>0</v>
      </c>
      <c r="H76" s="1">
        <v>2016</v>
      </c>
      <c r="I76" s="1">
        <f>VLOOKUP('comite 5'!$C$4,prevision15!$A$1:$BG$28,MATCH(H76,$A$1:$BG$1,0),FALSE)</f>
        <v>0</v>
      </c>
    </row>
    <row r="77" spans="2:10">
      <c r="B77" s="1">
        <v>2017</v>
      </c>
      <c r="C77" s="1">
        <f>VLOOKUP(Indicateur15!$K$6,prevision15!$A$1:$AW$28,MATCH(prevision15!B77,prevision15!$A$1:$AW$1,0),FALSE)</f>
        <v>0</v>
      </c>
      <c r="D77" s="1">
        <f>C77</f>
        <v>0</v>
      </c>
      <c r="H77" s="1">
        <v>2017</v>
      </c>
      <c r="I77" s="1">
        <f>VLOOKUP('comite 5'!$C$4,prevision15!$A$1:$BG$28,MATCH(H77,$A$1:$BG$1,0),FALSE)</f>
        <v>0</v>
      </c>
      <c r="J77" s="1">
        <f>I77</f>
        <v>0</v>
      </c>
    </row>
    <row r="78" spans="2:10">
      <c r="B78" s="1">
        <v>2018</v>
      </c>
      <c r="D78" s="1">
        <f>TREND($C$30:$C$77,$B$30:$B$77,B78)</f>
        <v>75.646834866374775</v>
      </c>
      <c r="H78" s="1">
        <v>2018</v>
      </c>
      <c r="J78" s="1">
        <f>TREND($I$30:$I$77,$H$30:$H$77,H78)</f>
        <v>75.646834866374775</v>
      </c>
    </row>
    <row r="79" spans="2:10">
      <c r="B79" s="1">
        <v>2019</v>
      </c>
      <c r="D79" s="1">
        <f t="shared" ref="D79:D90" si="0">TREND($C$30:$C$77,$B$30:$B$77,B79)</f>
        <v>76.912117229527212</v>
      </c>
      <c r="H79" s="1">
        <v>2019</v>
      </c>
      <c r="J79" s="1">
        <f t="shared" ref="J79:J90" si="1">TREND($I$30:$I$77,$H$30:$H$77,H79)</f>
        <v>76.912117229527212</v>
      </c>
    </row>
    <row r="80" spans="2:10">
      <c r="B80" s="1">
        <v>2020</v>
      </c>
      <c r="D80" s="1">
        <f t="shared" si="0"/>
        <v>78.177399592679649</v>
      </c>
      <c r="H80" s="1">
        <v>2020</v>
      </c>
      <c r="J80" s="1">
        <f t="shared" si="1"/>
        <v>78.177399592679649</v>
      </c>
    </row>
    <row r="81" spans="2:10">
      <c r="B81" s="1">
        <v>2021</v>
      </c>
      <c r="D81" s="1">
        <f t="shared" si="0"/>
        <v>79.442681955832086</v>
      </c>
      <c r="H81" s="1">
        <v>2021</v>
      </c>
      <c r="J81" s="1">
        <f t="shared" si="1"/>
        <v>79.442681955832086</v>
      </c>
    </row>
    <row r="82" spans="2:10">
      <c r="B82" s="1">
        <v>2022</v>
      </c>
      <c r="D82" s="1">
        <f t="shared" si="0"/>
        <v>80.707964318984523</v>
      </c>
      <c r="H82" s="1">
        <v>2022</v>
      </c>
      <c r="J82" s="1">
        <f t="shared" si="1"/>
        <v>80.707964318984523</v>
      </c>
    </row>
    <row r="83" spans="2:10">
      <c r="B83" s="1">
        <v>2023</v>
      </c>
      <c r="D83" s="1">
        <f t="shared" si="0"/>
        <v>81.97324668213696</v>
      </c>
      <c r="H83" s="1">
        <v>2023</v>
      </c>
      <c r="J83" s="1">
        <f t="shared" si="1"/>
        <v>81.97324668213696</v>
      </c>
    </row>
    <row r="84" spans="2:10">
      <c r="B84" s="1">
        <v>2024</v>
      </c>
      <c r="D84" s="1">
        <f t="shared" si="0"/>
        <v>83.238529045289397</v>
      </c>
      <c r="H84" s="1">
        <v>2024</v>
      </c>
      <c r="J84" s="1">
        <f t="shared" si="1"/>
        <v>83.238529045289397</v>
      </c>
    </row>
    <row r="85" spans="2:10">
      <c r="B85" s="1">
        <v>2025</v>
      </c>
      <c r="D85" s="1">
        <f t="shared" si="0"/>
        <v>84.503811408441834</v>
      </c>
      <c r="H85" s="1">
        <v>2025</v>
      </c>
      <c r="J85" s="1">
        <f t="shared" si="1"/>
        <v>84.503811408441834</v>
      </c>
    </row>
    <row r="86" spans="2:10">
      <c r="B86" s="1">
        <v>2026</v>
      </c>
      <c r="D86" s="1">
        <f t="shared" si="0"/>
        <v>85.769093771594271</v>
      </c>
      <c r="H86" s="1">
        <v>2026</v>
      </c>
      <c r="J86" s="1">
        <f t="shared" si="1"/>
        <v>85.769093771594271</v>
      </c>
    </row>
    <row r="87" spans="2:10">
      <c r="B87" s="1">
        <v>2027</v>
      </c>
      <c r="D87" s="1">
        <f t="shared" si="0"/>
        <v>87.034376134746708</v>
      </c>
      <c r="H87" s="1">
        <v>2027</v>
      </c>
      <c r="J87" s="1">
        <f t="shared" si="1"/>
        <v>87.034376134746708</v>
      </c>
    </row>
    <row r="88" spans="2:10">
      <c r="B88" s="1">
        <v>2028</v>
      </c>
      <c r="D88" s="1">
        <f t="shared" si="0"/>
        <v>88.299658497899145</v>
      </c>
      <c r="H88" s="1">
        <v>2028</v>
      </c>
      <c r="J88" s="1">
        <f t="shared" si="1"/>
        <v>88.299658497899145</v>
      </c>
    </row>
    <row r="89" spans="2:10">
      <c r="B89" s="1">
        <v>2029</v>
      </c>
      <c r="D89" s="1">
        <f t="shared" si="0"/>
        <v>89.564940861051582</v>
      </c>
      <c r="H89" s="1">
        <v>2029</v>
      </c>
      <c r="J89" s="1">
        <f t="shared" si="1"/>
        <v>89.564940861051582</v>
      </c>
    </row>
    <row r="90" spans="2:10">
      <c r="B90" s="1">
        <v>2030</v>
      </c>
      <c r="D90" s="1">
        <f t="shared" si="0"/>
        <v>90.830223224204019</v>
      </c>
      <c r="H90" s="1">
        <v>2030</v>
      </c>
      <c r="J90" s="1">
        <f t="shared" si="1"/>
        <v>90.830223224204019</v>
      </c>
    </row>
  </sheetData>
  <phoneticPr fontId="1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comite 5</vt:lpstr>
      <vt:lpstr>Indicateur13</vt:lpstr>
      <vt:lpstr>Indicateur14</vt:lpstr>
      <vt:lpstr>Indicateur15</vt:lpstr>
      <vt:lpstr>prevision13</vt:lpstr>
      <vt:lpstr>prevision14</vt:lpstr>
      <vt:lpstr>prevision15</vt:lpstr>
    </vt:vector>
  </TitlesOfParts>
  <Company>UT1C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WEIHUI TU</dc:creator>
  <cp:lastModifiedBy>LUQI LI</cp:lastModifiedBy>
  <dcterms:created xsi:type="dcterms:W3CDTF">2019-03-29T15:56:13Z</dcterms:created>
  <dcterms:modified xsi:type="dcterms:W3CDTF">2019-04-11T12:21:38Z</dcterms:modified>
</cp:coreProperties>
</file>